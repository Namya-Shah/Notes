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/>
  <xr:revisionPtr revIDLastSave="0" documentId="8_{3562AEDC-894F-4F88-89CC-7712B4D25B0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tro" sheetId="1" r:id="rId1"/>
    <sheet name="Calculations" sheetId="2" r:id="rId2"/>
    <sheet name="Graph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i8eYxuvgkHngL+x0JM6Bk9rfPHJg=="/>
    </ext>
  </extLst>
</workbook>
</file>

<file path=xl/calcChain.xml><?xml version="1.0" encoding="utf-8"?>
<calcChain xmlns="http://schemas.openxmlformats.org/spreadsheetml/2006/main"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D13" i="2"/>
  <c r="B7" i="2"/>
  <c r="B6" i="2"/>
  <c r="B5" i="2"/>
  <c r="F312" i="2" l="1"/>
  <c r="F300" i="2"/>
  <c r="F288" i="2"/>
  <c r="F276" i="2"/>
  <c r="F264" i="2"/>
  <c r="F252" i="2"/>
  <c r="F240" i="2"/>
  <c r="F228" i="2"/>
  <c r="F216" i="2"/>
  <c r="F204" i="2"/>
  <c r="F192" i="2"/>
  <c r="F180" i="2"/>
  <c r="F168" i="2"/>
  <c r="F156" i="2"/>
  <c r="F144" i="2"/>
  <c r="F132" i="2"/>
  <c r="F120" i="2"/>
  <c r="F108" i="2"/>
  <c r="F96" i="2"/>
  <c r="F84" i="2"/>
  <c r="F72" i="2"/>
  <c r="F60" i="2"/>
  <c r="F48" i="2"/>
  <c r="F36" i="2"/>
  <c r="F24" i="2"/>
  <c r="B13" i="2"/>
  <c r="C13" i="2" s="1"/>
  <c r="E13" i="2" l="1"/>
  <c r="D14" i="2" l="1"/>
  <c r="B14" i="2"/>
  <c r="C14" i="2" s="1"/>
  <c r="E14" i="2" l="1"/>
  <c r="D15" i="2" l="1"/>
  <c r="B15" i="2"/>
  <c r="C15" i="2" s="1"/>
  <c r="E15" i="2" l="1"/>
  <c r="D16" i="2" l="1"/>
  <c r="B16" i="2"/>
  <c r="C16" i="2" s="1"/>
  <c r="E16" i="2" l="1"/>
  <c r="D17" i="2" l="1"/>
  <c r="B17" i="2"/>
  <c r="C17" i="2" s="1"/>
  <c r="E17" i="2" l="1"/>
  <c r="D18" i="2" l="1"/>
  <c r="B18" i="2"/>
  <c r="C18" i="2" s="1"/>
  <c r="E18" i="2" l="1"/>
  <c r="D19" i="2" l="1"/>
  <c r="B19" i="2"/>
  <c r="C19" i="2" s="1"/>
  <c r="E19" i="2" l="1"/>
  <c r="D20" i="2" l="1"/>
  <c r="B20" i="2"/>
  <c r="C20" i="2" s="1"/>
  <c r="E20" i="2" l="1"/>
  <c r="D21" i="2" l="1"/>
  <c r="B21" i="2"/>
  <c r="C21" i="2" s="1"/>
  <c r="E21" i="2" l="1"/>
  <c r="D22" i="2" l="1"/>
  <c r="B22" i="2"/>
  <c r="C22" i="2" s="1"/>
  <c r="E22" i="2" l="1"/>
  <c r="D23" i="2" l="1"/>
  <c r="B23" i="2"/>
  <c r="C23" i="2" s="1"/>
  <c r="E23" i="2" l="1"/>
  <c r="D24" i="2" l="1"/>
  <c r="B24" i="2"/>
  <c r="C24" i="2" s="1"/>
  <c r="E24" i="2" l="1"/>
  <c r="D25" i="2" l="1"/>
  <c r="B25" i="2"/>
  <c r="C25" i="2" s="1"/>
  <c r="E25" i="2" l="1"/>
  <c r="D26" i="2" l="1"/>
  <c r="B26" i="2"/>
  <c r="C26" i="2" s="1"/>
  <c r="E26" i="2" l="1"/>
  <c r="D27" i="2" l="1"/>
  <c r="B27" i="2"/>
  <c r="C27" i="2" s="1"/>
  <c r="E27" i="2" l="1"/>
  <c r="D28" i="2" l="1"/>
  <c r="B28" i="2"/>
  <c r="C28" i="2" s="1"/>
  <c r="E28" i="2" l="1"/>
  <c r="D29" i="2" l="1"/>
  <c r="B29" i="2"/>
  <c r="C29" i="2" s="1"/>
  <c r="E29" i="2" l="1"/>
  <c r="D30" i="2" l="1"/>
  <c r="B30" i="2"/>
  <c r="C30" i="2" s="1"/>
  <c r="E30" i="2" l="1"/>
  <c r="D31" i="2" l="1"/>
  <c r="B31" i="2"/>
  <c r="C31" i="2" s="1"/>
  <c r="E31" i="2" l="1"/>
  <c r="D32" i="2" l="1"/>
  <c r="B32" i="2"/>
  <c r="C32" i="2" s="1"/>
  <c r="E32" i="2" l="1"/>
  <c r="D33" i="2" l="1"/>
  <c r="B33" i="2"/>
  <c r="C33" i="2" s="1"/>
  <c r="E33" i="2" l="1"/>
  <c r="D34" i="2" l="1"/>
  <c r="B34" i="2"/>
  <c r="C34" i="2" s="1"/>
  <c r="E34" i="2" l="1"/>
  <c r="D35" i="2" l="1"/>
  <c r="B35" i="2"/>
  <c r="C35" i="2" s="1"/>
  <c r="E35" i="2" l="1"/>
  <c r="D36" i="2" l="1"/>
  <c r="B36" i="2"/>
  <c r="C36" i="2" s="1"/>
  <c r="E36" i="2" l="1"/>
  <c r="D37" i="2" l="1"/>
  <c r="B37" i="2"/>
  <c r="C37" i="2" s="1"/>
  <c r="E37" i="2" l="1"/>
  <c r="D38" i="2" l="1"/>
  <c r="B38" i="2"/>
  <c r="C38" i="2" s="1"/>
  <c r="E38" i="2" l="1"/>
  <c r="D39" i="2" l="1"/>
  <c r="B39" i="2"/>
  <c r="C39" i="2" s="1"/>
  <c r="E39" i="2" l="1"/>
  <c r="D40" i="2" l="1"/>
  <c r="B40" i="2"/>
  <c r="C40" i="2" s="1"/>
  <c r="E40" i="2" l="1"/>
  <c r="D41" i="2" l="1"/>
  <c r="B41" i="2"/>
  <c r="C41" i="2" s="1"/>
  <c r="E41" i="2" l="1"/>
  <c r="D42" i="2" l="1"/>
  <c r="B42" i="2"/>
  <c r="C42" i="2" s="1"/>
  <c r="E42" i="2" l="1"/>
  <c r="D43" i="2" l="1"/>
  <c r="B43" i="2"/>
  <c r="C43" i="2" s="1"/>
  <c r="E43" i="2" l="1"/>
  <c r="D44" i="2" l="1"/>
  <c r="B44" i="2"/>
  <c r="C44" i="2" s="1"/>
  <c r="E44" i="2" l="1"/>
  <c r="D45" i="2" l="1"/>
  <c r="B45" i="2"/>
  <c r="C45" i="2" s="1"/>
  <c r="E45" i="2" l="1"/>
  <c r="D46" i="2" l="1"/>
  <c r="B46" i="2"/>
  <c r="C46" i="2" s="1"/>
  <c r="E46" i="2" l="1"/>
  <c r="D47" i="2" l="1"/>
  <c r="B47" i="2"/>
  <c r="C47" i="2" s="1"/>
  <c r="E47" i="2" l="1"/>
  <c r="D48" i="2" l="1"/>
  <c r="B48" i="2"/>
  <c r="C48" i="2" s="1"/>
  <c r="E48" i="2" l="1"/>
  <c r="D49" i="2" l="1"/>
  <c r="B49" i="2"/>
  <c r="C49" i="2" s="1"/>
  <c r="E49" i="2" l="1"/>
  <c r="D50" i="2" l="1"/>
  <c r="B50" i="2"/>
  <c r="C50" i="2" s="1"/>
  <c r="E50" i="2" l="1"/>
  <c r="D51" i="2" l="1"/>
  <c r="B51" i="2"/>
  <c r="C51" i="2" s="1"/>
  <c r="E51" i="2" l="1"/>
  <c r="D52" i="2" l="1"/>
  <c r="B52" i="2"/>
  <c r="C52" i="2" s="1"/>
  <c r="E52" i="2" l="1"/>
  <c r="D53" i="2" l="1"/>
  <c r="B53" i="2"/>
  <c r="C53" i="2" s="1"/>
  <c r="E53" i="2" l="1"/>
  <c r="D54" i="2" l="1"/>
  <c r="B54" i="2"/>
  <c r="C54" i="2" s="1"/>
  <c r="E54" i="2" l="1"/>
  <c r="D55" i="2" l="1"/>
  <c r="B55" i="2"/>
  <c r="C55" i="2" s="1"/>
  <c r="E55" i="2" l="1"/>
  <c r="D56" i="2" l="1"/>
  <c r="B56" i="2"/>
  <c r="C56" i="2" s="1"/>
  <c r="E56" i="2" l="1"/>
  <c r="D57" i="2" l="1"/>
  <c r="B57" i="2"/>
  <c r="C57" i="2" s="1"/>
  <c r="E57" i="2" l="1"/>
  <c r="D58" i="2" l="1"/>
  <c r="B58" i="2"/>
  <c r="C58" i="2" s="1"/>
  <c r="E58" i="2" l="1"/>
  <c r="D59" i="2" l="1"/>
  <c r="B59" i="2"/>
  <c r="C59" i="2" s="1"/>
  <c r="E59" i="2" l="1"/>
  <c r="D60" i="2" l="1"/>
  <c r="B60" i="2"/>
  <c r="C60" i="2" s="1"/>
  <c r="E60" i="2" l="1"/>
  <c r="D61" i="2" l="1"/>
  <c r="B61" i="2"/>
  <c r="C61" i="2" s="1"/>
  <c r="E61" i="2" l="1"/>
  <c r="D62" i="2" l="1"/>
  <c r="B62" i="2"/>
  <c r="C62" i="2" s="1"/>
  <c r="E62" i="2" l="1"/>
  <c r="D63" i="2" l="1"/>
  <c r="B63" i="2"/>
  <c r="C63" i="2" s="1"/>
  <c r="E63" i="2" l="1"/>
  <c r="D64" i="2" l="1"/>
  <c r="B64" i="2"/>
  <c r="C64" i="2" s="1"/>
  <c r="E64" i="2" l="1"/>
  <c r="D65" i="2" l="1"/>
  <c r="B65" i="2"/>
  <c r="C65" i="2" s="1"/>
  <c r="E65" i="2" l="1"/>
  <c r="D66" i="2" l="1"/>
  <c r="B66" i="2"/>
  <c r="C66" i="2" s="1"/>
  <c r="E66" i="2" l="1"/>
  <c r="D67" i="2" l="1"/>
  <c r="B67" i="2"/>
  <c r="C67" i="2" s="1"/>
  <c r="E67" i="2" l="1"/>
  <c r="D68" i="2" l="1"/>
  <c r="B68" i="2"/>
  <c r="C68" i="2" s="1"/>
  <c r="E68" i="2" l="1"/>
  <c r="D69" i="2" l="1"/>
  <c r="B69" i="2"/>
  <c r="C69" i="2" s="1"/>
  <c r="E69" i="2" l="1"/>
  <c r="D70" i="2" l="1"/>
  <c r="B70" i="2"/>
  <c r="C70" i="2" s="1"/>
  <c r="E70" i="2" l="1"/>
  <c r="D71" i="2" l="1"/>
  <c r="B71" i="2"/>
  <c r="C71" i="2" s="1"/>
  <c r="E71" i="2" l="1"/>
  <c r="D72" i="2" l="1"/>
  <c r="B72" i="2"/>
  <c r="C72" i="2" s="1"/>
  <c r="E72" i="2" l="1"/>
  <c r="D73" i="2" l="1"/>
  <c r="B73" i="2"/>
  <c r="C73" i="2" s="1"/>
  <c r="E73" i="2" l="1"/>
  <c r="D74" i="2" l="1"/>
  <c r="B74" i="2"/>
  <c r="C74" i="2" s="1"/>
  <c r="E74" i="2" l="1"/>
  <c r="D75" i="2" l="1"/>
  <c r="B75" i="2"/>
  <c r="C75" i="2" s="1"/>
  <c r="E75" i="2" l="1"/>
  <c r="D76" i="2" l="1"/>
  <c r="B76" i="2"/>
  <c r="C76" i="2" s="1"/>
  <c r="E76" i="2" l="1"/>
  <c r="D77" i="2" l="1"/>
  <c r="B77" i="2"/>
  <c r="C77" i="2" s="1"/>
  <c r="E77" i="2" l="1"/>
  <c r="D78" i="2" l="1"/>
  <c r="B78" i="2"/>
  <c r="C78" i="2" s="1"/>
  <c r="E78" i="2" l="1"/>
  <c r="D79" i="2" l="1"/>
  <c r="B79" i="2"/>
  <c r="C79" i="2" s="1"/>
  <c r="E79" i="2" l="1"/>
  <c r="D80" i="2" l="1"/>
  <c r="B80" i="2"/>
  <c r="C80" i="2" s="1"/>
  <c r="E80" i="2" l="1"/>
  <c r="D81" i="2" l="1"/>
  <c r="B81" i="2"/>
  <c r="C81" i="2" s="1"/>
  <c r="E81" i="2" l="1"/>
  <c r="D82" i="2" l="1"/>
  <c r="B82" i="2"/>
  <c r="C82" i="2" s="1"/>
  <c r="E82" i="2" l="1"/>
  <c r="D83" i="2" l="1"/>
  <c r="B83" i="2"/>
  <c r="C83" i="2" s="1"/>
  <c r="E83" i="2" l="1"/>
  <c r="D84" i="2" l="1"/>
  <c r="B84" i="2"/>
  <c r="C84" i="2" s="1"/>
  <c r="E84" i="2" l="1"/>
  <c r="D85" i="2" l="1"/>
  <c r="B85" i="2"/>
  <c r="C85" i="2" s="1"/>
  <c r="E85" i="2" l="1"/>
  <c r="D86" i="2" l="1"/>
  <c r="B86" i="2"/>
  <c r="C86" i="2" s="1"/>
  <c r="E86" i="2" l="1"/>
  <c r="D87" i="2" l="1"/>
  <c r="B87" i="2"/>
  <c r="C87" i="2" s="1"/>
  <c r="E87" i="2" l="1"/>
  <c r="D88" i="2" l="1"/>
  <c r="B88" i="2"/>
  <c r="C88" i="2" s="1"/>
  <c r="E88" i="2" l="1"/>
  <c r="D89" i="2" l="1"/>
  <c r="B89" i="2"/>
  <c r="C89" i="2" s="1"/>
  <c r="E89" i="2" l="1"/>
  <c r="D90" i="2" l="1"/>
  <c r="B90" i="2"/>
  <c r="C90" i="2" s="1"/>
  <c r="E90" i="2" l="1"/>
  <c r="D91" i="2" l="1"/>
  <c r="B91" i="2"/>
  <c r="C91" i="2" s="1"/>
  <c r="E91" i="2" l="1"/>
  <c r="D92" i="2" l="1"/>
  <c r="B92" i="2"/>
  <c r="C92" i="2" s="1"/>
  <c r="E92" i="2" l="1"/>
  <c r="D93" i="2" l="1"/>
  <c r="B93" i="2"/>
  <c r="C93" i="2" s="1"/>
  <c r="E93" i="2" l="1"/>
  <c r="D94" i="2" l="1"/>
  <c r="B94" i="2"/>
  <c r="C94" i="2" s="1"/>
  <c r="E94" i="2" l="1"/>
  <c r="D95" i="2" l="1"/>
  <c r="B95" i="2"/>
  <c r="C95" i="2" s="1"/>
  <c r="E95" i="2" l="1"/>
  <c r="D96" i="2" l="1"/>
  <c r="B96" i="2"/>
  <c r="C96" i="2" s="1"/>
  <c r="E96" i="2" l="1"/>
  <c r="D97" i="2" l="1"/>
  <c r="B97" i="2"/>
  <c r="C97" i="2" s="1"/>
  <c r="E97" i="2" l="1"/>
  <c r="D98" i="2" l="1"/>
  <c r="B98" i="2"/>
  <c r="C98" i="2" s="1"/>
  <c r="E98" i="2" l="1"/>
  <c r="D99" i="2" l="1"/>
  <c r="B99" i="2"/>
  <c r="C99" i="2" s="1"/>
  <c r="E99" i="2" l="1"/>
  <c r="D100" i="2" l="1"/>
  <c r="B100" i="2"/>
  <c r="C100" i="2" s="1"/>
  <c r="E100" i="2" l="1"/>
  <c r="D101" i="2" l="1"/>
  <c r="B101" i="2"/>
  <c r="C101" i="2" s="1"/>
  <c r="E101" i="2" l="1"/>
  <c r="D102" i="2" l="1"/>
  <c r="B102" i="2"/>
  <c r="C102" i="2" s="1"/>
  <c r="E102" i="2" l="1"/>
  <c r="D103" i="2" l="1"/>
  <c r="B103" i="2"/>
  <c r="C103" i="2" s="1"/>
  <c r="E103" i="2" l="1"/>
  <c r="D104" i="2" l="1"/>
  <c r="B104" i="2"/>
  <c r="C104" i="2" s="1"/>
  <c r="E104" i="2" l="1"/>
  <c r="D105" i="2" l="1"/>
  <c r="B105" i="2"/>
  <c r="C105" i="2" s="1"/>
  <c r="E105" i="2" l="1"/>
  <c r="D106" i="2" l="1"/>
  <c r="B106" i="2"/>
  <c r="C106" i="2" s="1"/>
  <c r="E106" i="2" l="1"/>
  <c r="D107" i="2" l="1"/>
  <c r="B107" i="2"/>
  <c r="C107" i="2" s="1"/>
  <c r="E107" i="2" l="1"/>
  <c r="D108" i="2" l="1"/>
  <c r="B108" i="2"/>
  <c r="C108" i="2" s="1"/>
  <c r="E108" i="2" l="1"/>
  <c r="D109" i="2" l="1"/>
  <c r="B109" i="2"/>
  <c r="C109" i="2" s="1"/>
  <c r="E109" i="2" l="1"/>
  <c r="D110" i="2" l="1"/>
  <c r="B110" i="2"/>
  <c r="C110" i="2" s="1"/>
  <c r="E110" i="2" l="1"/>
  <c r="D111" i="2" l="1"/>
  <c r="B111" i="2"/>
  <c r="C111" i="2" s="1"/>
  <c r="E111" i="2" l="1"/>
  <c r="D112" i="2" l="1"/>
  <c r="B112" i="2"/>
  <c r="C112" i="2" s="1"/>
  <c r="E112" i="2" l="1"/>
  <c r="D113" i="2" l="1"/>
  <c r="B113" i="2"/>
  <c r="C113" i="2" s="1"/>
  <c r="E113" i="2" l="1"/>
  <c r="D114" i="2" l="1"/>
  <c r="B114" i="2"/>
  <c r="C114" i="2" s="1"/>
  <c r="E114" i="2" l="1"/>
  <c r="D115" i="2" l="1"/>
  <c r="B115" i="2"/>
  <c r="C115" i="2" s="1"/>
  <c r="E115" i="2" l="1"/>
  <c r="D116" i="2" l="1"/>
  <c r="B116" i="2"/>
  <c r="C116" i="2" s="1"/>
  <c r="E116" i="2" l="1"/>
  <c r="D117" i="2" l="1"/>
  <c r="B117" i="2"/>
  <c r="C117" i="2" s="1"/>
  <c r="E117" i="2" l="1"/>
  <c r="D118" i="2" l="1"/>
  <c r="B118" i="2"/>
  <c r="C118" i="2" s="1"/>
  <c r="E118" i="2" l="1"/>
  <c r="D119" i="2" l="1"/>
  <c r="B119" i="2"/>
  <c r="C119" i="2" s="1"/>
  <c r="E119" i="2" l="1"/>
  <c r="D120" i="2" l="1"/>
  <c r="B120" i="2"/>
  <c r="C120" i="2" s="1"/>
  <c r="E120" i="2" l="1"/>
  <c r="D121" i="2" l="1"/>
  <c r="B121" i="2"/>
  <c r="C121" i="2" s="1"/>
  <c r="E121" i="2" l="1"/>
  <c r="D122" i="2" l="1"/>
  <c r="B122" i="2"/>
  <c r="C122" i="2" s="1"/>
  <c r="E122" i="2" l="1"/>
  <c r="D123" i="2" l="1"/>
  <c r="B123" i="2"/>
  <c r="C123" i="2" s="1"/>
  <c r="E123" i="2" l="1"/>
  <c r="D124" i="2" l="1"/>
  <c r="B124" i="2"/>
  <c r="C124" i="2" s="1"/>
  <c r="E124" i="2" l="1"/>
  <c r="D125" i="2" l="1"/>
  <c r="B125" i="2"/>
  <c r="C125" i="2" s="1"/>
  <c r="E125" i="2" l="1"/>
  <c r="D126" i="2" l="1"/>
  <c r="B126" i="2"/>
  <c r="C126" i="2" s="1"/>
  <c r="E126" i="2" l="1"/>
  <c r="D127" i="2" l="1"/>
  <c r="B127" i="2"/>
  <c r="C127" i="2" s="1"/>
  <c r="E127" i="2" l="1"/>
  <c r="D128" i="2" l="1"/>
  <c r="B128" i="2"/>
  <c r="C128" i="2" s="1"/>
  <c r="E128" i="2" l="1"/>
  <c r="D129" i="2" l="1"/>
  <c r="B129" i="2"/>
  <c r="C129" i="2" s="1"/>
  <c r="E129" i="2" l="1"/>
  <c r="D130" i="2" l="1"/>
  <c r="B130" i="2"/>
  <c r="C130" i="2" s="1"/>
  <c r="E130" i="2" l="1"/>
  <c r="D131" i="2" l="1"/>
  <c r="B131" i="2"/>
  <c r="C131" i="2" s="1"/>
  <c r="E131" i="2" l="1"/>
  <c r="D132" i="2" l="1"/>
  <c r="B132" i="2"/>
  <c r="C132" i="2" s="1"/>
  <c r="E132" i="2" l="1"/>
  <c r="D133" i="2" l="1"/>
  <c r="B133" i="2"/>
  <c r="C133" i="2" s="1"/>
  <c r="E133" i="2" l="1"/>
  <c r="D134" i="2" l="1"/>
  <c r="B134" i="2"/>
  <c r="C134" i="2" s="1"/>
  <c r="E134" i="2" l="1"/>
  <c r="D135" i="2" l="1"/>
  <c r="B135" i="2"/>
  <c r="C135" i="2" s="1"/>
  <c r="E135" i="2" l="1"/>
  <c r="D136" i="2" l="1"/>
  <c r="B136" i="2"/>
  <c r="C136" i="2" s="1"/>
  <c r="E136" i="2" l="1"/>
  <c r="D137" i="2" l="1"/>
  <c r="B137" i="2"/>
  <c r="C137" i="2" s="1"/>
  <c r="E137" i="2" l="1"/>
  <c r="D138" i="2" l="1"/>
  <c r="B138" i="2"/>
  <c r="C138" i="2" s="1"/>
  <c r="E138" i="2" l="1"/>
  <c r="D139" i="2" l="1"/>
  <c r="B139" i="2"/>
  <c r="C139" i="2" s="1"/>
  <c r="E139" i="2" l="1"/>
  <c r="D140" i="2" l="1"/>
  <c r="B140" i="2"/>
  <c r="C140" i="2" s="1"/>
  <c r="E140" i="2" l="1"/>
  <c r="D141" i="2" l="1"/>
  <c r="B141" i="2"/>
  <c r="C141" i="2" s="1"/>
  <c r="E141" i="2" l="1"/>
  <c r="D142" i="2" l="1"/>
  <c r="B142" i="2"/>
  <c r="C142" i="2" s="1"/>
  <c r="E142" i="2" l="1"/>
  <c r="D143" i="2" l="1"/>
  <c r="B143" i="2"/>
  <c r="C143" i="2" s="1"/>
  <c r="E143" i="2" l="1"/>
  <c r="D144" i="2" l="1"/>
  <c r="B144" i="2"/>
  <c r="C144" i="2" s="1"/>
  <c r="E144" i="2" l="1"/>
  <c r="D145" i="2" l="1"/>
  <c r="B145" i="2"/>
  <c r="C145" i="2" s="1"/>
  <c r="E145" i="2" l="1"/>
  <c r="D146" i="2" l="1"/>
  <c r="B146" i="2"/>
  <c r="C146" i="2" s="1"/>
  <c r="E146" i="2" l="1"/>
  <c r="D147" i="2" l="1"/>
  <c r="B147" i="2"/>
  <c r="C147" i="2" s="1"/>
  <c r="E147" i="2" l="1"/>
  <c r="D148" i="2" l="1"/>
  <c r="B148" i="2"/>
  <c r="C148" i="2" s="1"/>
  <c r="E148" i="2" l="1"/>
  <c r="D149" i="2" l="1"/>
  <c r="B149" i="2"/>
  <c r="C149" i="2" s="1"/>
  <c r="E149" i="2" l="1"/>
  <c r="D150" i="2" l="1"/>
  <c r="B150" i="2"/>
  <c r="C150" i="2" s="1"/>
  <c r="E150" i="2" l="1"/>
  <c r="D151" i="2" l="1"/>
  <c r="B151" i="2"/>
  <c r="C151" i="2" s="1"/>
  <c r="E151" i="2" l="1"/>
  <c r="D152" i="2" l="1"/>
  <c r="B152" i="2"/>
  <c r="C152" i="2" s="1"/>
  <c r="E152" i="2" l="1"/>
  <c r="D153" i="2" l="1"/>
  <c r="B153" i="2"/>
  <c r="C153" i="2" s="1"/>
  <c r="E153" i="2" l="1"/>
  <c r="D154" i="2" l="1"/>
  <c r="B154" i="2"/>
  <c r="C154" i="2" s="1"/>
  <c r="E154" i="2" l="1"/>
  <c r="D155" i="2" l="1"/>
  <c r="B155" i="2"/>
  <c r="C155" i="2" s="1"/>
  <c r="E155" i="2" l="1"/>
  <c r="D156" i="2" l="1"/>
  <c r="B156" i="2"/>
  <c r="C156" i="2" s="1"/>
  <c r="E156" i="2" l="1"/>
  <c r="D157" i="2" l="1"/>
  <c r="B157" i="2"/>
  <c r="C157" i="2" s="1"/>
  <c r="E157" i="2" l="1"/>
  <c r="D158" i="2" l="1"/>
  <c r="B158" i="2"/>
  <c r="C158" i="2" s="1"/>
  <c r="E158" i="2" l="1"/>
  <c r="D159" i="2" l="1"/>
  <c r="B159" i="2"/>
  <c r="C159" i="2" s="1"/>
  <c r="E159" i="2" l="1"/>
  <c r="D160" i="2" l="1"/>
  <c r="B160" i="2"/>
  <c r="C160" i="2" s="1"/>
  <c r="E160" i="2" l="1"/>
  <c r="D161" i="2" l="1"/>
  <c r="B161" i="2"/>
  <c r="C161" i="2" s="1"/>
  <c r="E161" i="2" l="1"/>
  <c r="D162" i="2" l="1"/>
  <c r="B162" i="2"/>
  <c r="C162" i="2" s="1"/>
  <c r="E162" i="2" l="1"/>
  <c r="D163" i="2" l="1"/>
  <c r="B163" i="2"/>
  <c r="C163" i="2" s="1"/>
  <c r="E163" i="2" l="1"/>
  <c r="D164" i="2" l="1"/>
  <c r="B164" i="2"/>
  <c r="C164" i="2" s="1"/>
  <c r="E164" i="2" l="1"/>
  <c r="D165" i="2" l="1"/>
  <c r="B165" i="2"/>
  <c r="C165" i="2" s="1"/>
  <c r="E165" i="2" l="1"/>
  <c r="D166" i="2" l="1"/>
  <c r="B166" i="2"/>
  <c r="C166" i="2" s="1"/>
  <c r="E166" i="2" l="1"/>
  <c r="D167" i="2" l="1"/>
  <c r="B167" i="2"/>
  <c r="C167" i="2" s="1"/>
  <c r="E167" i="2" l="1"/>
  <c r="D168" i="2" l="1"/>
  <c r="B168" i="2"/>
  <c r="C168" i="2" s="1"/>
  <c r="E168" i="2" l="1"/>
  <c r="D169" i="2" l="1"/>
  <c r="B169" i="2"/>
  <c r="C169" i="2" s="1"/>
  <c r="E169" i="2" l="1"/>
  <c r="D170" i="2" l="1"/>
  <c r="B170" i="2"/>
  <c r="C170" i="2" s="1"/>
  <c r="E170" i="2" l="1"/>
  <c r="D171" i="2" l="1"/>
  <c r="B171" i="2"/>
  <c r="C171" i="2" s="1"/>
  <c r="E171" i="2" l="1"/>
  <c r="D172" i="2" l="1"/>
  <c r="B172" i="2"/>
  <c r="C172" i="2" s="1"/>
  <c r="E172" i="2" l="1"/>
  <c r="D173" i="2" l="1"/>
  <c r="B173" i="2"/>
  <c r="C173" i="2" s="1"/>
  <c r="E173" i="2" l="1"/>
  <c r="D174" i="2" l="1"/>
  <c r="B174" i="2"/>
  <c r="C174" i="2" s="1"/>
  <c r="E174" i="2" l="1"/>
  <c r="D175" i="2" l="1"/>
  <c r="B175" i="2"/>
  <c r="C175" i="2" s="1"/>
  <c r="E175" i="2" l="1"/>
  <c r="D176" i="2" l="1"/>
  <c r="B176" i="2"/>
  <c r="C176" i="2" s="1"/>
  <c r="E176" i="2" l="1"/>
  <c r="D177" i="2" l="1"/>
  <c r="B177" i="2"/>
  <c r="C177" i="2" s="1"/>
  <c r="E177" i="2" l="1"/>
  <c r="D178" i="2" l="1"/>
  <c r="B178" i="2"/>
  <c r="C178" i="2" s="1"/>
  <c r="E178" i="2" l="1"/>
  <c r="D179" i="2" l="1"/>
  <c r="B179" i="2"/>
  <c r="C179" i="2" s="1"/>
  <c r="E179" i="2" l="1"/>
  <c r="D180" i="2" l="1"/>
  <c r="B180" i="2"/>
  <c r="C180" i="2" s="1"/>
  <c r="E180" i="2" l="1"/>
  <c r="D181" i="2" l="1"/>
  <c r="B181" i="2"/>
  <c r="C181" i="2" s="1"/>
  <c r="E181" i="2" l="1"/>
  <c r="D182" i="2" l="1"/>
  <c r="B182" i="2"/>
  <c r="C182" i="2" s="1"/>
  <c r="E182" i="2" l="1"/>
  <c r="D183" i="2" l="1"/>
  <c r="B183" i="2"/>
  <c r="C183" i="2" s="1"/>
  <c r="E183" i="2" l="1"/>
  <c r="D184" i="2" l="1"/>
  <c r="B184" i="2"/>
  <c r="C184" i="2" s="1"/>
  <c r="E184" i="2" l="1"/>
  <c r="D185" i="2" l="1"/>
  <c r="B185" i="2"/>
  <c r="C185" i="2" s="1"/>
  <c r="E185" i="2" l="1"/>
  <c r="D186" i="2" l="1"/>
  <c r="B186" i="2"/>
  <c r="C186" i="2" s="1"/>
  <c r="E186" i="2" l="1"/>
  <c r="D187" i="2" l="1"/>
  <c r="B187" i="2"/>
  <c r="C187" i="2" s="1"/>
  <c r="E187" i="2" l="1"/>
  <c r="D188" i="2" l="1"/>
  <c r="B188" i="2"/>
  <c r="C188" i="2" s="1"/>
  <c r="E188" i="2" l="1"/>
  <c r="D189" i="2" l="1"/>
  <c r="B189" i="2"/>
  <c r="C189" i="2" s="1"/>
  <c r="E189" i="2" l="1"/>
  <c r="D190" i="2" l="1"/>
  <c r="B190" i="2"/>
  <c r="C190" i="2" s="1"/>
  <c r="E190" i="2" l="1"/>
  <c r="D191" i="2" l="1"/>
  <c r="B191" i="2"/>
  <c r="C191" i="2" s="1"/>
  <c r="E191" i="2" l="1"/>
  <c r="D192" i="2" l="1"/>
  <c r="B192" i="2"/>
  <c r="C192" i="2" s="1"/>
  <c r="E192" i="2" l="1"/>
  <c r="D193" i="2" l="1"/>
  <c r="B193" i="2"/>
  <c r="C193" i="2" s="1"/>
  <c r="E193" i="2" l="1"/>
  <c r="D194" i="2" l="1"/>
  <c r="B194" i="2"/>
  <c r="C194" i="2" s="1"/>
  <c r="E194" i="2" l="1"/>
  <c r="D195" i="2" l="1"/>
  <c r="B195" i="2"/>
  <c r="C195" i="2" s="1"/>
  <c r="E195" i="2" l="1"/>
  <c r="D196" i="2" l="1"/>
  <c r="B196" i="2"/>
  <c r="C196" i="2" s="1"/>
  <c r="E196" i="2" l="1"/>
  <c r="D197" i="2" l="1"/>
  <c r="B197" i="2"/>
  <c r="C197" i="2" s="1"/>
  <c r="E197" i="2" l="1"/>
  <c r="D198" i="2" l="1"/>
  <c r="B198" i="2"/>
  <c r="C198" i="2" s="1"/>
  <c r="E198" i="2" l="1"/>
  <c r="D199" i="2" l="1"/>
  <c r="B199" i="2"/>
  <c r="C199" i="2" s="1"/>
  <c r="E199" i="2" l="1"/>
  <c r="D200" i="2" l="1"/>
  <c r="B200" i="2"/>
  <c r="C200" i="2" s="1"/>
  <c r="E200" i="2" l="1"/>
  <c r="D201" i="2" l="1"/>
  <c r="B201" i="2"/>
  <c r="C201" i="2" s="1"/>
  <c r="E201" i="2" l="1"/>
  <c r="D202" i="2" l="1"/>
  <c r="B202" i="2"/>
  <c r="C202" i="2" s="1"/>
  <c r="E202" i="2" l="1"/>
  <c r="D203" i="2" l="1"/>
  <c r="B203" i="2"/>
  <c r="C203" i="2" s="1"/>
  <c r="E203" i="2" l="1"/>
  <c r="D204" i="2" l="1"/>
  <c r="B204" i="2"/>
  <c r="C204" i="2" s="1"/>
  <c r="E204" i="2" l="1"/>
  <c r="D205" i="2" l="1"/>
  <c r="B205" i="2"/>
  <c r="C205" i="2" s="1"/>
  <c r="E205" i="2" l="1"/>
  <c r="D206" i="2" l="1"/>
  <c r="B206" i="2"/>
  <c r="C206" i="2" s="1"/>
  <c r="E206" i="2" l="1"/>
  <c r="D207" i="2" l="1"/>
  <c r="B207" i="2"/>
  <c r="C207" i="2" s="1"/>
  <c r="E207" i="2" l="1"/>
  <c r="D208" i="2" l="1"/>
  <c r="B208" i="2"/>
  <c r="C208" i="2" s="1"/>
  <c r="E208" i="2" l="1"/>
  <c r="D209" i="2" l="1"/>
  <c r="B209" i="2"/>
  <c r="C209" i="2" s="1"/>
  <c r="E209" i="2" l="1"/>
  <c r="D210" i="2" l="1"/>
  <c r="B210" i="2"/>
  <c r="C210" i="2" s="1"/>
  <c r="E210" i="2" l="1"/>
  <c r="D211" i="2" l="1"/>
  <c r="B211" i="2"/>
  <c r="C211" i="2" s="1"/>
  <c r="E211" i="2" l="1"/>
  <c r="D212" i="2" l="1"/>
  <c r="B212" i="2"/>
  <c r="C212" i="2" s="1"/>
  <c r="E212" i="2" l="1"/>
  <c r="D213" i="2" l="1"/>
  <c r="B213" i="2"/>
  <c r="C213" i="2" s="1"/>
  <c r="E213" i="2" l="1"/>
  <c r="D214" i="2" l="1"/>
  <c r="B214" i="2"/>
  <c r="C214" i="2" s="1"/>
  <c r="E214" i="2" l="1"/>
  <c r="D215" i="2" l="1"/>
  <c r="B215" i="2"/>
  <c r="C215" i="2" s="1"/>
  <c r="E215" i="2" l="1"/>
  <c r="D216" i="2" l="1"/>
  <c r="B216" i="2"/>
  <c r="C216" i="2" s="1"/>
  <c r="E216" i="2" l="1"/>
  <c r="D217" i="2" l="1"/>
  <c r="B217" i="2"/>
  <c r="C217" i="2" s="1"/>
  <c r="E217" i="2" l="1"/>
  <c r="D218" i="2" l="1"/>
  <c r="B218" i="2"/>
  <c r="C218" i="2" s="1"/>
  <c r="E218" i="2" l="1"/>
  <c r="D219" i="2" l="1"/>
  <c r="B219" i="2"/>
  <c r="C219" i="2" s="1"/>
  <c r="E219" i="2" l="1"/>
  <c r="D220" i="2" l="1"/>
  <c r="B220" i="2"/>
  <c r="C220" i="2" s="1"/>
  <c r="E220" i="2" l="1"/>
  <c r="D221" i="2" l="1"/>
  <c r="B221" i="2"/>
  <c r="C221" i="2" s="1"/>
  <c r="E221" i="2" l="1"/>
  <c r="D222" i="2" l="1"/>
  <c r="B222" i="2"/>
  <c r="C222" i="2" s="1"/>
  <c r="E222" i="2" l="1"/>
  <c r="D223" i="2" l="1"/>
  <c r="B223" i="2"/>
  <c r="C223" i="2" s="1"/>
  <c r="E223" i="2" l="1"/>
  <c r="D224" i="2" l="1"/>
  <c r="B224" i="2"/>
  <c r="C224" i="2" s="1"/>
  <c r="E224" i="2" l="1"/>
  <c r="D225" i="2" l="1"/>
  <c r="B225" i="2"/>
  <c r="C225" i="2" s="1"/>
  <c r="E225" i="2" l="1"/>
  <c r="D226" i="2" l="1"/>
  <c r="B226" i="2"/>
  <c r="C226" i="2" s="1"/>
  <c r="E226" i="2" l="1"/>
  <c r="D227" i="2" l="1"/>
  <c r="B227" i="2"/>
  <c r="C227" i="2" s="1"/>
  <c r="E227" i="2" l="1"/>
  <c r="D228" i="2" l="1"/>
  <c r="B228" i="2"/>
  <c r="C228" i="2" s="1"/>
  <c r="E228" i="2" l="1"/>
  <c r="D229" i="2" l="1"/>
  <c r="B229" i="2"/>
  <c r="C229" i="2" s="1"/>
  <c r="E229" i="2" l="1"/>
  <c r="D230" i="2" l="1"/>
  <c r="B230" i="2"/>
  <c r="C230" i="2" s="1"/>
  <c r="E230" i="2" l="1"/>
  <c r="D231" i="2" l="1"/>
  <c r="B231" i="2"/>
  <c r="C231" i="2" s="1"/>
  <c r="E231" i="2" l="1"/>
  <c r="D232" i="2" l="1"/>
  <c r="B232" i="2"/>
  <c r="C232" i="2" s="1"/>
  <c r="E232" i="2" l="1"/>
  <c r="D233" i="2" l="1"/>
  <c r="B233" i="2"/>
  <c r="C233" i="2" s="1"/>
  <c r="E233" i="2" l="1"/>
  <c r="D234" i="2" l="1"/>
  <c r="B234" i="2"/>
  <c r="C234" i="2" s="1"/>
  <c r="E234" i="2" l="1"/>
  <c r="D235" i="2" l="1"/>
  <c r="B235" i="2"/>
  <c r="C235" i="2" s="1"/>
  <c r="E235" i="2" l="1"/>
  <c r="D236" i="2" l="1"/>
  <c r="B236" i="2"/>
  <c r="C236" i="2" s="1"/>
  <c r="E236" i="2" l="1"/>
  <c r="D237" i="2" l="1"/>
  <c r="B237" i="2"/>
  <c r="C237" i="2" s="1"/>
  <c r="E237" i="2" l="1"/>
  <c r="D238" i="2" l="1"/>
  <c r="B238" i="2"/>
  <c r="C238" i="2" s="1"/>
  <c r="E238" i="2" l="1"/>
  <c r="D239" i="2" l="1"/>
  <c r="B239" i="2"/>
  <c r="C239" i="2" s="1"/>
  <c r="E239" i="2" l="1"/>
  <c r="D240" i="2" l="1"/>
  <c r="B240" i="2"/>
  <c r="C240" i="2" s="1"/>
  <c r="E240" i="2" l="1"/>
  <c r="D241" i="2" l="1"/>
  <c r="B241" i="2"/>
  <c r="C241" i="2" s="1"/>
  <c r="E241" i="2" l="1"/>
  <c r="D242" i="2" l="1"/>
  <c r="B242" i="2"/>
  <c r="C242" i="2" s="1"/>
  <c r="E242" i="2" l="1"/>
  <c r="D243" i="2" l="1"/>
  <c r="B243" i="2"/>
  <c r="C243" i="2" s="1"/>
  <c r="E243" i="2" l="1"/>
  <c r="D244" i="2" l="1"/>
  <c r="B244" i="2"/>
  <c r="C244" i="2" s="1"/>
  <c r="E244" i="2" l="1"/>
  <c r="D245" i="2" l="1"/>
  <c r="B245" i="2"/>
  <c r="C245" i="2" s="1"/>
  <c r="E245" i="2" l="1"/>
  <c r="D246" i="2" l="1"/>
  <c r="B246" i="2"/>
  <c r="C246" i="2" s="1"/>
  <c r="E246" i="2" l="1"/>
  <c r="D247" i="2" l="1"/>
  <c r="B247" i="2"/>
  <c r="C247" i="2" s="1"/>
  <c r="E247" i="2" l="1"/>
  <c r="D248" i="2" l="1"/>
  <c r="B248" i="2"/>
  <c r="C248" i="2" s="1"/>
  <c r="E248" i="2" l="1"/>
  <c r="D249" i="2" l="1"/>
  <c r="B249" i="2"/>
  <c r="C249" i="2" s="1"/>
  <c r="E249" i="2" l="1"/>
  <c r="D250" i="2" l="1"/>
  <c r="B250" i="2"/>
  <c r="C250" i="2" s="1"/>
  <c r="E250" i="2" l="1"/>
  <c r="D251" i="2" l="1"/>
  <c r="B251" i="2"/>
  <c r="C251" i="2" s="1"/>
  <c r="E251" i="2" l="1"/>
  <c r="D252" i="2" l="1"/>
  <c r="B252" i="2"/>
  <c r="C252" i="2" s="1"/>
  <c r="E252" i="2" l="1"/>
  <c r="D253" i="2" l="1"/>
  <c r="B253" i="2"/>
  <c r="C253" i="2" s="1"/>
  <c r="E253" i="2" l="1"/>
  <c r="D254" i="2" l="1"/>
  <c r="B254" i="2"/>
  <c r="C254" i="2" s="1"/>
  <c r="E254" i="2" l="1"/>
  <c r="D255" i="2" l="1"/>
  <c r="B255" i="2"/>
  <c r="C255" i="2" s="1"/>
  <c r="E255" i="2" l="1"/>
  <c r="D256" i="2" l="1"/>
  <c r="B256" i="2"/>
  <c r="C256" i="2" s="1"/>
  <c r="E256" i="2" l="1"/>
  <c r="D257" i="2" l="1"/>
  <c r="B257" i="2"/>
  <c r="C257" i="2" s="1"/>
  <c r="E257" i="2" l="1"/>
  <c r="D258" i="2" l="1"/>
  <c r="B258" i="2"/>
  <c r="C258" i="2" s="1"/>
  <c r="E258" i="2" l="1"/>
  <c r="D259" i="2" l="1"/>
  <c r="B259" i="2"/>
  <c r="C259" i="2" s="1"/>
  <c r="E259" i="2" l="1"/>
  <c r="D260" i="2" l="1"/>
  <c r="B260" i="2"/>
  <c r="C260" i="2" s="1"/>
  <c r="E260" i="2" l="1"/>
  <c r="D261" i="2" l="1"/>
  <c r="B261" i="2"/>
  <c r="C261" i="2" s="1"/>
  <c r="E261" i="2" l="1"/>
  <c r="D262" i="2" l="1"/>
  <c r="B262" i="2"/>
  <c r="C262" i="2" s="1"/>
  <c r="E262" i="2" l="1"/>
  <c r="D263" i="2" l="1"/>
  <c r="B263" i="2"/>
  <c r="C263" i="2" s="1"/>
  <c r="E263" i="2" l="1"/>
  <c r="D264" i="2" l="1"/>
  <c r="B264" i="2"/>
  <c r="C264" i="2" s="1"/>
  <c r="E264" i="2" l="1"/>
  <c r="D265" i="2" l="1"/>
  <c r="B265" i="2"/>
  <c r="C265" i="2" s="1"/>
  <c r="E265" i="2" l="1"/>
  <c r="D266" i="2" l="1"/>
  <c r="B266" i="2"/>
  <c r="C266" i="2" s="1"/>
  <c r="E266" i="2" l="1"/>
  <c r="D267" i="2" l="1"/>
  <c r="B267" i="2"/>
  <c r="C267" i="2" s="1"/>
  <c r="E267" i="2" l="1"/>
  <c r="D268" i="2" l="1"/>
  <c r="B268" i="2"/>
  <c r="C268" i="2" s="1"/>
  <c r="E268" i="2" l="1"/>
  <c r="D269" i="2" l="1"/>
  <c r="B269" i="2"/>
  <c r="C269" i="2" s="1"/>
  <c r="E269" i="2" l="1"/>
  <c r="D270" i="2" l="1"/>
  <c r="B270" i="2"/>
  <c r="C270" i="2" s="1"/>
  <c r="E270" i="2" l="1"/>
  <c r="D271" i="2" l="1"/>
  <c r="B271" i="2"/>
  <c r="C271" i="2" s="1"/>
  <c r="E271" i="2" l="1"/>
  <c r="D272" i="2" l="1"/>
  <c r="B272" i="2"/>
  <c r="C272" i="2" s="1"/>
  <c r="E272" i="2" l="1"/>
  <c r="D273" i="2" l="1"/>
  <c r="B273" i="2"/>
  <c r="C273" i="2" s="1"/>
  <c r="E273" i="2" l="1"/>
  <c r="D274" i="2" l="1"/>
  <c r="B274" i="2"/>
  <c r="C274" i="2" s="1"/>
  <c r="E274" i="2" l="1"/>
  <c r="D275" i="2" l="1"/>
  <c r="B275" i="2"/>
  <c r="C275" i="2" s="1"/>
  <c r="E275" i="2" l="1"/>
  <c r="D276" i="2" l="1"/>
  <c r="B276" i="2"/>
  <c r="C276" i="2" s="1"/>
  <c r="E276" i="2" l="1"/>
  <c r="D277" i="2" l="1"/>
  <c r="B277" i="2"/>
  <c r="C277" i="2" s="1"/>
  <c r="E277" i="2" l="1"/>
  <c r="D278" i="2" l="1"/>
  <c r="B278" i="2"/>
  <c r="C278" i="2" s="1"/>
  <c r="E278" i="2" l="1"/>
  <c r="D279" i="2" l="1"/>
  <c r="B279" i="2"/>
  <c r="C279" i="2" s="1"/>
  <c r="E279" i="2" l="1"/>
  <c r="D280" i="2" l="1"/>
  <c r="B280" i="2"/>
  <c r="C280" i="2" s="1"/>
  <c r="E280" i="2" l="1"/>
  <c r="D281" i="2" l="1"/>
  <c r="B281" i="2"/>
  <c r="C281" i="2" s="1"/>
  <c r="E281" i="2" l="1"/>
  <c r="D282" i="2" l="1"/>
  <c r="B282" i="2"/>
  <c r="C282" i="2" s="1"/>
  <c r="E282" i="2" l="1"/>
  <c r="D283" i="2" l="1"/>
  <c r="B283" i="2"/>
  <c r="C283" i="2" s="1"/>
  <c r="E283" i="2" l="1"/>
  <c r="D284" i="2" l="1"/>
  <c r="B284" i="2"/>
  <c r="C284" i="2" s="1"/>
  <c r="E284" i="2" l="1"/>
  <c r="D285" i="2" l="1"/>
  <c r="B285" i="2"/>
  <c r="C285" i="2" s="1"/>
  <c r="E285" i="2" l="1"/>
  <c r="D286" i="2" l="1"/>
  <c r="B286" i="2"/>
  <c r="C286" i="2" s="1"/>
  <c r="E286" i="2" l="1"/>
  <c r="D287" i="2" l="1"/>
  <c r="B287" i="2"/>
  <c r="C287" i="2" s="1"/>
  <c r="E287" i="2" l="1"/>
  <c r="D288" i="2" l="1"/>
  <c r="B288" i="2"/>
  <c r="C288" i="2" s="1"/>
  <c r="E288" i="2" l="1"/>
  <c r="D289" i="2" l="1"/>
  <c r="B289" i="2"/>
  <c r="C289" i="2" s="1"/>
  <c r="E289" i="2" l="1"/>
  <c r="D290" i="2" l="1"/>
  <c r="B290" i="2"/>
  <c r="C290" i="2" s="1"/>
  <c r="E290" i="2" l="1"/>
  <c r="D291" i="2" l="1"/>
  <c r="B291" i="2"/>
  <c r="C291" i="2" s="1"/>
  <c r="E291" i="2" l="1"/>
  <c r="D292" i="2" l="1"/>
  <c r="B292" i="2"/>
  <c r="C292" i="2" s="1"/>
  <c r="E292" i="2" l="1"/>
  <c r="D293" i="2" l="1"/>
  <c r="B293" i="2"/>
  <c r="C293" i="2" s="1"/>
  <c r="E293" i="2" l="1"/>
  <c r="D294" i="2" l="1"/>
  <c r="B294" i="2"/>
  <c r="C294" i="2" s="1"/>
  <c r="E294" i="2" l="1"/>
  <c r="D295" i="2" l="1"/>
  <c r="B295" i="2"/>
  <c r="C295" i="2" s="1"/>
  <c r="E295" i="2" l="1"/>
  <c r="D296" i="2" l="1"/>
  <c r="B296" i="2"/>
  <c r="C296" i="2" s="1"/>
  <c r="E296" i="2" l="1"/>
  <c r="D297" i="2" l="1"/>
  <c r="B297" i="2"/>
  <c r="C297" i="2" s="1"/>
  <c r="E297" i="2" l="1"/>
  <c r="D298" i="2" l="1"/>
  <c r="B298" i="2"/>
  <c r="C298" i="2" s="1"/>
  <c r="E298" i="2" l="1"/>
  <c r="D299" i="2" l="1"/>
  <c r="B299" i="2"/>
  <c r="C299" i="2" s="1"/>
  <c r="E299" i="2" l="1"/>
  <c r="D300" i="2" l="1"/>
  <c r="B300" i="2"/>
  <c r="C300" i="2" s="1"/>
  <c r="E300" i="2" l="1"/>
  <c r="D301" i="2" l="1"/>
  <c r="B301" i="2"/>
  <c r="C301" i="2" s="1"/>
  <c r="E301" i="2" l="1"/>
  <c r="D302" i="2" l="1"/>
  <c r="B302" i="2"/>
  <c r="C302" i="2" s="1"/>
  <c r="E302" i="2" l="1"/>
  <c r="D303" i="2" l="1"/>
  <c r="B303" i="2"/>
  <c r="C303" i="2" s="1"/>
  <c r="E303" i="2" l="1"/>
  <c r="D304" i="2" l="1"/>
  <c r="B304" i="2"/>
  <c r="C304" i="2" s="1"/>
  <c r="E304" i="2" l="1"/>
  <c r="D305" i="2" l="1"/>
  <c r="B305" i="2"/>
  <c r="C305" i="2" s="1"/>
  <c r="E305" i="2" l="1"/>
  <c r="D306" i="2" l="1"/>
  <c r="B306" i="2"/>
  <c r="C306" i="2" s="1"/>
  <c r="E306" i="2" l="1"/>
  <c r="D307" i="2" l="1"/>
  <c r="B307" i="2"/>
  <c r="C307" i="2" s="1"/>
  <c r="E307" i="2" l="1"/>
  <c r="D308" i="2" l="1"/>
  <c r="B308" i="2"/>
  <c r="C308" i="2" s="1"/>
  <c r="E308" i="2" l="1"/>
  <c r="D309" i="2" l="1"/>
  <c r="B309" i="2"/>
  <c r="C309" i="2" s="1"/>
  <c r="E309" i="2" l="1"/>
  <c r="D310" i="2" l="1"/>
  <c r="B310" i="2"/>
  <c r="C310" i="2" s="1"/>
  <c r="E310" i="2" l="1"/>
  <c r="D311" i="2" l="1"/>
  <c r="B311" i="2"/>
  <c r="C311" i="2" s="1"/>
  <c r="E311" i="2" l="1"/>
  <c r="D312" i="2" l="1"/>
  <c r="B312" i="2"/>
  <c r="C312" i="2" s="1"/>
  <c r="E312" i="2" l="1"/>
  <c r="D313" i="2" l="1"/>
  <c r="B313" i="2"/>
  <c r="C313" i="2" s="1"/>
  <c r="E313" i="2" l="1"/>
  <c r="D314" i="2" l="1"/>
  <c r="B314" i="2"/>
  <c r="C314" i="2" s="1"/>
  <c r="E314" i="2" l="1"/>
  <c r="D315" i="2" l="1"/>
  <c r="B315" i="2"/>
  <c r="C315" i="2" s="1"/>
  <c r="E315" i="2" l="1"/>
  <c r="D316" i="2" l="1"/>
  <c r="B316" i="2"/>
  <c r="C316" i="2" s="1"/>
  <c r="E316" i="2" l="1"/>
  <c r="D317" i="2" l="1"/>
  <c r="B317" i="2"/>
  <c r="C317" i="2" s="1"/>
  <c r="E317" i="2" l="1"/>
  <c r="D318" i="2" l="1"/>
  <c r="B318" i="2"/>
  <c r="C318" i="2" s="1"/>
  <c r="E318" i="2" l="1"/>
  <c r="D319" i="2" l="1"/>
  <c r="B319" i="2"/>
  <c r="C319" i="2" s="1"/>
  <c r="E319" i="2" l="1"/>
  <c r="D320" i="2" l="1"/>
  <c r="B320" i="2"/>
  <c r="C320" i="2" s="1"/>
  <c r="E320" i="2" l="1"/>
  <c r="D321" i="2" l="1"/>
  <c r="B321" i="2"/>
  <c r="C321" i="2" s="1"/>
  <c r="E321" i="2" l="1"/>
  <c r="D322" i="2" l="1"/>
  <c r="B322" i="2"/>
  <c r="C322" i="2" s="1"/>
  <c r="E322" i="2" l="1"/>
  <c r="D323" i="2" l="1"/>
  <c r="B323" i="2"/>
  <c r="C323" i="2" s="1"/>
  <c r="E323" i="2" l="1"/>
  <c r="D324" i="2" l="1"/>
  <c r="B324" i="2"/>
  <c r="C324" i="2" s="1"/>
  <c r="E324" i="2" l="1"/>
  <c r="D325" i="2" l="1"/>
  <c r="B325" i="2"/>
  <c r="C325" i="2" s="1"/>
  <c r="E325" i="2" l="1"/>
  <c r="D326" i="2" l="1"/>
  <c r="B326" i="2"/>
  <c r="C326" i="2" s="1"/>
  <c r="E326" i="2" l="1"/>
  <c r="D327" i="2" l="1"/>
  <c r="B327" i="2"/>
  <c r="C327" i="2" s="1"/>
  <c r="E327" i="2" l="1"/>
  <c r="D328" i="2" l="1"/>
  <c r="B328" i="2"/>
  <c r="C328" i="2" s="1"/>
  <c r="E328" i="2" l="1"/>
  <c r="D329" i="2" l="1"/>
  <c r="B329" i="2"/>
  <c r="C329" i="2" s="1"/>
  <c r="E329" i="2" l="1"/>
  <c r="D330" i="2" l="1"/>
  <c r="B330" i="2"/>
  <c r="C330" i="2" s="1"/>
  <c r="E330" i="2" l="1"/>
  <c r="D331" i="2" l="1"/>
  <c r="B331" i="2"/>
  <c r="C331" i="2" s="1"/>
  <c r="E331" i="2" l="1"/>
  <c r="D332" i="2" l="1"/>
  <c r="B332" i="2"/>
  <c r="C332" i="2" s="1"/>
  <c r="E332" i="2" l="1"/>
  <c r="D333" i="2" l="1"/>
  <c r="B333" i="2"/>
  <c r="C333" i="2" s="1"/>
  <c r="E333" i="2" l="1"/>
  <c r="D334" i="2" l="1"/>
  <c r="B334" i="2"/>
  <c r="C334" i="2" s="1"/>
  <c r="E334" i="2" l="1"/>
  <c r="D335" i="2" l="1"/>
  <c r="B335" i="2"/>
  <c r="C335" i="2" s="1"/>
  <c r="E335" i="2" l="1"/>
  <c r="D336" i="2" l="1"/>
  <c r="B336" i="2"/>
  <c r="C336" i="2" s="1"/>
  <c r="E336" i="2" l="1"/>
  <c r="D337" i="2" l="1"/>
  <c r="B337" i="2"/>
  <c r="C337" i="2" s="1"/>
  <c r="E337" i="2" l="1"/>
  <c r="D338" i="2" l="1"/>
  <c r="B338" i="2"/>
  <c r="C338" i="2" s="1"/>
  <c r="E338" i="2" l="1"/>
  <c r="D339" i="2" l="1"/>
  <c r="B339" i="2"/>
  <c r="C339" i="2" s="1"/>
  <c r="E339" i="2" l="1"/>
  <c r="D340" i="2" l="1"/>
  <c r="B340" i="2"/>
  <c r="C340" i="2" s="1"/>
  <c r="E340" i="2" l="1"/>
  <c r="D341" i="2" l="1"/>
  <c r="B341" i="2"/>
  <c r="C341" i="2" s="1"/>
  <c r="E341" i="2" l="1"/>
  <c r="D342" i="2" l="1"/>
  <c r="B342" i="2"/>
  <c r="C342" i="2" s="1"/>
  <c r="E342" i="2" l="1"/>
  <c r="D343" i="2" l="1"/>
  <c r="B343" i="2"/>
  <c r="C343" i="2" s="1"/>
  <c r="E343" i="2" l="1"/>
  <c r="D344" i="2" l="1"/>
  <c r="B344" i="2"/>
  <c r="C344" i="2" s="1"/>
  <c r="E344" i="2" l="1"/>
  <c r="D345" i="2" l="1"/>
  <c r="B345" i="2"/>
  <c r="C345" i="2" s="1"/>
  <c r="E345" i="2" l="1"/>
  <c r="D346" i="2" l="1"/>
  <c r="B346" i="2"/>
  <c r="C346" i="2" s="1"/>
  <c r="E346" i="2" l="1"/>
  <c r="D347" i="2" l="1"/>
  <c r="B347" i="2"/>
  <c r="C347" i="2" s="1"/>
  <c r="E347" i="2" l="1"/>
  <c r="D348" i="2" l="1"/>
  <c r="B348" i="2"/>
  <c r="C348" i="2" s="1"/>
  <c r="E348" i="2" l="1"/>
  <c r="D349" i="2" l="1"/>
  <c r="B349" i="2"/>
  <c r="C349" i="2" s="1"/>
  <c r="E349" i="2" l="1"/>
  <c r="D350" i="2" l="1"/>
  <c r="B350" i="2"/>
  <c r="C350" i="2" s="1"/>
  <c r="E350" i="2" l="1"/>
  <c r="D351" i="2" l="1"/>
  <c r="B351" i="2"/>
  <c r="C351" i="2" s="1"/>
  <c r="E351" i="2" l="1"/>
  <c r="D352" i="2" l="1"/>
  <c r="B352" i="2"/>
  <c r="C352" i="2" s="1"/>
  <c r="E352" i="2" l="1"/>
  <c r="D353" i="2" l="1"/>
  <c r="B353" i="2"/>
  <c r="C353" i="2" s="1"/>
  <c r="E353" i="2" l="1"/>
  <c r="D354" i="2" l="1"/>
  <c r="B354" i="2"/>
  <c r="C354" i="2" s="1"/>
  <c r="E354" i="2" l="1"/>
  <c r="D355" i="2" l="1"/>
  <c r="B355" i="2"/>
  <c r="C355" i="2" s="1"/>
  <c r="E355" i="2" l="1"/>
  <c r="D356" i="2" l="1"/>
  <c r="B356" i="2"/>
  <c r="C356" i="2" s="1"/>
  <c r="E356" i="2" l="1"/>
  <c r="D357" i="2" l="1"/>
  <c r="B357" i="2"/>
  <c r="C357" i="2" s="1"/>
  <c r="E357" i="2" l="1"/>
  <c r="D358" i="2" l="1"/>
  <c r="B358" i="2"/>
  <c r="C358" i="2" s="1"/>
  <c r="E358" i="2" l="1"/>
  <c r="D359" i="2" l="1"/>
  <c r="B359" i="2"/>
  <c r="C359" i="2" s="1"/>
  <c r="E359" i="2" l="1"/>
  <c r="D360" i="2" l="1"/>
  <c r="B360" i="2"/>
  <c r="C360" i="2" s="1"/>
  <c r="E360" i="2" l="1"/>
  <c r="D361" i="2" l="1"/>
  <c r="B361" i="2"/>
  <c r="C361" i="2" s="1"/>
  <c r="E361" i="2" l="1"/>
  <c r="D362" i="2" l="1"/>
  <c r="B362" i="2"/>
  <c r="C362" i="2" s="1"/>
  <c r="E362" i="2" l="1"/>
  <c r="D363" i="2" l="1"/>
  <c r="B363" i="2"/>
  <c r="C363" i="2" s="1"/>
  <c r="E363" i="2" l="1"/>
  <c r="D364" i="2" l="1"/>
  <c r="B364" i="2"/>
  <c r="C364" i="2" s="1"/>
  <c r="E364" i="2" l="1"/>
  <c r="D365" i="2" l="1"/>
  <c r="B365" i="2"/>
  <c r="C365" i="2" s="1"/>
  <c r="E365" i="2" l="1"/>
  <c r="D366" i="2" l="1"/>
  <c r="B366" i="2"/>
  <c r="C366" i="2" s="1"/>
  <c r="E366" i="2" l="1"/>
  <c r="D367" i="2" l="1"/>
  <c r="B367" i="2"/>
  <c r="C367" i="2" s="1"/>
  <c r="E367" i="2" l="1"/>
  <c r="D368" i="2" l="1"/>
  <c r="B368" i="2"/>
  <c r="C368" i="2" s="1"/>
  <c r="E368" i="2" l="1"/>
  <c r="D369" i="2" l="1"/>
  <c r="B369" i="2"/>
  <c r="C369" i="2" s="1"/>
  <c r="E369" i="2" l="1"/>
  <c r="D370" i="2" l="1"/>
  <c r="B370" i="2"/>
  <c r="C370" i="2" s="1"/>
  <c r="E370" i="2" l="1"/>
  <c r="D371" i="2" l="1"/>
  <c r="B371" i="2"/>
  <c r="C371" i="2" s="1"/>
  <c r="E371" i="2" l="1"/>
  <c r="D372" i="2" l="1"/>
  <c r="D11" i="2" s="1"/>
  <c r="B372" i="2"/>
  <c r="C372" i="2" s="1"/>
  <c r="C11" i="2" l="1"/>
  <c r="E372" i="2"/>
</calcChain>
</file>

<file path=xl/sharedStrings.xml><?xml version="1.0" encoding="utf-8"?>
<sst xmlns="http://schemas.openxmlformats.org/spreadsheetml/2006/main" count="24" uniqueCount="23">
  <si>
    <t xml:space="preserve">THIS IS A VIEW-ONLY EXCEL SHEET. </t>
  </si>
  <si>
    <t>DOWNLOAD THIS SHEET (FILE -&gt; DOWNLOAD AS XLSX) AND THEN USE IT ON YOUR OWN</t>
  </si>
  <si>
    <t>This sheet has been prepared by Ankur Warikoo, who is NOT a financial advisor :)</t>
  </si>
  <si>
    <t>So use this sheet with your judgement and not like "this is my final decision"</t>
  </si>
  <si>
    <t xml:space="preserve">All cells in green are input cells, which means you have to put in the number </t>
  </si>
  <si>
    <t>All other cells - ideally you should not touch them. But I have kept them open, so that you can see the formula and how it works</t>
  </si>
  <si>
    <t>NOTE:</t>
  </si>
  <si>
    <t>Since I am not a financial advisor, there could be some errors in the sheet. If there are, send me an email and I will fix them. Simple :)</t>
  </si>
  <si>
    <t xml:space="preserve">Hope you find this useful. </t>
  </si>
  <si>
    <t>Loan Amount</t>
  </si>
  <si>
    <t>Rate of Interest</t>
  </si>
  <si>
    <t>Tenure</t>
  </si>
  <si>
    <t>years</t>
  </si>
  <si>
    <t>EMI</t>
  </si>
  <si>
    <t>Principle Amount Paid</t>
  </si>
  <si>
    <t>Interest Paid</t>
  </si>
  <si>
    <t>Pay extra EMI every year</t>
  </si>
  <si>
    <t>Hike EMI by __% every year</t>
  </si>
  <si>
    <t>Month</t>
  </si>
  <si>
    <t>Towards Loan</t>
  </si>
  <si>
    <t>Towards Interest</t>
  </si>
  <si>
    <t>Outstanding Loan</t>
  </si>
  <si>
    <t>Prepayment?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</si>
</sst>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_ * #,##0_ ;_ * \-#,##0_ ;_ * &quot;-&quot;??_ ;_ @_ 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165" fontId="0" fillId="4" borderId="0" xfId="0" applyNumberFormat="1" applyFill="1"/>
    <xf numFmtId="165" fontId="0" fillId="0" borderId="0" xfId="0" applyNumberFormat="1"/>
    <xf numFmtId="9" fontId="0" fillId="4" borderId="0" xfId="0" applyNumberFormat="1" applyFill="1"/>
    <xf numFmtId="0" fontId="3" fillId="4" borderId="0" xfId="0" applyFont="1" applyFill="1"/>
    <xf numFmtId="164" fontId="0" fillId="0" borderId="0" xfId="0" applyNumberFormat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Loan Repayment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Towards Loan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Calculations!$C$13:$C$372</c:f>
              <c:numCache>
                <c:formatCode>"₹"\ #,##0;[Red]"₹"\ \-#,##0</c:formatCode>
                <c:ptCount val="360"/>
                <c:pt idx="0">
                  <c:v>5257.4776353168199</c:v>
                </c:pt>
                <c:pt idx="1">
                  <c:v>5292.5274862189326</c:v>
                </c:pt>
                <c:pt idx="2">
                  <c:v>5327.8110027937291</c:v>
                </c:pt>
                <c:pt idx="3">
                  <c:v>5363.3297428123551</c:v>
                </c:pt>
                <c:pt idx="4">
                  <c:v>5399.0852744311051</c:v>
                </c:pt>
                <c:pt idx="5">
                  <c:v>5435.0791762606386</c:v>
                </c:pt>
                <c:pt idx="6">
                  <c:v>5471.3130374357133</c:v>
                </c:pt>
                <c:pt idx="7">
                  <c:v>5507.7884576852884</c:v>
                </c:pt>
                <c:pt idx="8">
                  <c:v>5544.5070474031891</c:v>
                </c:pt>
                <c:pt idx="9">
                  <c:v>5581.4704277192141</c:v>
                </c:pt>
                <c:pt idx="10">
                  <c:v>5618.6802305706733</c:v>
                </c:pt>
                <c:pt idx="11">
                  <c:v>5656.1380987744778</c:v>
                </c:pt>
                <c:pt idx="12">
                  <c:v>9552.926782964656</c:v>
                </c:pt>
                <c:pt idx="13">
                  <c:v>9873.8850346420913</c:v>
                </c:pt>
                <c:pt idx="14">
                  <c:v>9939.710934873041</c:v>
                </c:pt>
                <c:pt idx="15">
                  <c:v>10005.975674438858</c:v>
                </c:pt>
                <c:pt idx="16">
                  <c:v>10072.68217893512</c:v>
                </c:pt>
                <c:pt idx="17">
                  <c:v>10139.833393461351</c:v>
                </c:pt>
                <c:pt idx="18">
                  <c:v>10207.432282751095</c:v>
                </c:pt>
                <c:pt idx="19">
                  <c:v>10275.481831302768</c:v>
                </c:pt>
                <c:pt idx="20">
                  <c:v>10343.985043511453</c:v>
                </c:pt>
                <c:pt idx="21">
                  <c:v>10412.944943801533</c:v>
                </c:pt>
                <c:pt idx="22">
                  <c:v>10482.36457676021</c:v>
                </c:pt>
                <c:pt idx="23">
                  <c:v>10552.247007271944</c:v>
                </c:pt>
                <c:pt idx="24">
                  <c:v>14867.584527205279</c:v>
                </c:pt>
                <c:pt idx="25">
                  <c:v>15223.973830510982</c:v>
                </c:pt>
                <c:pt idx="26">
                  <c:v>15325.466989381053</c:v>
                </c:pt>
                <c:pt idx="27">
                  <c:v>15427.636769310262</c:v>
                </c:pt>
                <c:pt idx="28">
                  <c:v>15530.487681105667</c:v>
                </c:pt>
                <c:pt idx="29">
                  <c:v>15634.024265646371</c:v>
                </c:pt>
                <c:pt idx="30">
                  <c:v>15738.251094084011</c:v>
                </c:pt>
                <c:pt idx="31">
                  <c:v>15843.172768044573</c:v>
                </c:pt>
                <c:pt idx="32">
                  <c:v>15948.793919831536</c:v>
                </c:pt>
                <c:pt idx="33">
                  <c:v>16055.119212630412</c:v>
                </c:pt>
                <c:pt idx="34">
                  <c:v>16162.153340714613</c:v>
                </c:pt>
                <c:pt idx="35">
                  <c:v>16269.901029652716</c:v>
                </c:pt>
                <c:pt idx="36">
                  <c:v>21047.855163723736</c:v>
                </c:pt>
                <c:pt idx="37">
                  <c:v>21445.446271272893</c:v>
                </c:pt>
                <c:pt idx="38">
                  <c:v>21588.415913081382</c:v>
                </c:pt>
                <c:pt idx="39">
                  <c:v>21732.338685835264</c:v>
                </c:pt>
                <c:pt idx="40">
                  <c:v>21877.220943740835</c:v>
                </c:pt>
                <c:pt idx="41">
                  <c:v>22023.069083365768</c:v>
                </c:pt>
                <c:pt idx="42">
                  <c:v>22169.889543921538</c:v>
                </c:pt>
                <c:pt idx="43">
                  <c:v>22317.688807547685</c:v>
                </c:pt>
                <c:pt idx="44">
                  <c:v>22466.473399598002</c:v>
                </c:pt>
                <c:pt idx="45">
                  <c:v>22616.249888928658</c:v>
                </c:pt>
                <c:pt idx="46">
                  <c:v>22767.024888188182</c:v>
                </c:pt>
                <c:pt idx="47">
                  <c:v>22918.805054109438</c:v>
                </c:pt>
                <c:pt idx="48">
                  <c:v>28208.034027730846</c:v>
                </c:pt>
                <c:pt idx="49">
                  <c:v>28653.359661040053</c:v>
                </c:pt>
                <c:pt idx="50">
                  <c:v>28844.382058780317</c:v>
                </c:pt>
                <c:pt idx="51">
                  <c:v>29036.677939172187</c:v>
                </c:pt>
                <c:pt idx="52">
                  <c:v>29230.255792100004</c:v>
                </c:pt>
                <c:pt idx="53">
                  <c:v>29425.124164047338</c:v>
                </c:pt>
                <c:pt idx="54">
                  <c:v>29621.291658474318</c:v>
                </c:pt>
                <c:pt idx="55">
                  <c:v>29818.766936197477</c:v>
                </c:pt>
                <c:pt idx="56">
                  <c:v>30017.558715772127</c:v>
                </c:pt>
                <c:pt idx="57">
                  <c:v>30217.675773877276</c:v>
                </c:pt>
                <c:pt idx="58">
                  <c:v>30419.126945703123</c:v>
                </c:pt>
                <c:pt idx="59">
                  <c:v>30621.921125341145</c:v>
                </c:pt>
                <c:pt idx="60">
                  <c:v>36476.147900096832</c:v>
                </c:pt>
                <c:pt idx="61">
                  <c:v>36976.59429255515</c:v>
                </c:pt>
                <c:pt idx="62">
                  <c:v>37223.104921172184</c:v>
                </c:pt>
                <c:pt idx="63">
                  <c:v>37471.258953979996</c:v>
                </c:pt>
                <c:pt idx="64">
                  <c:v>37721.06734700653</c:v>
                </c:pt>
                <c:pt idx="65">
                  <c:v>37972.541129319907</c:v>
                </c:pt>
                <c:pt idx="66">
                  <c:v>38225.691403515375</c:v>
                </c:pt>
                <c:pt idx="67">
                  <c:v>38480.529346205476</c:v>
                </c:pt>
                <c:pt idx="68">
                  <c:v>38737.066208513512</c:v>
                </c:pt>
                <c:pt idx="69">
                  <c:v>38995.313316570267</c:v>
                </c:pt>
                <c:pt idx="70">
                  <c:v>39255.282072014066</c:v>
                </c:pt>
                <c:pt idx="71">
                  <c:v>39516.983952494164</c:v>
                </c:pt>
                <c:pt idx="72">
                  <c:v>45995.519209489546</c:v>
                </c:pt>
                <c:pt idx="73">
                  <c:v>46559.428077343808</c:v>
                </c:pt>
                <c:pt idx="74">
                  <c:v>46869.824264526105</c:v>
                </c:pt>
                <c:pt idx="75">
                  <c:v>47182.289759622945</c:v>
                </c:pt>
                <c:pt idx="76">
                  <c:v>47496.838358020424</c:v>
                </c:pt>
                <c:pt idx="77">
                  <c:v>47813.483947073895</c:v>
                </c:pt>
                <c:pt idx="78">
                  <c:v>48132.240506721057</c:v>
                </c:pt>
                <c:pt idx="79">
                  <c:v>48453.122110099197</c:v>
                </c:pt>
                <c:pt idx="80">
                  <c:v>48776.142924166525</c:v>
                </c:pt>
                <c:pt idx="81">
                  <c:v>49101.317210327637</c:v>
                </c:pt>
                <c:pt idx="82">
                  <c:v>49428.659325063156</c:v>
                </c:pt>
                <c:pt idx="83">
                  <c:v>49758.183720563582</c:v>
                </c:pt>
                <c:pt idx="84">
                  <c:v>56926.502512410632</c:v>
                </c:pt>
                <c:pt idx="85">
                  <c:v>57563.284602284373</c:v>
                </c:pt>
                <c:pt idx="86">
                  <c:v>57947.039832966271</c:v>
                </c:pt>
                <c:pt idx="87">
                  <c:v>58333.353431852709</c:v>
                </c:pt>
                <c:pt idx="88">
                  <c:v>58722.24245473172</c:v>
                </c:pt>
                <c:pt idx="89">
                  <c:v>59113.724071096607</c:v>
                </c:pt>
                <c:pt idx="90">
                  <c:v>59507.815564903918</c:v>
                </c:pt>
                <c:pt idx="91">
                  <c:v>59904.534335336604</c:v>
                </c:pt>
                <c:pt idx="92">
                  <c:v>60303.897897572184</c:v>
                </c:pt>
                <c:pt idx="93">
                  <c:v>60705.923883556003</c:v>
                </c:pt>
                <c:pt idx="94">
                  <c:v>61110.630042779703</c:v>
                </c:pt>
                <c:pt idx="95">
                  <c:v>61518.034243064903</c:v>
                </c:pt>
                <c:pt idx="96">
                  <c:v>69448.411795099615</c:v>
                </c:pt>
                <c:pt idx="97">
                  <c:v>70168.673280191288</c:v>
                </c:pt>
                <c:pt idx="98">
                  <c:v>70636.464435392554</c:v>
                </c:pt>
                <c:pt idx="99">
                  <c:v>71107.374198295176</c:v>
                </c:pt>
                <c:pt idx="100">
                  <c:v>71581.423359617154</c:v>
                </c:pt>
                <c:pt idx="101">
                  <c:v>72058.632848681256</c:v>
                </c:pt>
                <c:pt idx="102">
                  <c:v>72539.023734339135</c:v>
                </c:pt>
                <c:pt idx="103">
                  <c:v>73022.617225901398</c:v>
                </c:pt>
                <c:pt idx="104">
                  <c:v>73509.434674074073</c:v>
                </c:pt>
                <c:pt idx="105">
                  <c:v>73999.497571901229</c:v>
                </c:pt>
                <c:pt idx="106">
                  <c:v>74492.827555713913</c:v>
                </c:pt>
                <c:pt idx="107">
                  <c:v>74989.446406085335</c:v>
                </c:pt>
                <c:pt idx="108">
                  <c:v>83761.659104914957</c:v>
                </c:pt>
                <c:pt idx="109">
                  <c:v>84577.342238738725</c:v>
                </c:pt>
                <c:pt idx="110">
                  <c:v>85141.191186996977</c:v>
                </c:pt>
                <c:pt idx="111">
                  <c:v>85708.799128243627</c:v>
                </c:pt>
                <c:pt idx="112">
                  <c:v>86280.191122431919</c:v>
                </c:pt>
                <c:pt idx="113">
                  <c:v>86855.392396581461</c:v>
                </c:pt>
                <c:pt idx="114">
                  <c:v>87434.428345891996</c:v>
                </c:pt>
                <c:pt idx="115">
                  <c:v>88017.324534864616</c:v>
                </c:pt>
                <c:pt idx="116">
                  <c:v>88604.106698430376</c:v>
                </c:pt>
                <c:pt idx="117">
                  <c:v>89194.800743086584</c:v>
                </c:pt>
                <c:pt idx="118">
                  <c:v>89789.43274804049</c:v>
                </c:pt>
                <c:pt idx="119">
                  <c:v>90388.028966360769</c:v>
                </c:pt>
                <c:pt idx="120">
                  <c:v>100090.12718787113</c:v>
                </c:pt>
                <c:pt idx="121">
                  <c:v>100094.62497908079</c:v>
                </c:pt>
                <c:pt idx="122">
                  <c:v>100094.62497908079</c:v>
                </c:pt>
                <c:pt idx="123">
                  <c:v>100094.62497908079</c:v>
                </c:pt>
                <c:pt idx="124">
                  <c:v>100094.62497908079</c:v>
                </c:pt>
                <c:pt idx="125">
                  <c:v>100094.62497908079</c:v>
                </c:pt>
                <c:pt idx="126">
                  <c:v>100094.62497908079</c:v>
                </c:pt>
                <c:pt idx="127">
                  <c:v>100094.62497908079</c:v>
                </c:pt>
                <c:pt idx="128">
                  <c:v>100094.62497908079</c:v>
                </c:pt>
                <c:pt idx="129">
                  <c:v>100094.62497908079</c:v>
                </c:pt>
                <c:pt idx="130">
                  <c:v>100094.62497908079</c:v>
                </c:pt>
                <c:pt idx="131">
                  <c:v>100094.62497908079</c:v>
                </c:pt>
                <c:pt idx="132">
                  <c:v>110104.08747698888</c:v>
                </c:pt>
                <c:pt idx="133">
                  <c:v>110104.08747698888</c:v>
                </c:pt>
                <c:pt idx="134">
                  <c:v>110104.08747698888</c:v>
                </c:pt>
                <c:pt idx="135">
                  <c:v>110104.08747698888</c:v>
                </c:pt>
                <c:pt idx="136">
                  <c:v>110104.08747698888</c:v>
                </c:pt>
                <c:pt idx="137">
                  <c:v>110104.08747698888</c:v>
                </c:pt>
                <c:pt idx="138">
                  <c:v>110104.08747698888</c:v>
                </c:pt>
                <c:pt idx="139">
                  <c:v>110104.08747698888</c:v>
                </c:pt>
                <c:pt idx="140">
                  <c:v>110104.08747698888</c:v>
                </c:pt>
                <c:pt idx="141">
                  <c:v>110104.08747698888</c:v>
                </c:pt>
                <c:pt idx="142">
                  <c:v>110104.08747698888</c:v>
                </c:pt>
                <c:pt idx="143">
                  <c:v>110104.08747698888</c:v>
                </c:pt>
                <c:pt idx="144">
                  <c:v>121114.49622468777</c:v>
                </c:pt>
                <c:pt idx="145">
                  <c:v>121114.49622468777</c:v>
                </c:pt>
                <c:pt idx="146">
                  <c:v>121114.49622468777</c:v>
                </c:pt>
                <c:pt idx="147">
                  <c:v>121114.49622468777</c:v>
                </c:pt>
                <c:pt idx="148">
                  <c:v>121114.49622468777</c:v>
                </c:pt>
                <c:pt idx="149">
                  <c:v>121114.49622468777</c:v>
                </c:pt>
                <c:pt idx="150">
                  <c:v>121114.49622468777</c:v>
                </c:pt>
                <c:pt idx="151">
                  <c:v>121114.49622468777</c:v>
                </c:pt>
                <c:pt idx="152">
                  <c:v>121114.49622468777</c:v>
                </c:pt>
                <c:pt idx="153">
                  <c:v>121114.49622468777</c:v>
                </c:pt>
                <c:pt idx="154">
                  <c:v>121114.49622468777</c:v>
                </c:pt>
                <c:pt idx="155">
                  <c:v>121114.49622468777</c:v>
                </c:pt>
                <c:pt idx="156">
                  <c:v>133225.94584715654</c:v>
                </c:pt>
                <c:pt idx="157">
                  <c:v>133225.94584715654</c:v>
                </c:pt>
                <c:pt idx="158">
                  <c:v>133225.94584715654</c:v>
                </c:pt>
                <c:pt idx="159">
                  <c:v>133225.94584715654</c:v>
                </c:pt>
                <c:pt idx="160">
                  <c:v>133225.94584715654</c:v>
                </c:pt>
                <c:pt idx="161">
                  <c:v>133225.94584715654</c:v>
                </c:pt>
                <c:pt idx="162">
                  <c:v>133225.94584715654</c:v>
                </c:pt>
                <c:pt idx="163">
                  <c:v>133225.94584715654</c:v>
                </c:pt>
                <c:pt idx="164">
                  <c:v>133225.94584715654</c:v>
                </c:pt>
                <c:pt idx="165">
                  <c:v>133225.94584715654</c:v>
                </c:pt>
                <c:pt idx="166">
                  <c:v>133225.94584715654</c:v>
                </c:pt>
                <c:pt idx="167">
                  <c:v>133225.94584715654</c:v>
                </c:pt>
                <c:pt idx="168">
                  <c:v>133225.94584715654</c:v>
                </c:pt>
                <c:pt idx="169">
                  <c:v>133225.94584715654</c:v>
                </c:pt>
                <c:pt idx="170">
                  <c:v>133225.94584715654</c:v>
                </c:pt>
                <c:pt idx="171">
                  <c:v>133225.94584715654</c:v>
                </c:pt>
                <c:pt idx="172">
                  <c:v>133225.94584715654</c:v>
                </c:pt>
                <c:pt idx="173">
                  <c:v>133225.94584715654</c:v>
                </c:pt>
                <c:pt idx="174">
                  <c:v>133225.94584715654</c:v>
                </c:pt>
                <c:pt idx="175">
                  <c:v>133225.94584715654</c:v>
                </c:pt>
                <c:pt idx="176">
                  <c:v>133225.94584715654</c:v>
                </c:pt>
                <c:pt idx="177">
                  <c:v>133225.94584715654</c:v>
                </c:pt>
                <c:pt idx="178">
                  <c:v>133225.94584715654</c:v>
                </c:pt>
                <c:pt idx="179">
                  <c:v>133225.94584715654</c:v>
                </c:pt>
                <c:pt idx="180">
                  <c:v>133225.94584715654</c:v>
                </c:pt>
                <c:pt idx="181">
                  <c:v>133225.94584715654</c:v>
                </c:pt>
                <c:pt idx="182">
                  <c:v>133225.94584715654</c:v>
                </c:pt>
                <c:pt idx="183">
                  <c:v>133225.94584715654</c:v>
                </c:pt>
                <c:pt idx="184">
                  <c:v>133225.94584715654</c:v>
                </c:pt>
                <c:pt idx="185">
                  <c:v>133225.94584715654</c:v>
                </c:pt>
                <c:pt idx="186">
                  <c:v>133225.94584715654</c:v>
                </c:pt>
                <c:pt idx="187">
                  <c:v>133225.94584715654</c:v>
                </c:pt>
                <c:pt idx="188">
                  <c:v>133225.94584715654</c:v>
                </c:pt>
                <c:pt idx="189">
                  <c:v>133225.94584715654</c:v>
                </c:pt>
                <c:pt idx="190">
                  <c:v>133225.94584715654</c:v>
                </c:pt>
                <c:pt idx="191">
                  <c:v>133225.94584715654</c:v>
                </c:pt>
                <c:pt idx="192">
                  <c:v>133225.94584715654</c:v>
                </c:pt>
                <c:pt idx="193">
                  <c:v>133225.94584715654</c:v>
                </c:pt>
                <c:pt idx="194">
                  <c:v>133225.94584715654</c:v>
                </c:pt>
                <c:pt idx="195">
                  <c:v>133225.94584715654</c:v>
                </c:pt>
                <c:pt idx="196">
                  <c:v>133225.94584715654</c:v>
                </c:pt>
                <c:pt idx="197">
                  <c:v>133225.94584715654</c:v>
                </c:pt>
                <c:pt idx="198">
                  <c:v>133225.94584715654</c:v>
                </c:pt>
                <c:pt idx="199">
                  <c:v>133225.94584715654</c:v>
                </c:pt>
                <c:pt idx="200">
                  <c:v>133225.94584715654</c:v>
                </c:pt>
                <c:pt idx="201">
                  <c:v>133225.94584715654</c:v>
                </c:pt>
                <c:pt idx="202">
                  <c:v>133225.94584715654</c:v>
                </c:pt>
                <c:pt idx="203">
                  <c:v>133225.94584715654</c:v>
                </c:pt>
                <c:pt idx="204">
                  <c:v>133225.94584715654</c:v>
                </c:pt>
                <c:pt idx="205">
                  <c:v>133225.94584715654</c:v>
                </c:pt>
                <c:pt idx="206">
                  <c:v>133225.94584715654</c:v>
                </c:pt>
                <c:pt idx="207">
                  <c:v>133225.94584715654</c:v>
                </c:pt>
                <c:pt idx="208">
                  <c:v>133225.94584715654</c:v>
                </c:pt>
                <c:pt idx="209">
                  <c:v>133225.94584715654</c:v>
                </c:pt>
                <c:pt idx="210">
                  <c:v>133225.94584715654</c:v>
                </c:pt>
                <c:pt idx="211">
                  <c:v>133225.94584715654</c:v>
                </c:pt>
                <c:pt idx="212">
                  <c:v>133225.94584715654</c:v>
                </c:pt>
                <c:pt idx="213">
                  <c:v>133225.94584715654</c:v>
                </c:pt>
                <c:pt idx="214">
                  <c:v>133225.94584715654</c:v>
                </c:pt>
                <c:pt idx="215">
                  <c:v>133225.94584715654</c:v>
                </c:pt>
                <c:pt idx="216">
                  <c:v>133225.94584715654</c:v>
                </c:pt>
                <c:pt idx="217">
                  <c:v>133225.94584715654</c:v>
                </c:pt>
                <c:pt idx="218">
                  <c:v>133225.94584715654</c:v>
                </c:pt>
                <c:pt idx="219">
                  <c:v>133225.94584715654</c:v>
                </c:pt>
                <c:pt idx="220">
                  <c:v>133225.94584715654</c:v>
                </c:pt>
                <c:pt idx="221">
                  <c:v>133225.94584715654</c:v>
                </c:pt>
                <c:pt idx="222">
                  <c:v>133225.94584715654</c:v>
                </c:pt>
                <c:pt idx="223">
                  <c:v>133225.94584715654</c:v>
                </c:pt>
                <c:pt idx="224">
                  <c:v>133225.94584715654</c:v>
                </c:pt>
                <c:pt idx="225">
                  <c:v>133225.94584715654</c:v>
                </c:pt>
                <c:pt idx="226">
                  <c:v>133225.94584715654</c:v>
                </c:pt>
                <c:pt idx="227">
                  <c:v>133225.94584715654</c:v>
                </c:pt>
                <c:pt idx="228">
                  <c:v>133225.94584715654</c:v>
                </c:pt>
                <c:pt idx="229">
                  <c:v>133225.94584715654</c:v>
                </c:pt>
                <c:pt idx="230">
                  <c:v>133225.94584715654</c:v>
                </c:pt>
                <c:pt idx="231">
                  <c:v>133225.94584715654</c:v>
                </c:pt>
                <c:pt idx="232">
                  <c:v>133225.94584715654</c:v>
                </c:pt>
                <c:pt idx="233">
                  <c:v>133225.94584715654</c:v>
                </c:pt>
                <c:pt idx="234">
                  <c:v>133225.94584715654</c:v>
                </c:pt>
                <c:pt idx="235">
                  <c:v>133225.94584715654</c:v>
                </c:pt>
                <c:pt idx="236">
                  <c:v>133225.94584715654</c:v>
                </c:pt>
                <c:pt idx="237">
                  <c:v>133225.94584715654</c:v>
                </c:pt>
                <c:pt idx="238">
                  <c:v>133225.94584715654</c:v>
                </c:pt>
                <c:pt idx="239">
                  <c:v>133225.94584715654</c:v>
                </c:pt>
                <c:pt idx="240">
                  <c:v>133225.94584715654</c:v>
                </c:pt>
                <c:pt idx="241">
                  <c:v>133225.94584715654</c:v>
                </c:pt>
                <c:pt idx="242">
                  <c:v>133225.94584715654</c:v>
                </c:pt>
                <c:pt idx="243">
                  <c:v>133225.94584715654</c:v>
                </c:pt>
                <c:pt idx="244">
                  <c:v>133225.94584715654</c:v>
                </c:pt>
                <c:pt idx="245">
                  <c:v>133225.94584715654</c:v>
                </c:pt>
                <c:pt idx="246">
                  <c:v>133225.94584715654</c:v>
                </c:pt>
                <c:pt idx="247">
                  <c:v>133225.94584715654</c:v>
                </c:pt>
                <c:pt idx="248">
                  <c:v>133225.94584715654</c:v>
                </c:pt>
                <c:pt idx="249">
                  <c:v>133225.94584715654</c:v>
                </c:pt>
                <c:pt idx="250">
                  <c:v>133225.94584715654</c:v>
                </c:pt>
                <c:pt idx="251">
                  <c:v>133225.94584715654</c:v>
                </c:pt>
                <c:pt idx="252">
                  <c:v>133225.94584715654</c:v>
                </c:pt>
                <c:pt idx="253">
                  <c:v>133225.94584715654</c:v>
                </c:pt>
                <c:pt idx="254">
                  <c:v>133225.94584715654</c:v>
                </c:pt>
                <c:pt idx="255">
                  <c:v>133225.94584715654</c:v>
                </c:pt>
                <c:pt idx="256">
                  <c:v>133225.94584715654</c:v>
                </c:pt>
                <c:pt idx="257">
                  <c:v>133225.94584715654</c:v>
                </c:pt>
                <c:pt idx="258">
                  <c:v>133225.94584715654</c:v>
                </c:pt>
                <c:pt idx="259">
                  <c:v>133225.94584715654</c:v>
                </c:pt>
                <c:pt idx="260">
                  <c:v>133225.94584715654</c:v>
                </c:pt>
                <c:pt idx="261">
                  <c:v>133225.94584715654</c:v>
                </c:pt>
                <c:pt idx="262">
                  <c:v>133225.94584715654</c:v>
                </c:pt>
                <c:pt idx="263">
                  <c:v>133225.94584715654</c:v>
                </c:pt>
                <c:pt idx="264">
                  <c:v>133225.94584715654</c:v>
                </c:pt>
                <c:pt idx="265">
                  <c:v>133225.94584715654</c:v>
                </c:pt>
                <c:pt idx="266">
                  <c:v>133225.94584715654</c:v>
                </c:pt>
                <c:pt idx="267">
                  <c:v>133225.94584715654</c:v>
                </c:pt>
                <c:pt idx="268">
                  <c:v>133225.94584715654</c:v>
                </c:pt>
                <c:pt idx="269">
                  <c:v>133225.94584715654</c:v>
                </c:pt>
                <c:pt idx="270">
                  <c:v>133225.94584715654</c:v>
                </c:pt>
                <c:pt idx="271">
                  <c:v>133225.94584715654</c:v>
                </c:pt>
                <c:pt idx="272">
                  <c:v>133225.94584715654</c:v>
                </c:pt>
                <c:pt idx="273">
                  <c:v>133225.94584715654</c:v>
                </c:pt>
                <c:pt idx="274">
                  <c:v>133225.94584715654</c:v>
                </c:pt>
                <c:pt idx="275">
                  <c:v>133225.94584715654</c:v>
                </c:pt>
                <c:pt idx="276">
                  <c:v>133225.94584715654</c:v>
                </c:pt>
                <c:pt idx="277">
                  <c:v>133225.94584715654</c:v>
                </c:pt>
                <c:pt idx="278">
                  <c:v>133225.94584715654</c:v>
                </c:pt>
                <c:pt idx="279">
                  <c:v>133225.94584715654</c:v>
                </c:pt>
                <c:pt idx="280">
                  <c:v>133225.94584715654</c:v>
                </c:pt>
                <c:pt idx="281">
                  <c:v>133225.94584715654</c:v>
                </c:pt>
                <c:pt idx="282">
                  <c:v>133225.94584715654</c:v>
                </c:pt>
                <c:pt idx="283">
                  <c:v>133225.94584715654</c:v>
                </c:pt>
                <c:pt idx="284">
                  <c:v>133225.94584715654</c:v>
                </c:pt>
                <c:pt idx="285">
                  <c:v>133225.94584715654</c:v>
                </c:pt>
                <c:pt idx="286">
                  <c:v>133225.94584715654</c:v>
                </c:pt>
                <c:pt idx="287">
                  <c:v>133225.94584715654</c:v>
                </c:pt>
                <c:pt idx="288">
                  <c:v>133225.94584715654</c:v>
                </c:pt>
                <c:pt idx="289">
                  <c:v>133225.94584715654</c:v>
                </c:pt>
                <c:pt idx="290">
                  <c:v>133225.94584715654</c:v>
                </c:pt>
                <c:pt idx="291">
                  <c:v>133225.94584715654</c:v>
                </c:pt>
                <c:pt idx="292">
                  <c:v>133225.94584715654</c:v>
                </c:pt>
                <c:pt idx="293">
                  <c:v>133225.94584715654</c:v>
                </c:pt>
                <c:pt idx="294">
                  <c:v>133225.94584715654</c:v>
                </c:pt>
                <c:pt idx="295">
                  <c:v>133225.94584715654</c:v>
                </c:pt>
                <c:pt idx="296">
                  <c:v>133225.94584715654</c:v>
                </c:pt>
                <c:pt idx="297">
                  <c:v>133225.94584715654</c:v>
                </c:pt>
                <c:pt idx="298">
                  <c:v>133225.94584715654</c:v>
                </c:pt>
                <c:pt idx="299">
                  <c:v>133225.94584715654</c:v>
                </c:pt>
                <c:pt idx="300">
                  <c:v>133225.94584715654</c:v>
                </c:pt>
                <c:pt idx="301">
                  <c:v>133225.94584715654</c:v>
                </c:pt>
                <c:pt idx="302">
                  <c:v>133225.94584715654</c:v>
                </c:pt>
                <c:pt idx="303">
                  <c:v>133225.94584715654</c:v>
                </c:pt>
                <c:pt idx="304">
                  <c:v>133225.94584715654</c:v>
                </c:pt>
                <c:pt idx="305">
                  <c:v>133225.94584715654</c:v>
                </c:pt>
                <c:pt idx="306">
                  <c:v>133225.94584715654</c:v>
                </c:pt>
                <c:pt idx="307">
                  <c:v>133225.94584715654</c:v>
                </c:pt>
                <c:pt idx="308">
                  <c:v>133225.94584715654</c:v>
                </c:pt>
                <c:pt idx="309">
                  <c:v>133225.94584715654</c:v>
                </c:pt>
                <c:pt idx="310">
                  <c:v>133225.94584715654</c:v>
                </c:pt>
                <c:pt idx="311">
                  <c:v>133225.94584715654</c:v>
                </c:pt>
                <c:pt idx="312">
                  <c:v>133225.94584715654</c:v>
                </c:pt>
                <c:pt idx="313">
                  <c:v>133225.94584715654</c:v>
                </c:pt>
                <c:pt idx="314">
                  <c:v>133225.94584715654</c:v>
                </c:pt>
                <c:pt idx="315">
                  <c:v>133225.94584715654</c:v>
                </c:pt>
                <c:pt idx="316">
                  <c:v>133225.94584715654</c:v>
                </c:pt>
                <c:pt idx="317">
                  <c:v>133225.94584715654</c:v>
                </c:pt>
                <c:pt idx="318">
                  <c:v>133225.94584715654</c:v>
                </c:pt>
                <c:pt idx="319">
                  <c:v>133225.94584715654</c:v>
                </c:pt>
                <c:pt idx="320">
                  <c:v>133225.94584715654</c:v>
                </c:pt>
                <c:pt idx="321">
                  <c:v>133225.94584715654</c:v>
                </c:pt>
                <c:pt idx="322">
                  <c:v>133225.94584715654</c:v>
                </c:pt>
                <c:pt idx="323">
                  <c:v>133225.94584715654</c:v>
                </c:pt>
                <c:pt idx="324">
                  <c:v>133225.94584715654</c:v>
                </c:pt>
                <c:pt idx="325">
                  <c:v>133225.94584715654</c:v>
                </c:pt>
                <c:pt idx="326">
                  <c:v>133225.94584715654</c:v>
                </c:pt>
                <c:pt idx="327">
                  <c:v>133225.94584715654</c:v>
                </c:pt>
                <c:pt idx="328">
                  <c:v>133225.94584715654</c:v>
                </c:pt>
                <c:pt idx="329">
                  <c:v>133225.94584715654</c:v>
                </c:pt>
                <c:pt idx="330">
                  <c:v>133225.94584715654</c:v>
                </c:pt>
                <c:pt idx="331">
                  <c:v>133225.94584715654</c:v>
                </c:pt>
                <c:pt idx="332">
                  <c:v>133225.94584715654</c:v>
                </c:pt>
                <c:pt idx="333">
                  <c:v>133225.94584715654</c:v>
                </c:pt>
                <c:pt idx="334">
                  <c:v>133225.94584715654</c:v>
                </c:pt>
                <c:pt idx="335">
                  <c:v>133225.94584715654</c:v>
                </c:pt>
                <c:pt idx="336">
                  <c:v>133225.94584715654</c:v>
                </c:pt>
                <c:pt idx="337">
                  <c:v>133225.94584715654</c:v>
                </c:pt>
                <c:pt idx="338">
                  <c:v>133225.94584715654</c:v>
                </c:pt>
                <c:pt idx="339">
                  <c:v>133225.94584715654</c:v>
                </c:pt>
                <c:pt idx="340">
                  <c:v>133225.94584715654</c:v>
                </c:pt>
                <c:pt idx="341">
                  <c:v>133225.94584715654</c:v>
                </c:pt>
                <c:pt idx="342">
                  <c:v>133225.94584715654</c:v>
                </c:pt>
                <c:pt idx="343">
                  <c:v>133225.94584715654</c:v>
                </c:pt>
                <c:pt idx="344">
                  <c:v>133225.94584715654</c:v>
                </c:pt>
                <c:pt idx="345">
                  <c:v>133225.94584715654</c:v>
                </c:pt>
                <c:pt idx="346">
                  <c:v>133225.94584715654</c:v>
                </c:pt>
                <c:pt idx="347">
                  <c:v>133225.94584715654</c:v>
                </c:pt>
                <c:pt idx="348">
                  <c:v>133225.94584715654</c:v>
                </c:pt>
                <c:pt idx="349">
                  <c:v>133225.94584715654</c:v>
                </c:pt>
                <c:pt idx="350">
                  <c:v>133225.94584715654</c:v>
                </c:pt>
                <c:pt idx="351">
                  <c:v>133225.94584715654</c:v>
                </c:pt>
                <c:pt idx="352">
                  <c:v>133225.94584715654</c:v>
                </c:pt>
                <c:pt idx="353">
                  <c:v>133225.94584715654</c:v>
                </c:pt>
                <c:pt idx="354">
                  <c:v>133225.94584715654</c:v>
                </c:pt>
                <c:pt idx="355">
                  <c:v>133225.94584715654</c:v>
                </c:pt>
                <c:pt idx="356">
                  <c:v>133225.94584715654</c:v>
                </c:pt>
                <c:pt idx="357">
                  <c:v>133225.94584715654</c:v>
                </c:pt>
                <c:pt idx="358">
                  <c:v>133225.94584715654</c:v>
                </c:pt>
                <c:pt idx="359">
                  <c:v>133225.94584715654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A1-4203-B644-CB714C4D37D0}"/>
            </c:ext>
          </c:extLst>
        </c:ser>
        <c:ser>
          <c:idx val="1"/>
          <c:order val="1"/>
          <c:tx>
            <c:v>Towards Interest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Calculations!$D$13:$D$372</c:f>
              <c:numCache>
                <c:formatCode>"₹"\ #,##0;[Red]"₹"\ \-#,##0</c:formatCode>
                <c:ptCount val="360"/>
                <c:pt idx="0">
                  <c:v>33333.333333333336</c:v>
                </c:pt>
                <c:pt idx="1">
                  <c:v>33298.283482431223</c:v>
                </c:pt>
                <c:pt idx="2">
                  <c:v>33262.999965856427</c:v>
                </c:pt>
                <c:pt idx="3">
                  <c:v>33227.481225837801</c:v>
                </c:pt>
                <c:pt idx="4">
                  <c:v>33191.725694219051</c:v>
                </c:pt>
                <c:pt idx="5">
                  <c:v>33155.731792389517</c:v>
                </c:pt>
                <c:pt idx="6">
                  <c:v>33119.497931214442</c:v>
                </c:pt>
                <c:pt idx="7">
                  <c:v>33083.022510964867</c:v>
                </c:pt>
                <c:pt idx="8">
                  <c:v>33046.303921246967</c:v>
                </c:pt>
                <c:pt idx="9">
                  <c:v>33009.340540930942</c:v>
                </c:pt>
                <c:pt idx="10">
                  <c:v>32972.130738079482</c:v>
                </c:pt>
                <c:pt idx="11">
                  <c:v>32934.672869875678</c:v>
                </c:pt>
                <c:pt idx="12">
                  <c:v>32896.965282550518</c:v>
                </c:pt>
                <c:pt idx="13">
                  <c:v>32576.007030873083</c:v>
                </c:pt>
                <c:pt idx="14">
                  <c:v>32510.181130642133</c:v>
                </c:pt>
                <c:pt idx="15">
                  <c:v>32443.916391076316</c:v>
                </c:pt>
                <c:pt idx="16">
                  <c:v>32377.209886580054</c:v>
                </c:pt>
                <c:pt idx="17">
                  <c:v>32310.058672053823</c:v>
                </c:pt>
                <c:pt idx="18">
                  <c:v>32242.459782764079</c:v>
                </c:pt>
                <c:pt idx="19">
                  <c:v>32174.410234212406</c:v>
                </c:pt>
                <c:pt idx="20">
                  <c:v>32105.907022003721</c:v>
                </c:pt>
                <c:pt idx="21">
                  <c:v>32036.947121713642</c:v>
                </c:pt>
                <c:pt idx="22">
                  <c:v>31967.527488754964</c:v>
                </c:pt>
                <c:pt idx="23">
                  <c:v>31897.64505824323</c:v>
                </c:pt>
                <c:pt idx="24">
                  <c:v>31827.296744861418</c:v>
                </c:pt>
                <c:pt idx="25">
                  <c:v>31470.907441555715</c:v>
                </c:pt>
                <c:pt idx="26">
                  <c:v>31369.414282685644</c:v>
                </c:pt>
                <c:pt idx="27">
                  <c:v>31267.244502756435</c:v>
                </c:pt>
                <c:pt idx="28">
                  <c:v>31164.39359096103</c:v>
                </c:pt>
                <c:pt idx="29">
                  <c:v>31060.857006420327</c:v>
                </c:pt>
                <c:pt idx="30">
                  <c:v>30956.630177982686</c:v>
                </c:pt>
                <c:pt idx="31">
                  <c:v>30851.708504022125</c:v>
                </c:pt>
                <c:pt idx="32">
                  <c:v>30746.087352235161</c:v>
                </c:pt>
                <c:pt idx="33">
                  <c:v>30639.762059436285</c:v>
                </c:pt>
                <c:pt idx="34">
                  <c:v>30532.727931352085</c:v>
                </c:pt>
                <c:pt idx="35">
                  <c:v>30424.980242413982</c:v>
                </c:pt>
                <c:pt idx="36">
                  <c:v>30316.514235549632</c:v>
                </c:pt>
                <c:pt idx="37">
                  <c:v>29918.923128000475</c:v>
                </c:pt>
                <c:pt idx="38">
                  <c:v>29775.953486191986</c:v>
                </c:pt>
                <c:pt idx="39">
                  <c:v>29632.030713438104</c:v>
                </c:pt>
                <c:pt idx="40">
                  <c:v>29487.148455532533</c:v>
                </c:pt>
                <c:pt idx="41">
                  <c:v>29341.3003159076</c:v>
                </c:pt>
                <c:pt idx="42">
                  <c:v>29194.47985535183</c:v>
                </c:pt>
                <c:pt idx="43">
                  <c:v>29046.680591725682</c:v>
                </c:pt>
                <c:pt idx="44">
                  <c:v>28897.895999675366</c:v>
                </c:pt>
                <c:pt idx="45">
                  <c:v>28748.11951034471</c:v>
                </c:pt>
                <c:pt idx="46">
                  <c:v>28597.344511085186</c:v>
                </c:pt>
                <c:pt idx="47">
                  <c:v>28445.56434516393</c:v>
                </c:pt>
                <c:pt idx="48">
                  <c:v>28292.772311469864</c:v>
                </c:pt>
                <c:pt idx="49">
                  <c:v>27847.446678160657</c:v>
                </c:pt>
                <c:pt idx="50">
                  <c:v>27656.424280420393</c:v>
                </c:pt>
                <c:pt idx="51">
                  <c:v>27464.128400028523</c:v>
                </c:pt>
                <c:pt idx="52">
                  <c:v>27270.550547100705</c:v>
                </c:pt>
                <c:pt idx="53">
                  <c:v>27075.682175153372</c:v>
                </c:pt>
                <c:pt idx="54">
                  <c:v>26879.514680726392</c:v>
                </c:pt>
                <c:pt idx="55">
                  <c:v>26682.039403003233</c:v>
                </c:pt>
                <c:pt idx="56">
                  <c:v>26483.247623428582</c:v>
                </c:pt>
                <c:pt idx="57">
                  <c:v>26283.130565323434</c:v>
                </c:pt>
                <c:pt idx="58">
                  <c:v>26081.679393497587</c:v>
                </c:pt>
                <c:pt idx="59">
                  <c:v>25878.885213859565</c:v>
                </c:pt>
                <c:pt idx="60">
                  <c:v>25674.739073023957</c:v>
                </c:pt>
                <c:pt idx="61">
                  <c:v>25174.292680565643</c:v>
                </c:pt>
                <c:pt idx="62">
                  <c:v>24927.782051948609</c:v>
                </c:pt>
                <c:pt idx="63">
                  <c:v>24679.62801914079</c:v>
                </c:pt>
                <c:pt idx="64">
                  <c:v>24429.819626114258</c:v>
                </c:pt>
                <c:pt idx="65">
                  <c:v>24178.345843800882</c:v>
                </c:pt>
                <c:pt idx="66">
                  <c:v>23925.195569605417</c:v>
                </c:pt>
                <c:pt idx="67">
                  <c:v>23670.357626915313</c:v>
                </c:pt>
                <c:pt idx="68">
                  <c:v>23413.820764607281</c:v>
                </c:pt>
                <c:pt idx="69">
                  <c:v>23155.573656550521</c:v>
                </c:pt>
                <c:pt idx="70">
                  <c:v>22895.604901106723</c:v>
                </c:pt>
                <c:pt idx="71">
                  <c:v>22633.903020626629</c:v>
                </c:pt>
                <c:pt idx="72">
                  <c:v>22370.456460943329</c:v>
                </c:pt>
                <c:pt idx="73">
                  <c:v>21806.547593089064</c:v>
                </c:pt>
                <c:pt idx="74">
                  <c:v>21496.151405906774</c:v>
                </c:pt>
                <c:pt idx="75">
                  <c:v>21183.685910809934</c:v>
                </c:pt>
                <c:pt idx="76">
                  <c:v>20869.137312412447</c:v>
                </c:pt>
                <c:pt idx="77">
                  <c:v>20552.49172335898</c:v>
                </c:pt>
                <c:pt idx="78">
                  <c:v>20233.735163711819</c:v>
                </c:pt>
                <c:pt idx="79">
                  <c:v>19912.853560333679</c:v>
                </c:pt>
                <c:pt idx="80">
                  <c:v>19589.832746266351</c:v>
                </c:pt>
                <c:pt idx="81">
                  <c:v>19264.658460105238</c:v>
                </c:pt>
                <c:pt idx="82">
                  <c:v>18937.31634536972</c:v>
                </c:pt>
                <c:pt idx="83">
                  <c:v>18607.791949869297</c:v>
                </c:pt>
                <c:pt idx="84">
                  <c:v>18276.070725065543</c:v>
                </c:pt>
                <c:pt idx="85">
                  <c:v>17639.288635191802</c:v>
                </c:pt>
                <c:pt idx="86">
                  <c:v>17255.533404509904</c:v>
                </c:pt>
                <c:pt idx="87">
                  <c:v>16869.219805623463</c:v>
                </c:pt>
                <c:pt idx="88">
                  <c:v>16480.330782744448</c:v>
                </c:pt>
                <c:pt idx="89">
                  <c:v>16088.849166379567</c:v>
                </c:pt>
                <c:pt idx="90">
                  <c:v>15694.757672572256</c:v>
                </c:pt>
                <c:pt idx="91">
                  <c:v>15298.038902139566</c:v>
                </c:pt>
                <c:pt idx="92">
                  <c:v>14898.675339903988</c:v>
                </c:pt>
                <c:pt idx="93">
                  <c:v>14496.649353920171</c:v>
                </c:pt>
                <c:pt idx="94">
                  <c:v>14091.943194696467</c:v>
                </c:pt>
                <c:pt idx="95">
                  <c:v>13684.538994411269</c:v>
                </c:pt>
                <c:pt idx="96">
                  <c:v>13274.418766124169</c:v>
                </c:pt>
                <c:pt idx="97">
                  <c:v>12554.157281032503</c:v>
                </c:pt>
                <c:pt idx="98">
                  <c:v>12086.366125831228</c:v>
                </c:pt>
                <c:pt idx="99">
                  <c:v>11615.456362928611</c:v>
                </c:pt>
                <c:pt idx="100">
                  <c:v>11141.407201606642</c:v>
                </c:pt>
                <c:pt idx="101">
                  <c:v>10664.197712542527</c:v>
                </c:pt>
                <c:pt idx="102">
                  <c:v>10183.806826884653</c:v>
                </c:pt>
                <c:pt idx="103">
                  <c:v>9700.2133353223926</c:v>
                </c:pt>
                <c:pt idx="104">
                  <c:v>9213.395887149718</c:v>
                </c:pt>
                <c:pt idx="105">
                  <c:v>8723.3329893225546</c:v>
                </c:pt>
                <c:pt idx="106">
                  <c:v>8230.0030055098814</c:v>
                </c:pt>
                <c:pt idx="107">
                  <c:v>7733.3841551384548</c:v>
                </c:pt>
                <c:pt idx="108">
                  <c:v>7233.4545124312199</c:v>
                </c:pt>
                <c:pt idx="109">
                  <c:v>6417.7713786074519</c:v>
                </c:pt>
                <c:pt idx="110">
                  <c:v>5853.9224303491937</c:v>
                </c:pt>
                <c:pt idx="111">
                  <c:v>5286.3144891025477</c:v>
                </c:pt>
                <c:pt idx="112">
                  <c:v>4714.9224949142572</c:v>
                </c:pt>
                <c:pt idx="113">
                  <c:v>4139.7212207647108</c:v>
                </c:pt>
                <c:pt idx="114">
                  <c:v>3560.6852714541678</c:v>
                </c:pt>
                <c:pt idx="115">
                  <c:v>2977.7890824815545</c:v>
                </c:pt>
                <c:pt idx="116">
                  <c:v>2391.0069189157903</c:v>
                </c:pt>
                <c:pt idx="117">
                  <c:v>1800.3128742595879</c:v>
                </c:pt>
                <c:pt idx="118">
                  <c:v>1205.6808693056773</c:v>
                </c:pt>
                <c:pt idx="119">
                  <c:v>607.08465098540739</c:v>
                </c:pt>
                <c:pt idx="120">
                  <c:v>4.4977912096688915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A1-4203-B644-CB714C4D3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387366"/>
        <c:axId val="1867995701"/>
      </c:barChart>
      <c:catAx>
        <c:axId val="1961387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7995701"/>
        <c:crosses val="autoZero"/>
        <c:auto val="1"/>
        <c:lblAlgn val="ctr"/>
        <c:lblOffset val="100"/>
        <c:noMultiLvlLbl val="1"/>
      </c:catAx>
      <c:valAx>
        <c:axId val="1867995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₹&quot;\ #,##0;[Red]&quot;₹&quot;\ \-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138736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" right="0" top="0" bottom="0" header="0" footer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413442325" name="Chart 1">
          <a:extLst>
            <a:ext uri="{FF2B5EF4-FFF2-40B4-BE49-F238E27FC236}">
              <a16:creationId xmlns:a16="http://schemas.microsoft.com/office/drawing/2014/main" id="{00000000-0008-0000-0200-000015A1A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8"/>
  <sheetViews>
    <sheetView tabSelected="1" workbookViewId="0"/>
  </sheetViews>
  <sheetFormatPr defaultColWidth="14.42578125" defaultRowHeight="15" customHeight="1"/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2578125" defaultRowHeight="15" customHeight="1"/>
  <cols>
    <col min="1" max="1" width="25.5703125" customWidth="1"/>
    <col min="2" max="2" width="12.5703125" customWidth="1"/>
    <col min="3" max="3" width="13.140625" customWidth="1"/>
    <col min="4" max="4" width="16" customWidth="1"/>
    <col min="5" max="5" width="16.5703125" customWidth="1"/>
    <col min="6" max="6" width="22.5703125" customWidth="1"/>
    <col min="7" max="26" width="8.7109375" customWidth="1"/>
  </cols>
  <sheetData>
    <row r="1" spans="1:6">
      <c r="A1" s="4" t="s">
        <v>9</v>
      </c>
      <c r="B1" s="5">
        <v>5000000</v>
      </c>
      <c r="F1" s="6"/>
    </row>
    <row r="2" spans="1:6">
      <c r="A2" s="4" t="s">
        <v>10</v>
      </c>
      <c r="B2" s="7">
        <v>0.08</v>
      </c>
      <c r="F2" s="6"/>
    </row>
    <row r="3" spans="1:6">
      <c r="A3" s="4" t="s">
        <v>11</v>
      </c>
      <c r="B3" s="8">
        <v>25</v>
      </c>
      <c r="C3" s="4" t="s">
        <v>12</v>
      </c>
      <c r="F3" s="6"/>
    </row>
    <row r="4" spans="1:6">
      <c r="F4" s="6"/>
    </row>
    <row r="5" spans="1:6">
      <c r="A5" s="4" t="s">
        <v>13</v>
      </c>
      <c r="B5" s="9">
        <f>-PMT($B$2/12,B3*12,B1)</f>
        <v>38590.810968650156</v>
      </c>
      <c r="F5" s="6"/>
    </row>
    <row r="6" spans="1:6">
      <c r="A6" s="4" t="s">
        <v>14</v>
      </c>
      <c r="B6" s="6">
        <f>B1</f>
        <v>5000000</v>
      </c>
      <c r="F6" s="6"/>
    </row>
    <row r="7" spans="1:6">
      <c r="A7" s="4" t="s">
        <v>15</v>
      </c>
      <c r="B7" s="6">
        <f>-CUMIPMT($B$2/12,B3*12,B1,1,B3*12,1)</f>
        <v>6500572.8052268671</v>
      </c>
      <c r="F7" s="6"/>
    </row>
    <row r="8" spans="1:6">
      <c r="A8" s="4" t="s">
        <v>16</v>
      </c>
      <c r="B8" s="8">
        <v>1</v>
      </c>
      <c r="F8" s="6"/>
    </row>
    <row r="9" spans="1:6">
      <c r="A9" s="4" t="s">
        <v>17</v>
      </c>
      <c r="B9" s="7">
        <v>0.1</v>
      </c>
      <c r="F9" s="6"/>
    </row>
    <row r="10" spans="1:6">
      <c r="F10" s="6"/>
    </row>
    <row r="11" spans="1:6">
      <c r="C11" s="9">
        <f t="shared" ref="C11:D11" si="0">SUM(C13:C372)</f>
        <v>35805854.991798617</v>
      </c>
      <c r="D11" s="10">
        <f t="shared" si="0"/>
        <v>2728454.1464421861</v>
      </c>
      <c r="F11" s="6"/>
    </row>
    <row r="12" spans="1:6">
      <c r="A12" s="4" t="s">
        <v>18</v>
      </c>
      <c r="B12" s="4" t="s">
        <v>13</v>
      </c>
      <c r="C12" s="4" t="s">
        <v>19</v>
      </c>
      <c r="D12" s="4" t="s">
        <v>20</v>
      </c>
      <c r="E12" s="4" t="s">
        <v>21</v>
      </c>
      <c r="F12" s="6" t="s">
        <v>22</v>
      </c>
    </row>
    <row r="13" spans="1:6">
      <c r="A13" s="4">
        <v>1</v>
      </c>
      <c r="B13" s="9">
        <f>$B$5</f>
        <v>38590.810968650156</v>
      </c>
      <c r="C13" s="9">
        <f>B13-D13</f>
        <v>5257.4776353168199</v>
      </c>
      <c r="D13" s="9">
        <f>B1*B2/12</f>
        <v>33333.333333333336</v>
      </c>
      <c r="E13" s="6">
        <f>B1-C13</f>
        <v>4994742.5223646834</v>
      </c>
      <c r="F13" s="6"/>
    </row>
    <row r="14" spans="1:6">
      <c r="A14" s="4">
        <f t="shared" ref="A14:A372" si="1">A13+1</f>
        <v>2</v>
      </c>
      <c r="B14" s="9">
        <f t="shared" ref="B14:B24" si="2">IF(ROUND(E13,1)=0,0,B13)</f>
        <v>38590.810968650156</v>
      </c>
      <c r="C14" s="9">
        <f t="shared" ref="C14:C372" si="3">IF(ROUND(E13,1)=0,0,B14-D14)</f>
        <v>5292.5274862189326</v>
      </c>
      <c r="D14" s="9">
        <f t="shared" ref="D14:D372" si="4">IF(E13&gt;0,E13*$B$2/12,0)</f>
        <v>33298.283482431223</v>
      </c>
      <c r="E14" s="6">
        <f t="shared" ref="E14:E372" si="5">E13-SUM(F13,C14)</f>
        <v>4989449.9948784644</v>
      </c>
      <c r="F14" s="6"/>
    </row>
    <row r="15" spans="1:6">
      <c r="A15" s="4">
        <f t="shared" si="1"/>
        <v>3</v>
      </c>
      <c r="B15" s="9">
        <f t="shared" si="2"/>
        <v>38590.810968650156</v>
      </c>
      <c r="C15" s="9">
        <f t="shared" si="3"/>
        <v>5327.8110027937291</v>
      </c>
      <c r="D15" s="9">
        <f t="shared" si="4"/>
        <v>33262.999965856427</v>
      </c>
      <c r="E15" s="6">
        <f t="shared" si="5"/>
        <v>4984122.1838756707</v>
      </c>
      <c r="F15" s="6"/>
    </row>
    <row r="16" spans="1:6">
      <c r="A16" s="4">
        <f t="shared" si="1"/>
        <v>4</v>
      </c>
      <c r="B16" s="9">
        <f t="shared" si="2"/>
        <v>38590.810968650156</v>
      </c>
      <c r="C16" s="9">
        <f t="shared" si="3"/>
        <v>5363.3297428123551</v>
      </c>
      <c r="D16" s="9">
        <f t="shared" si="4"/>
        <v>33227.481225837801</v>
      </c>
      <c r="E16" s="6">
        <f t="shared" si="5"/>
        <v>4978758.8541328581</v>
      </c>
      <c r="F16" s="6"/>
    </row>
    <row r="17" spans="1:6">
      <c r="A17" s="4">
        <f t="shared" si="1"/>
        <v>5</v>
      </c>
      <c r="B17" s="9">
        <f t="shared" si="2"/>
        <v>38590.810968650156</v>
      </c>
      <c r="C17" s="9">
        <f t="shared" si="3"/>
        <v>5399.0852744311051</v>
      </c>
      <c r="D17" s="9">
        <f t="shared" si="4"/>
        <v>33191.725694219051</v>
      </c>
      <c r="E17" s="6">
        <f t="shared" si="5"/>
        <v>4973359.7688584272</v>
      </c>
      <c r="F17" s="6"/>
    </row>
    <row r="18" spans="1:6">
      <c r="A18" s="4">
        <f t="shared" si="1"/>
        <v>6</v>
      </c>
      <c r="B18" s="9">
        <f t="shared" si="2"/>
        <v>38590.810968650156</v>
      </c>
      <c r="C18" s="9">
        <f t="shared" si="3"/>
        <v>5435.0791762606386</v>
      </c>
      <c r="D18" s="9">
        <f t="shared" si="4"/>
        <v>33155.731792389517</v>
      </c>
      <c r="E18" s="6">
        <f t="shared" si="5"/>
        <v>4967924.6896821661</v>
      </c>
      <c r="F18" s="6"/>
    </row>
    <row r="19" spans="1:6">
      <c r="A19" s="4">
        <f t="shared" si="1"/>
        <v>7</v>
      </c>
      <c r="B19" s="9">
        <f t="shared" si="2"/>
        <v>38590.810968650156</v>
      </c>
      <c r="C19" s="9">
        <f t="shared" si="3"/>
        <v>5471.3130374357133</v>
      </c>
      <c r="D19" s="9">
        <f t="shared" si="4"/>
        <v>33119.497931214442</v>
      </c>
      <c r="E19" s="6">
        <f t="shared" si="5"/>
        <v>4962453.3766447306</v>
      </c>
      <c r="F19" s="6"/>
    </row>
    <row r="20" spans="1:6">
      <c r="A20" s="4">
        <f t="shared" si="1"/>
        <v>8</v>
      </c>
      <c r="B20" s="9">
        <f t="shared" si="2"/>
        <v>38590.810968650156</v>
      </c>
      <c r="C20" s="9">
        <f t="shared" si="3"/>
        <v>5507.7884576852884</v>
      </c>
      <c r="D20" s="9">
        <f t="shared" si="4"/>
        <v>33083.022510964867</v>
      </c>
      <c r="E20" s="6">
        <f t="shared" si="5"/>
        <v>4956945.5881870454</v>
      </c>
      <c r="F20" s="6"/>
    </row>
    <row r="21" spans="1:6" ht="15.75" customHeight="1">
      <c r="A21" s="4">
        <f t="shared" si="1"/>
        <v>9</v>
      </c>
      <c r="B21" s="9">
        <f t="shared" si="2"/>
        <v>38590.810968650156</v>
      </c>
      <c r="C21" s="9">
        <f t="shared" si="3"/>
        <v>5544.5070474031891</v>
      </c>
      <c r="D21" s="9">
        <f t="shared" si="4"/>
        <v>33046.303921246967</v>
      </c>
      <c r="E21" s="6">
        <f t="shared" si="5"/>
        <v>4951401.0811396418</v>
      </c>
      <c r="F21" s="6"/>
    </row>
    <row r="22" spans="1:6" ht="15.75" customHeight="1">
      <c r="A22" s="4">
        <f t="shared" si="1"/>
        <v>10</v>
      </c>
      <c r="B22" s="9">
        <f t="shared" si="2"/>
        <v>38590.810968650156</v>
      </c>
      <c r="C22" s="9">
        <f t="shared" si="3"/>
        <v>5581.4704277192141</v>
      </c>
      <c r="D22" s="9">
        <f t="shared" si="4"/>
        <v>33009.340540930942</v>
      </c>
      <c r="E22" s="6">
        <f t="shared" si="5"/>
        <v>4945819.6107119229</v>
      </c>
      <c r="F22" s="6"/>
    </row>
    <row r="23" spans="1:6" ht="15.75" customHeight="1">
      <c r="A23" s="4">
        <f t="shared" si="1"/>
        <v>11</v>
      </c>
      <c r="B23" s="9">
        <f t="shared" si="2"/>
        <v>38590.810968650156</v>
      </c>
      <c r="C23" s="9">
        <f t="shared" si="3"/>
        <v>5618.6802305706733</v>
      </c>
      <c r="D23" s="9">
        <f t="shared" si="4"/>
        <v>32972.130738079482</v>
      </c>
      <c r="E23" s="6">
        <f t="shared" si="5"/>
        <v>4940200.9304813519</v>
      </c>
      <c r="F23" s="6"/>
    </row>
    <row r="24" spans="1:6" ht="15.75" customHeight="1">
      <c r="A24" s="4">
        <f t="shared" si="1"/>
        <v>12</v>
      </c>
      <c r="B24" s="9">
        <f t="shared" si="2"/>
        <v>38590.810968650156</v>
      </c>
      <c r="C24" s="9">
        <f t="shared" si="3"/>
        <v>5656.1380987744778</v>
      </c>
      <c r="D24" s="9">
        <f t="shared" si="4"/>
        <v>32934.672869875678</v>
      </c>
      <c r="E24" s="6">
        <f t="shared" si="5"/>
        <v>4934544.7923825774</v>
      </c>
      <c r="F24" s="6">
        <f>$B$5*$B$8</f>
        <v>38590.810968650156</v>
      </c>
    </row>
    <row r="25" spans="1:6" ht="15.75" customHeight="1">
      <c r="A25" s="4">
        <f t="shared" si="1"/>
        <v>13</v>
      </c>
      <c r="B25" s="9">
        <f>IF(ROUND(E24,1)=0,0,B24)*(1+$B$9)</f>
        <v>42449.892065515174</v>
      </c>
      <c r="C25" s="9">
        <f t="shared" si="3"/>
        <v>9552.926782964656</v>
      </c>
      <c r="D25" s="9">
        <f t="shared" si="4"/>
        <v>32896.965282550518</v>
      </c>
      <c r="E25" s="6">
        <f t="shared" si="5"/>
        <v>4886401.0546309622</v>
      </c>
      <c r="F25" s="6"/>
    </row>
    <row r="26" spans="1:6" ht="15.75" customHeight="1">
      <c r="A26" s="4">
        <f t="shared" si="1"/>
        <v>14</v>
      </c>
      <c r="B26" s="9">
        <f t="shared" ref="B26:B36" si="6">IF(ROUND(E25,1)=0,0,B25)</f>
        <v>42449.892065515174</v>
      </c>
      <c r="C26" s="9">
        <f t="shared" si="3"/>
        <v>9873.8850346420913</v>
      </c>
      <c r="D26" s="9">
        <f t="shared" si="4"/>
        <v>32576.007030873083</v>
      </c>
      <c r="E26" s="6">
        <f t="shared" si="5"/>
        <v>4876527.16959632</v>
      </c>
      <c r="F26" s="6"/>
    </row>
    <row r="27" spans="1:6" ht="15.75" customHeight="1">
      <c r="A27" s="4">
        <f t="shared" si="1"/>
        <v>15</v>
      </c>
      <c r="B27" s="9">
        <f t="shared" si="6"/>
        <v>42449.892065515174</v>
      </c>
      <c r="C27" s="9">
        <f t="shared" si="3"/>
        <v>9939.710934873041</v>
      </c>
      <c r="D27" s="9">
        <f t="shared" si="4"/>
        <v>32510.181130642133</v>
      </c>
      <c r="E27" s="6">
        <f t="shared" si="5"/>
        <v>4866587.4586614473</v>
      </c>
      <c r="F27" s="6"/>
    </row>
    <row r="28" spans="1:6" ht="15.75" customHeight="1">
      <c r="A28" s="4">
        <f t="shared" si="1"/>
        <v>16</v>
      </c>
      <c r="B28" s="9">
        <f t="shared" si="6"/>
        <v>42449.892065515174</v>
      </c>
      <c r="C28" s="9">
        <f t="shared" si="3"/>
        <v>10005.975674438858</v>
      </c>
      <c r="D28" s="9">
        <f t="shared" si="4"/>
        <v>32443.916391076316</v>
      </c>
      <c r="E28" s="6">
        <f t="shared" si="5"/>
        <v>4856581.4829870081</v>
      </c>
      <c r="F28" s="6"/>
    </row>
    <row r="29" spans="1:6" ht="15.75" customHeight="1">
      <c r="A29" s="4">
        <f t="shared" si="1"/>
        <v>17</v>
      </c>
      <c r="B29" s="9">
        <f t="shared" si="6"/>
        <v>42449.892065515174</v>
      </c>
      <c r="C29" s="9">
        <f t="shared" si="3"/>
        <v>10072.68217893512</v>
      </c>
      <c r="D29" s="9">
        <f t="shared" si="4"/>
        <v>32377.209886580054</v>
      </c>
      <c r="E29" s="6">
        <f t="shared" si="5"/>
        <v>4846508.800808073</v>
      </c>
      <c r="F29" s="6"/>
    </row>
    <row r="30" spans="1:6" ht="15.75" customHeight="1">
      <c r="A30" s="4">
        <f t="shared" si="1"/>
        <v>18</v>
      </c>
      <c r="B30" s="9">
        <f t="shared" si="6"/>
        <v>42449.892065515174</v>
      </c>
      <c r="C30" s="9">
        <f t="shared" si="3"/>
        <v>10139.833393461351</v>
      </c>
      <c r="D30" s="9">
        <f t="shared" si="4"/>
        <v>32310.058672053823</v>
      </c>
      <c r="E30" s="6">
        <f t="shared" si="5"/>
        <v>4836368.967414612</v>
      </c>
      <c r="F30" s="6"/>
    </row>
    <row r="31" spans="1:6" ht="15.75" customHeight="1">
      <c r="A31" s="4">
        <f t="shared" si="1"/>
        <v>19</v>
      </c>
      <c r="B31" s="9">
        <f t="shared" si="6"/>
        <v>42449.892065515174</v>
      </c>
      <c r="C31" s="9">
        <f t="shared" si="3"/>
        <v>10207.432282751095</v>
      </c>
      <c r="D31" s="9">
        <f t="shared" si="4"/>
        <v>32242.459782764079</v>
      </c>
      <c r="E31" s="6">
        <f t="shared" si="5"/>
        <v>4826161.5351318605</v>
      </c>
      <c r="F31" s="6"/>
    </row>
    <row r="32" spans="1:6" ht="15.75" customHeight="1">
      <c r="A32" s="4">
        <f t="shared" si="1"/>
        <v>20</v>
      </c>
      <c r="B32" s="9">
        <f t="shared" si="6"/>
        <v>42449.892065515174</v>
      </c>
      <c r="C32" s="9">
        <f t="shared" si="3"/>
        <v>10275.481831302768</v>
      </c>
      <c r="D32" s="9">
        <f t="shared" si="4"/>
        <v>32174.410234212406</v>
      </c>
      <c r="E32" s="6">
        <f t="shared" si="5"/>
        <v>4815886.0533005577</v>
      </c>
      <c r="F32" s="6"/>
    </row>
    <row r="33" spans="1:6" ht="15.75" customHeight="1">
      <c r="A33" s="4">
        <f t="shared" si="1"/>
        <v>21</v>
      </c>
      <c r="B33" s="9">
        <f t="shared" si="6"/>
        <v>42449.892065515174</v>
      </c>
      <c r="C33" s="9">
        <f t="shared" si="3"/>
        <v>10343.985043511453</v>
      </c>
      <c r="D33" s="9">
        <f t="shared" si="4"/>
        <v>32105.907022003721</v>
      </c>
      <c r="E33" s="6">
        <f t="shared" si="5"/>
        <v>4805542.0682570459</v>
      </c>
      <c r="F33" s="6"/>
    </row>
    <row r="34" spans="1:6" ht="15.75" customHeight="1">
      <c r="A34" s="4">
        <f t="shared" si="1"/>
        <v>22</v>
      </c>
      <c r="B34" s="9">
        <f t="shared" si="6"/>
        <v>42449.892065515174</v>
      </c>
      <c r="C34" s="9">
        <f t="shared" si="3"/>
        <v>10412.944943801533</v>
      </c>
      <c r="D34" s="9">
        <f t="shared" si="4"/>
        <v>32036.947121713642</v>
      </c>
      <c r="E34" s="6">
        <f t="shared" si="5"/>
        <v>4795129.1233132444</v>
      </c>
      <c r="F34" s="6"/>
    </row>
    <row r="35" spans="1:6" ht="15.75" customHeight="1">
      <c r="A35" s="4">
        <f t="shared" si="1"/>
        <v>23</v>
      </c>
      <c r="B35" s="9">
        <f t="shared" si="6"/>
        <v>42449.892065515174</v>
      </c>
      <c r="C35" s="9">
        <f t="shared" si="3"/>
        <v>10482.36457676021</v>
      </c>
      <c r="D35" s="9">
        <f t="shared" si="4"/>
        <v>31967.527488754964</v>
      </c>
      <c r="E35" s="6">
        <f t="shared" si="5"/>
        <v>4784646.7587364847</v>
      </c>
      <c r="F35" s="6"/>
    </row>
    <row r="36" spans="1:6" ht="15.75" customHeight="1">
      <c r="A36" s="4">
        <f t="shared" si="1"/>
        <v>24</v>
      </c>
      <c r="B36" s="9">
        <f t="shared" si="6"/>
        <v>42449.892065515174</v>
      </c>
      <c r="C36" s="9">
        <f t="shared" si="3"/>
        <v>10552.247007271944</v>
      </c>
      <c r="D36" s="9">
        <f t="shared" si="4"/>
        <v>31897.64505824323</v>
      </c>
      <c r="E36" s="6">
        <f t="shared" si="5"/>
        <v>4774094.5117292125</v>
      </c>
      <c r="F36" s="6">
        <f>$B$5*$B$8</f>
        <v>38590.810968650156</v>
      </c>
    </row>
    <row r="37" spans="1:6" ht="15.75" customHeight="1">
      <c r="A37" s="4">
        <f t="shared" si="1"/>
        <v>25</v>
      </c>
      <c r="B37" s="9">
        <f>IF(ROUND(E36,1)=0,0,B36)*(1+B9)</f>
        <v>46694.881272066697</v>
      </c>
      <c r="C37" s="9">
        <f t="shared" si="3"/>
        <v>14867.584527205279</v>
      </c>
      <c r="D37" s="9">
        <f t="shared" si="4"/>
        <v>31827.296744861418</v>
      </c>
      <c r="E37" s="6">
        <f t="shared" si="5"/>
        <v>4720636.1162333572</v>
      </c>
      <c r="F37" s="6"/>
    </row>
    <row r="38" spans="1:6" ht="15.75" customHeight="1">
      <c r="A38" s="4">
        <f t="shared" si="1"/>
        <v>26</v>
      </c>
      <c r="B38" s="9">
        <f t="shared" ref="B38:B48" si="7">IF(ROUND(E37,1)=0,0,B37)</f>
        <v>46694.881272066697</v>
      </c>
      <c r="C38" s="9">
        <f t="shared" si="3"/>
        <v>15223.973830510982</v>
      </c>
      <c r="D38" s="9">
        <f t="shared" si="4"/>
        <v>31470.907441555715</v>
      </c>
      <c r="E38" s="6">
        <f t="shared" si="5"/>
        <v>4705412.1424028464</v>
      </c>
      <c r="F38" s="6"/>
    </row>
    <row r="39" spans="1:6" ht="15.75" customHeight="1">
      <c r="A39" s="4">
        <f t="shared" si="1"/>
        <v>27</v>
      </c>
      <c r="B39" s="9">
        <f t="shared" si="7"/>
        <v>46694.881272066697</v>
      </c>
      <c r="C39" s="9">
        <f t="shared" si="3"/>
        <v>15325.466989381053</v>
      </c>
      <c r="D39" s="9">
        <f t="shared" si="4"/>
        <v>31369.414282685644</v>
      </c>
      <c r="E39" s="6">
        <f t="shared" si="5"/>
        <v>4690086.6754134651</v>
      </c>
      <c r="F39" s="6"/>
    </row>
    <row r="40" spans="1:6" ht="15.75" customHeight="1">
      <c r="A40" s="4">
        <f t="shared" si="1"/>
        <v>28</v>
      </c>
      <c r="B40" s="9">
        <f t="shared" si="7"/>
        <v>46694.881272066697</v>
      </c>
      <c r="C40" s="9">
        <f t="shared" si="3"/>
        <v>15427.636769310262</v>
      </c>
      <c r="D40" s="9">
        <f t="shared" si="4"/>
        <v>31267.244502756435</v>
      </c>
      <c r="E40" s="6">
        <f t="shared" si="5"/>
        <v>4674659.0386441546</v>
      </c>
      <c r="F40" s="6"/>
    </row>
    <row r="41" spans="1:6" ht="15.75" customHeight="1">
      <c r="A41" s="4">
        <f t="shared" si="1"/>
        <v>29</v>
      </c>
      <c r="B41" s="9">
        <f t="shared" si="7"/>
        <v>46694.881272066697</v>
      </c>
      <c r="C41" s="9">
        <f t="shared" si="3"/>
        <v>15530.487681105667</v>
      </c>
      <c r="D41" s="9">
        <f t="shared" si="4"/>
        <v>31164.39359096103</v>
      </c>
      <c r="E41" s="6">
        <f t="shared" si="5"/>
        <v>4659128.5509630488</v>
      </c>
      <c r="F41" s="6"/>
    </row>
    <row r="42" spans="1:6" ht="15.75" customHeight="1">
      <c r="A42" s="4">
        <f t="shared" si="1"/>
        <v>30</v>
      </c>
      <c r="B42" s="9">
        <f t="shared" si="7"/>
        <v>46694.881272066697</v>
      </c>
      <c r="C42" s="9">
        <f t="shared" si="3"/>
        <v>15634.024265646371</v>
      </c>
      <c r="D42" s="9">
        <f t="shared" si="4"/>
        <v>31060.857006420327</v>
      </c>
      <c r="E42" s="6">
        <f t="shared" si="5"/>
        <v>4643494.5266974028</v>
      </c>
      <c r="F42" s="6"/>
    </row>
    <row r="43" spans="1:6" ht="15.75" customHeight="1">
      <c r="A43" s="4">
        <f t="shared" si="1"/>
        <v>31</v>
      </c>
      <c r="B43" s="9">
        <f t="shared" si="7"/>
        <v>46694.881272066697</v>
      </c>
      <c r="C43" s="9">
        <f t="shared" si="3"/>
        <v>15738.251094084011</v>
      </c>
      <c r="D43" s="9">
        <f t="shared" si="4"/>
        <v>30956.630177982686</v>
      </c>
      <c r="E43" s="6">
        <f t="shared" si="5"/>
        <v>4627756.2756033186</v>
      </c>
      <c r="F43" s="6"/>
    </row>
    <row r="44" spans="1:6" ht="15.75" customHeight="1">
      <c r="A44" s="4">
        <f t="shared" si="1"/>
        <v>32</v>
      </c>
      <c r="B44" s="9">
        <f t="shared" si="7"/>
        <v>46694.881272066697</v>
      </c>
      <c r="C44" s="9">
        <f t="shared" si="3"/>
        <v>15843.172768044573</v>
      </c>
      <c r="D44" s="9">
        <f t="shared" si="4"/>
        <v>30851.708504022125</v>
      </c>
      <c r="E44" s="6">
        <f t="shared" si="5"/>
        <v>4611913.1028352743</v>
      </c>
      <c r="F44" s="6"/>
    </row>
    <row r="45" spans="1:6" ht="15.75" customHeight="1">
      <c r="A45" s="4">
        <f t="shared" si="1"/>
        <v>33</v>
      </c>
      <c r="B45" s="9">
        <f t="shared" si="7"/>
        <v>46694.881272066697</v>
      </c>
      <c r="C45" s="9">
        <f t="shared" si="3"/>
        <v>15948.793919831536</v>
      </c>
      <c r="D45" s="9">
        <f t="shared" si="4"/>
        <v>30746.087352235161</v>
      </c>
      <c r="E45" s="6">
        <f t="shared" si="5"/>
        <v>4595964.3089154428</v>
      </c>
      <c r="F45" s="6"/>
    </row>
    <row r="46" spans="1:6" ht="15.75" customHeight="1">
      <c r="A46" s="4">
        <f t="shared" si="1"/>
        <v>34</v>
      </c>
      <c r="B46" s="9">
        <f t="shared" si="7"/>
        <v>46694.881272066697</v>
      </c>
      <c r="C46" s="9">
        <f t="shared" si="3"/>
        <v>16055.119212630412</v>
      </c>
      <c r="D46" s="9">
        <f t="shared" si="4"/>
        <v>30639.762059436285</v>
      </c>
      <c r="E46" s="6">
        <f t="shared" si="5"/>
        <v>4579909.1897028126</v>
      </c>
      <c r="F46" s="6"/>
    </row>
    <row r="47" spans="1:6" ht="15.75" customHeight="1">
      <c r="A47" s="4">
        <f t="shared" si="1"/>
        <v>35</v>
      </c>
      <c r="B47" s="9">
        <f t="shared" si="7"/>
        <v>46694.881272066697</v>
      </c>
      <c r="C47" s="9">
        <f t="shared" si="3"/>
        <v>16162.153340714613</v>
      </c>
      <c r="D47" s="9">
        <f t="shared" si="4"/>
        <v>30532.727931352085</v>
      </c>
      <c r="E47" s="6">
        <f t="shared" si="5"/>
        <v>4563747.0363620976</v>
      </c>
      <c r="F47" s="6"/>
    </row>
    <row r="48" spans="1:6" ht="15.75" customHeight="1">
      <c r="A48" s="4">
        <f t="shared" si="1"/>
        <v>36</v>
      </c>
      <c r="B48" s="9">
        <f t="shared" si="7"/>
        <v>46694.881272066697</v>
      </c>
      <c r="C48" s="9">
        <f t="shared" si="3"/>
        <v>16269.901029652716</v>
      </c>
      <c r="D48" s="9">
        <f t="shared" si="4"/>
        <v>30424.980242413982</v>
      </c>
      <c r="E48" s="6">
        <f t="shared" si="5"/>
        <v>4547477.1353324447</v>
      </c>
      <c r="F48" s="6">
        <f>$B$5*$B$8</f>
        <v>38590.810968650156</v>
      </c>
    </row>
    <row r="49" spans="1:6" ht="15.75" customHeight="1">
      <c r="A49" s="4">
        <f t="shared" si="1"/>
        <v>37</v>
      </c>
      <c r="B49" s="9">
        <f>IF(ROUND(E48,1)=0,0,B48)*(1+B9)</f>
        <v>51364.369399273368</v>
      </c>
      <c r="C49" s="9">
        <f t="shared" si="3"/>
        <v>21047.855163723736</v>
      </c>
      <c r="D49" s="9">
        <f t="shared" si="4"/>
        <v>30316.514235549632</v>
      </c>
      <c r="E49" s="6">
        <f t="shared" si="5"/>
        <v>4487838.4692000709</v>
      </c>
      <c r="F49" s="6"/>
    </row>
    <row r="50" spans="1:6" ht="15.75" customHeight="1">
      <c r="A50" s="4">
        <f t="shared" si="1"/>
        <v>38</v>
      </c>
      <c r="B50" s="9">
        <f t="shared" ref="B50:B60" si="8">IF(ROUND(E49,1)=0,0,B49)</f>
        <v>51364.369399273368</v>
      </c>
      <c r="C50" s="9">
        <f t="shared" si="3"/>
        <v>21445.446271272893</v>
      </c>
      <c r="D50" s="9">
        <f t="shared" si="4"/>
        <v>29918.923128000475</v>
      </c>
      <c r="E50" s="6">
        <f t="shared" si="5"/>
        <v>4466393.0229287976</v>
      </c>
      <c r="F50" s="6"/>
    </row>
    <row r="51" spans="1:6" ht="15.75" customHeight="1">
      <c r="A51" s="4">
        <f t="shared" si="1"/>
        <v>39</v>
      </c>
      <c r="B51" s="9">
        <f t="shared" si="8"/>
        <v>51364.369399273368</v>
      </c>
      <c r="C51" s="9">
        <f t="shared" si="3"/>
        <v>21588.415913081382</v>
      </c>
      <c r="D51" s="9">
        <f t="shared" si="4"/>
        <v>29775.953486191986</v>
      </c>
      <c r="E51" s="6">
        <f t="shared" si="5"/>
        <v>4444804.6070157159</v>
      </c>
      <c r="F51" s="6"/>
    </row>
    <row r="52" spans="1:6" ht="15.75" customHeight="1">
      <c r="A52" s="4">
        <f t="shared" si="1"/>
        <v>40</v>
      </c>
      <c r="B52" s="9">
        <f t="shared" si="8"/>
        <v>51364.369399273368</v>
      </c>
      <c r="C52" s="9">
        <f t="shared" si="3"/>
        <v>21732.338685835264</v>
      </c>
      <c r="D52" s="9">
        <f t="shared" si="4"/>
        <v>29632.030713438104</v>
      </c>
      <c r="E52" s="6">
        <f t="shared" si="5"/>
        <v>4423072.2683298802</v>
      </c>
      <c r="F52" s="6"/>
    </row>
    <row r="53" spans="1:6" ht="15.75" customHeight="1">
      <c r="A53" s="4">
        <f t="shared" si="1"/>
        <v>41</v>
      </c>
      <c r="B53" s="9">
        <f t="shared" si="8"/>
        <v>51364.369399273368</v>
      </c>
      <c r="C53" s="9">
        <f t="shared" si="3"/>
        <v>21877.220943740835</v>
      </c>
      <c r="D53" s="9">
        <f t="shared" si="4"/>
        <v>29487.148455532533</v>
      </c>
      <c r="E53" s="6">
        <f t="shared" si="5"/>
        <v>4401195.0473861396</v>
      </c>
      <c r="F53" s="6"/>
    </row>
    <row r="54" spans="1:6" ht="15.75" customHeight="1">
      <c r="A54" s="4">
        <f t="shared" si="1"/>
        <v>42</v>
      </c>
      <c r="B54" s="9">
        <f t="shared" si="8"/>
        <v>51364.369399273368</v>
      </c>
      <c r="C54" s="9">
        <f t="shared" si="3"/>
        <v>22023.069083365768</v>
      </c>
      <c r="D54" s="9">
        <f t="shared" si="4"/>
        <v>29341.3003159076</v>
      </c>
      <c r="E54" s="6">
        <f t="shared" si="5"/>
        <v>4379171.978302774</v>
      </c>
      <c r="F54" s="6"/>
    </row>
    <row r="55" spans="1:6" ht="15.75" customHeight="1">
      <c r="A55" s="4">
        <f t="shared" si="1"/>
        <v>43</v>
      </c>
      <c r="B55" s="9">
        <f t="shared" si="8"/>
        <v>51364.369399273368</v>
      </c>
      <c r="C55" s="9">
        <f t="shared" si="3"/>
        <v>22169.889543921538</v>
      </c>
      <c r="D55" s="9">
        <f t="shared" si="4"/>
        <v>29194.47985535183</v>
      </c>
      <c r="E55" s="6">
        <f t="shared" si="5"/>
        <v>4357002.0887588523</v>
      </c>
      <c r="F55" s="6"/>
    </row>
    <row r="56" spans="1:6" ht="15.75" customHeight="1">
      <c r="A56" s="4">
        <f t="shared" si="1"/>
        <v>44</v>
      </c>
      <c r="B56" s="9">
        <f t="shared" si="8"/>
        <v>51364.369399273368</v>
      </c>
      <c r="C56" s="9">
        <f t="shared" si="3"/>
        <v>22317.688807547685</v>
      </c>
      <c r="D56" s="9">
        <f t="shared" si="4"/>
        <v>29046.680591725682</v>
      </c>
      <c r="E56" s="6">
        <f t="shared" si="5"/>
        <v>4334684.3999513043</v>
      </c>
      <c r="F56" s="6"/>
    </row>
    <row r="57" spans="1:6" ht="15.75" customHeight="1">
      <c r="A57" s="4">
        <f t="shared" si="1"/>
        <v>45</v>
      </c>
      <c r="B57" s="9">
        <f t="shared" si="8"/>
        <v>51364.369399273368</v>
      </c>
      <c r="C57" s="9">
        <f t="shared" si="3"/>
        <v>22466.473399598002</v>
      </c>
      <c r="D57" s="9">
        <f t="shared" si="4"/>
        <v>28897.895999675366</v>
      </c>
      <c r="E57" s="6">
        <f t="shared" si="5"/>
        <v>4312217.9265517062</v>
      </c>
      <c r="F57" s="6"/>
    </row>
    <row r="58" spans="1:6" ht="15.75" customHeight="1">
      <c r="A58" s="4">
        <f t="shared" si="1"/>
        <v>46</v>
      </c>
      <c r="B58" s="9">
        <f t="shared" si="8"/>
        <v>51364.369399273368</v>
      </c>
      <c r="C58" s="9">
        <f t="shared" si="3"/>
        <v>22616.249888928658</v>
      </c>
      <c r="D58" s="9">
        <f t="shared" si="4"/>
        <v>28748.11951034471</v>
      </c>
      <c r="E58" s="6">
        <f t="shared" si="5"/>
        <v>4289601.6766627776</v>
      </c>
      <c r="F58" s="6"/>
    </row>
    <row r="59" spans="1:6" ht="15.75" customHeight="1">
      <c r="A59" s="4">
        <f t="shared" si="1"/>
        <v>47</v>
      </c>
      <c r="B59" s="9">
        <f t="shared" si="8"/>
        <v>51364.369399273368</v>
      </c>
      <c r="C59" s="9">
        <f t="shared" si="3"/>
        <v>22767.024888188182</v>
      </c>
      <c r="D59" s="9">
        <f t="shared" si="4"/>
        <v>28597.344511085186</v>
      </c>
      <c r="E59" s="6">
        <f t="shared" si="5"/>
        <v>4266834.651774589</v>
      </c>
      <c r="F59" s="6"/>
    </row>
    <row r="60" spans="1:6" ht="15.75" customHeight="1">
      <c r="A60" s="4">
        <f t="shared" si="1"/>
        <v>48</v>
      </c>
      <c r="B60" s="9">
        <f t="shared" si="8"/>
        <v>51364.369399273368</v>
      </c>
      <c r="C60" s="9">
        <f t="shared" si="3"/>
        <v>22918.805054109438</v>
      </c>
      <c r="D60" s="9">
        <f t="shared" si="4"/>
        <v>28445.56434516393</v>
      </c>
      <c r="E60" s="6">
        <f t="shared" si="5"/>
        <v>4243915.8467204794</v>
      </c>
      <c r="F60" s="6">
        <f>$B$5*$B$8</f>
        <v>38590.810968650156</v>
      </c>
    </row>
    <row r="61" spans="1:6" ht="15.75" customHeight="1">
      <c r="A61" s="4">
        <f t="shared" si="1"/>
        <v>49</v>
      </c>
      <c r="B61" s="9">
        <f>IF(ROUND(E60,1)=0,0,B60)*(1+B9)</f>
        <v>56500.80633920071</v>
      </c>
      <c r="C61" s="9">
        <f t="shared" si="3"/>
        <v>28208.034027730846</v>
      </c>
      <c r="D61" s="9">
        <f t="shared" si="4"/>
        <v>28292.772311469864</v>
      </c>
      <c r="E61" s="6">
        <f t="shared" si="5"/>
        <v>4177117.0017240983</v>
      </c>
      <c r="F61" s="6"/>
    </row>
    <row r="62" spans="1:6" ht="15.75" customHeight="1">
      <c r="A62" s="4">
        <f t="shared" si="1"/>
        <v>50</v>
      </c>
      <c r="B62" s="9">
        <f t="shared" ref="B62:B72" si="9">IF(ROUND(E61,1)=0,0,B61)</f>
        <v>56500.80633920071</v>
      </c>
      <c r="C62" s="9">
        <f t="shared" si="3"/>
        <v>28653.359661040053</v>
      </c>
      <c r="D62" s="9">
        <f t="shared" si="4"/>
        <v>27847.446678160657</v>
      </c>
      <c r="E62" s="6">
        <f t="shared" si="5"/>
        <v>4148463.6420630584</v>
      </c>
      <c r="F62" s="6"/>
    </row>
    <row r="63" spans="1:6" ht="15.75" customHeight="1">
      <c r="A63" s="4">
        <f t="shared" si="1"/>
        <v>51</v>
      </c>
      <c r="B63" s="9">
        <f t="shared" si="9"/>
        <v>56500.80633920071</v>
      </c>
      <c r="C63" s="9">
        <f t="shared" si="3"/>
        <v>28844.382058780317</v>
      </c>
      <c r="D63" s="9">
        <f t="shared" si="4"/>
        <v>27656.424280420393</v>
      </c>
      <c r="E63" s="6">
        <f t="shared" si="5"/>
        <v>4119619.2600042783</v>
      </c>
      <c r="F63" s="6"/>
    </row>
    <row r="64" spans="1:6" ht="15.75" customHeight="1">
      <c r="A64" s="4">
        <f t="shared" si="1"/>
        <v>52</v>
      </c>
      <c r="B64" s="9">
        <f t="shared" si="9"/>
        <v>56500.80633920071</v>
      </c>
      <c r="C64" s="9">
        <f t="shared" si="3"/>
        <v>29036.677939172187</v>
      </c>
      <c r="D64" s="9">
        <f t="shared" si="4"/>
        <v>27464.128400028523</v>
      </c>
      <c r="E64" s="6">
        <f t="shared" si="5"/>
        <v>4090582.5820651059</v>
      </c>
      <c r="F64" s="6"/>
    </row>
    <row r="65" spans="1:6" ht="15.75" customHeight="1">
      <c r="A65" s="4">
        <f t="shared" si="1"/>
        <v>53</v>
      </c>
      <c r="B65" s="9">
        <f t="shared" si="9"/>
        <v>56500.80633920071</v>
      </c>
      <c r="C65" s="9">
        <f t="shared" si="3"/>
        <v>29230.255792100004</v>
      </c>
      <c r="D65" s="9">
        <f t="shared" si="4"/>
        <v>27270.550547100705</v>
      </c>
      <c r="E65" s="6">
        <f t="shared" si="5"/>
        <v>4061352.3262730059</v>
      </c>
      <c r="F65" s="6"/>
    </row>
    <row r="66" spans="1:6" ht="15.75" customHeight="1">
      <c r="A66" s="4">
        <f t="shared" si="1"/>
        <v>54</v>
      </c>
      <c r="B66" s="9">
        <f t="shared" si="9"/>
        <v>56500.80633920071</v>
      </c>
      <c r="C66" s="9">
        <f t="shared" si="3"/>
        <v>29425.124164047338</v>
      </c>
      <c r="D66" s="9">
        <f t="shared" si="4"/>
        <v>27075.682175153372</v>
      </c>
      <c r="E66" s="6">
        <f t="shared" si="5"/>
        <v>4031927.2021089587</v>
      </c>
      <c r="F66" s="6"/>
    </row>
    <row r="67" spans="1:6" ht="15.75" customHeight="1">
      <c r="A67" s="4">
        <f t="shared" si="1"/>
        <v>55</v>
      </c>
      <c r="B67" s="9">
        <f t="shared" si="9"/>
        <v>56500.80633920071</v>
      </c>
      <c r="C67" s="9">
        <f t="shared" si="3"/>
        <v>29621.291658474318</v>
      </c>
      <c r="D67" s="9">
        <f t="shared" si="4"/>
        <v>26879.514680726392</v>
      </c>
      <c r="E67" s="6">
        <f t="shared" si="5"/>
        <v>4002305.9104504846</v>
      </c>
      <c r="F67" s="6"/>
    </row>
    <row r="68" spans="1:6" ht="15.75" customHeight="1">
      <c r="A68" s="4">
        <f t="shared" si="1"/>
        <v>56</v>
      </c>
      <c r="B68" s="9">
        <f t="shared" si="9"/>
        <v>56500.80633920071</v>
      </c>
      <c r="C68" s="9">
        <f t="shared" si="3"/>
        <v>29818.766936197477</v>
      </c>
      <c r="D68" s="9">
        <f t="shared" si="4"/>
        <v>26682.039403003233</v>
      </c>
      <c r="E68" s="6">
        <f t="shared" si="5"/>
        <v>3972487.1435142872</v>
      </c>
      <c r="F68" s="6"/>
    </row>
    <row r="69" spans="1:6" ht="15.75" customHeight="1">
      <c r="A69" s="4">
        <f t="shared" si="1"/>
        <v>57</v>
      </c>
      <c r="B69" s="9">
        <f t="shared" si="9"/>
        <v>56500.80633920071</v>
      </c>
      <c r="C69" s="9">
        <f t="shared" si="3"/>
        <v>30017.558715772127</v>
      </c>
      <c r="D69" s="9">
        <f t="shared" si="4"/>
        <v>26483.247623428582</v>
      </c>
      <c r="E69" s="6">
        <f t="shared" si="5"/>
        <v>3942469.5847985148</v>
      </c>
      <c r="F69" s="6"/>
    </row>
    <row r="70" spans="1:6" ht="15.75" customHeight="1">
      <c r="A70" s="4">
        <f t="shared" si="1"/>
        <v>58</v>
      </c>
      <c r="B70" s="9">
        <f t="shared" si="9"/>
        <v>56500.80633920071</v>
      </c>
      <c r="C70" s="9">
        <f t="shared" si="3"/>
        <v>30217.675773877276</v>
      </c>
      <c r="D70" s="9">
        <f t="shared" si="4"/>
        <v>26283.130565323434</v>
      </c>
      <c r="E70" s="6">
        <f t="shared" si="5"/>
        <v>3912251.9090246377</v>
      </c>
      <c r="F70" s="6"/>
    </row>
    <row r="71" spans="1:6" ht="15.75" customHeight="1">
      <c r="A71" s="4">
        <f t="shared" si="1"/>
        <v>59</v>
      </c>
      <c r="B71" s="9">
        <f t="shared" si="9"/>
        <v>56500.80633920071</v>
      </c>
      <c r="C71" s="9">
        <f t="shared" si="3"/>
        <v>30419.126945703123</v>
      </c>
      <c r="D71" s="9">
        <f t="shared" si="4"/>
        <v>26081.679393497587</v>
      </c>
      <c r="E71" s="6">
        <f t="shared" si="5"/>
        <v>3881832.7820789344</v>
      </c>
      <c r="F71" s="6"/>
    </row>
    <row r="72" spans="1:6" ht="15.75" customHeight="1">
      <c r="A72" s="4">
        <f t="shared" si="1"/>
        <v>60</v>
      </c>
      <c r="B72" s="9">
        <f t="shared" si="9"/>
        <v>56500.80633920071</v>
      </c>
      <c r="C72" s="9">
        <f t="shared" si="3"/>
        <v>30621.921125341145</v>
      </c>
      <c r="D72" s="9">
        <f t="shared" si="4"/>
        <v>25878.885213859565</v>
      </c>
      <c r="E72" s="6">
        <f t="shared" si="5"/>
        <v>3851210.8609535932</v>
      </c>
      <c r="F72" s="6">
        <f>$B$5*$B$8</f>
        <v>38590.810968650156</v>
      </c>
    </row>
    <row r="73" spans="1:6" ht="15.75" customHeight="1">
      <c r="A73" s="4">
        <f t="shared" si="1"/>
        <v>61</v>
      </c>
      <c r="B73" s="9">
        <f>IF(ROUND(E72,1)=0,0,B72)*(1+B9)</f>
        <v>62150.886973120789</v>
      </c>
      <c r="C73" s="9">
        <f t="shared" si="3"/>
        <v>36476.147900096832</v>
      </c>
      <c r="D73" s="9">
        <f t="shared" si="4"/>
        <v>25674.739073023957</v>
      </c>
      <c r="E73" s="6">
        <f t="shared" si="5"/>
        <v>3776143.902084846</v>
      </c>
      <c r="F73" s="6"/>
    </row>
    <row r="74" spans="1:6" ht="15.75" customHeight="1">
      <c r="A74" s="4">
        <f t="shared" si="1"/>
        <v>62</v>
      </c>
      <c r="B74" s="9">
        <f t="shared" ref="B74:B84" si="10">IF(ROUND(E73,1)=0,0,B73)</f>
        <v>62150.886973120789</v>
      </c>
      <c r="C74" s="9">
        <f t="shared" si="3"/>
        <v>36976.59429255515</v>
      </c>
      <c r="D74" s="9">
        <f t="shared" si="4"/>
        <v>25174.292680565643</v>
      </c>
      <c r="E74" s="6">
        <f t="shared" si="5"/>
        <v>3739167.307792291</v>
      </c>
      <c r="F74" s="6"/>
    </row>
    <row r="75" spans="1:6" ht="15.75" customHeight="1">
      <c r="A75" s="4">
        <f t="shared" si="1"/>
        <v>63</v>
      </c>
      <c r="B75" s="9">
        <f t="shared" si="10"/>
        <v>62150.886973120789</v>
      </c>
      <c r="C75" s="9">
        <f t="shared" si="3"/>
        <v>37223.104921172184</v>
      </c>
      <c r="D75" s="9">
        <f t="shared" si="4"/>
        <v>24927.782051948609</v>
      </c>
      <c r="E75" s="6">
        <f t="shared" si="5"/>
        <v>3701944.2028711187</v>
      </c>
      <c r="F75" s="6"/>
    </row>
    <row r="76" spans="1:6" ht="15.75" customHeight="1">
      <c r="A76" s="4">
        <f t="shared" si="1"/>
        <v>64</v>
      </c>
      <c r="B76" s="9">
        <f t="shared" si="10"/>
        <v>62150.886973120789</v>
      </c>
      <c r="C76" s="9">
        <f t="shared" si="3"/>
        <v>37471.258953979996</v>
      </c>
      <c r="D76" s="9">
        <f t="shared" si="4"/>
        <v>24679.62801914079</v>
      </c>
      <c r="E76" s="6">
        <f t="shared" si="5"/>
        <v>3664472.9439171385</v>
      </c>
      <c r="F76" s="6"/>
    </row>
    <row r="77" spans="1:6" ht="15.75" customHeight="1">
      <c r="A77" s="4">
        <f t="shared" si="1"/>
        <v>65</v>
      </c>
      <c r="B77" s="9">
        <f t="shared" si="10"/>
        <v>62150.886973120789</v>
      </c>
      <c r="C77" s="9">
        <f t="shared" si="3"/>
        <v>37721.06734700653</v>
      </c>
      <c r="D77" s="9">
        <f t="shared" si="4"/>
        <v>24429.819626114258</v>
      </c>
      <c r="E77" s="6">
        <f t="shared" si="5"/>
        <v>3626751.8765701321</v>
      </c>
      <c r="F77" s="6"/>
    </row>
    <row r="78" spans="1:6" ht="15.75" customHeight="1">
      <c r="A78" s="4">
        <f t="shared" si="1"/>
        <v>66</v>
      </c>
      <c r="B78" s="9">
        <f t="shared" si="10"/>
        <v>62150.886973120789</v>
      </c>
      <c r="C78" s="9">
        <f t="shared" si="3"/>
        <v>37972.541129319907</v>
      </c>
      <c r="D78" s="9">
        <f t="shared" si="4"/>
        <v>24178.345843800882</v>
      </c>
      <c r="E78" s="6">
        <f t="shared" si="5"/>
        <v>3588779.3354408122</v>
      </c>
      <c r="F78" s="6"/>
    </row>
    <row r="79" spans="1:6" ht="15.75" customHeight="1">
      <c r="A79" s="4">
        <f t="shared" si="1"/>
        <v>67</v>
      </c>
      <c r="B79" s="9">
        <f t="shared" si="10"/>
        <v>62150.886973120789</v>
      </c>
      <c r="C79" s="9">
        <f t="shared" si="3"/>
        <v>38225.691403515375</v>
      </c>
      <c r="D79" s="9">
        <f t="shared" si="4"/>
        <v>23925.195569605417</v>
      </c>
      <c r="E79" s="6">
        <f t="shared" si="5"/>
        <v>3550553.644037297</v>
      </c>
      <c r="F79" s="6"/>
    </row>
    <row r="80" spans="1:6" ht="15.75" customHeight="1">
      <c r="A80" s="4">
        <f t="shared" si="1"/>
        <v>68</v>
      </c>
      <c r="B80" s="9">
        <f t="shared" si="10"/>
        <v>62150.886973120789</v>
      </c>
      <c r="C80" s="9">
        <f t="shared" si="3"/>
        <v>38480.529346205476</v>
      </c>
      <c r="D80" s="9">
        <f t="shared" si="4"/>
        <v>23670.357626915313</v>
      </c>
      <c r="E80" s="6">
        <f t="shared" si="5"/>
        <v>3512073.1146910917</v>
      </c>
      <c r="F80" s="6"/>
    </row>
    <row r="81" spans="1:6" ht="15.75" customHeight="1">
      <c r="A81" s="4">
        <f t="shared" si="1"/>
        <v>69</v>
      </c>
      <c r="B81" s="9">
        <f t="shared" si="10"/>
        <v>62150.886973120789</v>
      </c>
      <c r="C81" s="9">
        <f t="shared" si="3"/>
        <v>38737.066208513512</v>
      </c>
      <c r="D81" s="9">
        <f t="shared" si="4"/>
        <v>23413.820764607281</v>
      </c>
      <c r="E81" s="6">
        <f t="shared" si="5"/>
        <v>3473336.0484825782</v>
      </c>
      <c r="F81" s="6"/>
    </row>
    <row r="82" spans="1:6" ht="15.75" customHeight="1">
      <c r="A82" s="4">
        <f t="shared" si="1"/>
        <v>70</v>
      </c>
      <c r="B82" s="9">
        <f t="shared" si="10"/>
        <v>62150.886973120789</v>
      </c>
      <c r="C82" s="9">
        <f t="shared" si="3"/>
        <v>38995.313316570267</v>
      </c>
      <c r="D82" s="9">
        <f t="shared" si="4"/>
        <v>23155.573656550521</v>
      </c>
      <c r="E82" s="6">
        <f t="shared" si="5"/>
        <v>3434340.7351660081</v>
      </c>
      <c r="F82" s="6"/>
    </row>
    <row r="83" spans="1:6" ht="15.75" customHeight="1">
      <c r="A83" s="4">
        <f t="shared" si="1"/>
        <v>71</v>
      </c>
      <c r="B83" s="9">
        <f t="shared" si="10"/>
        <v>62150.886973120789</v>
      </c>
      <c r="C83" s="9">
        <f t="shared" si="3"/>
        <v>39255.282072014066</v>
      </c>
      <c r="D83" s="9">
        <f t="shared" si="4"/>
        <v>22895.604901106723</v>
      </c>
      <c r="E83" s="6">
        <f t="shared" si="5"/>
        <v>3395085.4530939939</v>
      </c>
      <c r="F83" s="6"/>
    </row>
    <row r="84" spans="1:6" ht="15.75" customHeight="1">
      <c r="A84" s="4">
        <f t="shared" si="1"/>
        <v>72</v>
      </c>
      <c r="B84" s="9">
        <f t="shared" si="10"/>
        <v>62150.886973120789</v>
      </c>
      <c r="C84" s="9">
        <f t="shared" si="3"/>
        <v>39516.983952494164</v>
      </c>
      <c r="D84" s="9">
        <f t="shared" si="4"/>
        <v>22633.903020626629</v>
      </c>
      <c r="E84" s="6">
        <f t="shared" si="5"/>
        <v>3355568.4691414996</v>
      </c>
      <c r="F84" s="6">
        <f>$B$5*$B$8</f>
        <v>38590.810968650156</v>
      </c>
    </row>
    <row r="85" spans="1:6" ht="15.75" customHeight="1">
      <c r="A85" s="4">
        <f t="shared" si="1"/>
        <v>73</v>
      </c>
      <c r="B85" s="9">
        <f>IF(ROUND(E84,1)=0,0,B84)*(1+B9)</f>
        <v>68365.975670432876</v>
      </c>
      <c r="C85" s="9">
        <f t="shared" si="3"/>
        <v>45995.519209489546</v>
      </c>
      <c r="D85" s="9">
        <f t="shared" si="4"/>
        <v>22370.456460943329</v>
      </c>
      <c r="E85" s="6">
        <f t="shared" si="5"/>
        <v>3270982.1389633599</v>
      </c>
      <c r="F85" s="6"/>
    </row>
    <row r="86" spans="1:6" ht="15.75" customHeight="1">
      <c r="A86" s="4">
        <f t="shared" si="1"/>
        <v>74</v>
      </c>
      <c r="B86" s="9">
        <f t="shared" ref="B86:B96" si="11">IF(ROUND(E85,1)=0,0,B85)</f>
        <v>68365.975670432876</v>
      </c>
      <c r="C86" s="9">
        <f t="shared" si="3"/>
        <v>46559.428077343808</v>
      </c>
      <c r="D86" s="9">
        <f t="shared" si="4"/>
        <v>21806.547593089064</v>
      </c>
      <c r="E86" s="6">
        <f t="shared" si="5"/>
        <v>3224422.710886016</v>
      </c>
      <c r="F86" s="6"/>
    </row>
    <row r="87" spans="1:6" ht="15.75" customHeight="1">
      <c r="A87" s="4">
        <f t="shared" si="1"/>
        <v>75</v>
      </c>
      <c r="B87" s="9">
        <f t="shared" si="11"/>
        <v>68365.975670432876</v>
      </c>
      <c r="C87" s="9">
        <f t="shared" si="3"/>
        <v>46869.824264526105</v>
      </c>
      <c r="D87" s="9">
        <f t="shared" si="4"/>
        <v>21496.151405906774</v>
      </c>
      <c r="E87" s="6">
        <f t="shared" si="5"/>
        <v>3177552.8866214901</v>
      </c>
      <c r="F87" s="6"/>
    </row>
    <row r="88" spans="1:6" ht="15.75" customHeight="1">
      <c r="A88" s="4">
        <f t="shared" si="1"/>
        <v>76</v>
      </c>
      <c r="B88" s="9">
        <f t="shared" si="11"/>
        <v>68365.975670432876</v>
      </c>
      <c r="C88" s="9">
        <f t="shared" si="3"/>
        <v>47182.289759622945</v>
      </c>
      <c r="D88" s="9">
        <f t="shared" si="4"/>
        <v>21183.685910809934</v>
      </c>
      <c r="E88" s="6">
        <f t="shared" si="5"/>
        <v>3130370.5968618672</v>
      </c>
      <c r="F88" s="6"/>
    </row>
    <row r="89" spans="1:6" ht="15.75" customHeight="1">
      <c r="A89" s="4">
        <f t="shared" si="1"/>
        <v>77</v>
      </c>
      <c r="B89" s="9">
        <f t="shared" si="11"/>
        <v>68365.975670432876</v>
      </c>
      <c r="C89" s="9">
        <f t="shared" si="3"/>
        <v>47496.838358020424</v>
      </c>
      <c r="D89" s="9">
        <f t="shared" si="4"/>
        <v>20869.137312412447</v>
      </c>
      <c r="E89" s="6">
        <f t="shared" si="5"/>
        <v>3082873.7585038468</v>
      </c>
      <c r="F89" s="6"/>
    </row>
    <row r="90" spans="1:6" ht="15.75" customHeight="1">
      <c r="A90" s="4">
        <f t="shared" si="1"/>
        <v>78</v>
      </c>
      <c r="B90" s="9">
        <f t="shared" si="11"/>
        <v>68365.975670432876</v>
      </c>
      <c r="C90" s="9">
        <f t="shared" si="3"/>
        <v>47813.483947073895</v>
      </c>
      <c r="D90" s="9">
        <f t="shared" si="4"/>
        <v>20552.49172335898</v>
      </c>
      <c r="E90" s="6">
        <f t="shared" si="5"/>
        <v>3035060.2745567728</v>
      </c>
      <c r="F90" s="6"/>
    </row>
    <row r="91" spans="1:6" ht="15.75" customHeight="1">
      <c r="A91" s="4">
        <f t="shared" si="1"/>
        <v>79</v>
      </c>
      <c r="B91" s="9">
        <f t="shared" si="11"/>
        <v>68365.975670432876</v>
      </c>
      <c r="C91" s="9">
        <f t="shared" si="3"/>
        <v>48132.240506721057</v>
      </c>
      <c r="D91" s="9">
        <f t="shared" si="4"/>
        <v>20233.735163711819</v>
      </c>
      <c r="E91" s="6">
        <f t="shared" si="5"/>
        <v>2986928.0340500516</v>
      </c>
      <c r="F91" s="6"/>
    </row>
    <row r="92" spans="1:6" ht="15.75" customHeight="1">
      <c r="A92" s="4">
        <f t="shared" si="1"/>
        <v>80</v>
      </c>
      <c r="B92" s="9">
        <f t="shared" si="11"/>
        <v>68365.975670432876</v>
      </c>
      <c r="C92" s="9">
        <f t="shared" si="3"/>
        <v>48453.122110099197</v>
      </c>
      <c r="D92" s="9">
        <f t="shared" si="4"/>
        <v>19912.853560333679</v>
      </c>
      <c r="E92" s="6">
        <f t="shared" si="5"/>
        <v>2938474.9119399525</v>
      </c>
      <c r="F92" s="6"/>
    </row>
    <row r="93" spans="1:6" ht="15.75" customHeight="1">
      <c r="A93" s="4">
        <f t="shared" si="1"/>
        <v>81</v>
      </c>
      <c r="B93" s="9">
        <f t="shared" si="11"/>
        <v>68365.975670432876</v>
      </c>
      <c r="C93" s="9">
        <f t="shared" si="3"/>
        <v>48776.142924166525</v>
      </c>
      <c r="D93" s="9">
        <f t="shared" si="4"/>
        <v>19589.832746266351</v>
      </c>
      <c r="E93" s="6">
        <f t="shared" si="5"/>
        <v>2889698.7690157858</v>
      </c>
      <c r="F93" s="6"/>
    </row>
    <row r="94" spans="1:6" ht="15.75" customHeight="1">
      <c r="A94" s="4">
        <f t="shared" si="1"/>
        <v>82</v>
      </c>
      <c r="B94" s="9">
        <f t="shared" si="11"/>
        <v>68365.975670432876</v>
      </c>
      <c r="C94" s="9">
        <f t="shared" si="3"/>
        <v>49101.317210327637</v>
      </c>
      <c r="D94" s="9">
        <f t="shared" si="4"/>
        <v>19264.658460105238</v>
      </c>
      <c r="E94" s="6">
        <f t="shared" si="5"/>
        <v>2840597.4518054579</v>
      </c>
      <c r="F94" s="6"/>
    </row>
    <row r="95" spans="1:6" ht="15.75" customHeight="1">
      <c r="A95" s="4">
        <f t="shared" si="1"/>
        <v>83</v>
      </c>
      <c r="B95" s="9">
        <f t="shared" si="11"/>
        <v>68365.975670432876</v>
      </c>
      <c r="C95" s="9">
        <f t="shared" si="3"/>
        <v>49428.659325063156</v>
      </c>
      <c r="D95" s="9">
        <f t="shared" si="4"/>
        <v>18937.31634536972</v>
      </c>
      <c r="E95" s="6">
        <f t="shared" si="5"/>
        <v>2791168.7924803947</v>
      </c>
      <c r="F95" s="6"/>
    </row>
    <row r="96" spans="1:6" ht="15.75" customHeight="1">
      <c r="A96" s="4">
        <f t="shared" si="1"/>
        <v>84</v>
      </c>
      <c r="B96" s="9">
        <f t="shared" si="11"/>
        <v>68365.975670432876</v>
      </c>
      <c r="C96" s="9">
        <f t="shared" si="3"/>
        <v>49758.183720563582</v>
      </c>
      <c r="D96" s="9">
        <f t="shared" si="4"/>
        <v>18607.791949869297</v>
      </c>
      <c r="E96" s="6">
        <f t="shared" si="5"/>
        <v>2741410.6087598312</v>
      </c>
      <c r="F96" s="6">
        <f>$B$5*$B$8</f>
        <v>38590.810968650156</v>
      </c>
    </row>
    <row r="97" spans="1:6" ht="15.75" customHeight="1">
      <c r="A97" s="4">
        <f t="shared" si="1"/>
        <v>85</v>
      </c>
      <c r="B97" s="9">
        <f>IF(ROUND(E96,1)=0,0,B96)*(1+B9)</f>
        <v>75202.573237476172</v>
      </c>
      <c r="C97" s="9">
        <f t="shared" si="3"/>
        <v>56926.502512410632</v>
      </c>
      <c r="D97" s="9">
        <f t="shared" si="4"/>
        <v>18276.070725065543</v>
      </c>
      <c r="E97" s="6">
        <f t="shared" si="5"/>
        <v>2645893.2952787704</v>
      </c>
      <c r="F97" s="6"/>
    </row>
    <row r="98" spans="1:6" ht="15.75" customHeight="1">
      <c r="A98" s="4">
        <f t="shared" si="1"/>
        <v>86</v>
      </c>
      <c r="B98" s="9">
        <f t="shared" ref="B98:B108" si="12">IF(ROUND(E97,1)=0,0,B97)</f>
        <v>75202.573237476172</v>
      </c>
      <c r="C98" s="9">
        <f t="shared" si="3"/>
        <v>57563.284602284373</v>
      </c>
      <c r="D98" s="9">
        <f t="shared" si="4"/>
        <v>17639.288635191802</v>
      </c>
      <c r="E98" s="6">
        <f t="shared" si="5"/>
        <v>2588330.010676486</v>
      </c>
      <c r="F98" s="6"/>
    </row>
    <row r="99" spans="1:6" ht="15.75" customHeight="1">
      <c r="A99" s="4">
        <f t="shared" si="1"/>
        <v>87</v>
      </c>
      <c r="B99" s="9">
        <f t="shared" si="12"/>
        <v>75202.573237476172</v>
      </c>
      <c r="C99" s="9">
        <f t="shared" si="3"/>
        <v>57947.039832966271</v>
      </c>
      <c r="D99" s="9">
        <f t="shared" si="4"/>
        <v>17255.533404509904</v>
      </c>
      <c r="E99" s="6">
        <f t="shared" si="5"/>
        <v>2530382.9708435195</v>
      </c>
      <c r="F99" s="6"/>
    </row>
    <row r="100" spans="1:6" ht="15.75" customHeight="1">
      <c r="A100" s="4">
        <f t="shared" si="1"/>
        <v>88</v>
      </c>
      <c r="B100" s="9">
        <f t="shared" si="12"/>
        <v>75202.573237476172</v>
      </c>
      <c r="C100" s="9">
        <f t="shared" si="3"/>
        <v>58333.353431852709</v>
      </c>
      <c r="D100" s="9">
        <f t="shared" si="4"/>
        <v>16869.219805623463</v>
      </c>
      <c r="E100" s="6">
        <f t="shared" si="5"/>
        <v>2472049.617411667</v>
      </c>
      <c r="F100" s="6"/>
    </row>
    <row r="101" spans="1:6" ht="15.75" customHeight="1">
      <c r="A101" s="4">
        <f t="shared" si="1"/>
        <v>89</v>
      </c>
      <c r="B101" s="9">
        <f t="shared" si="12"/>
        <v>75202.573237476172</v>
      </c>
      <c r="C101" s="9">
        <f t="shared" si="3"/>
        <v>58722.24245473172</v>
      </c>
      <c r="D101" s="9">
        <f t="shared" si="4"/>
        <v>16480.330782744448</v>
      </c>
      <c r="E101" s="6">
        <f t="shared" si="5"/>
        <v>2413327.3749569352</v>
      </c>
      <c r="F101" s="6"/>
    </row>
    <row r="102" spans="1:6" ht="15.75" customHeight="1">
      <c r="A102" s="4">
        <f t="shared" si="1"/>
        <v>90</v>
      </c>
      <c r="B102" s="9">
        <f t="shared" si="12"/>
        <v>75202.573237476172</v>
      </c>
      <c r="C102" s="9">
        <f t="shared" si="3"/>
        <v>59113.724071096607</v>
      </c>
      <c r="D102" s="9">
        <f t="shared" si="4"/>
        <v>16088.849166379567</v>
      </c>
      <c r="E102" s="6">
        <f t="shared" si="5"/>
        <v>2354213.6508858385</v>
      </c>
      <c r="F102" s="6"/>
    </row>
    <row r="103" spans="1:6" ht="15.75" customHeight="1">
      <c r="A103" s="4">
        <f t="shared" si="1"/>
        <v>91</v>
      </c>
      <c r="B103" s="9">
        <f t="shared" si="12"/>
        <v>75202.573237476172</v>
      </c>
      <c r="C103" s="9">
        <f t="shared" si="3"/>
        <v>59507.815564903918</v>
      </c>
      <c r="D103" s="9">
        <f t="shared" si="4"/>
        <v>15694.757672572256</v>
      </c>
      <c r="E103" s="6">
        <f t="shared" si="5"/>
        <v>2294705.8353209347</v>
      </c>
      <c r="F103" s="6"/>
    </row>
    <row r="104" spans="1:6" ht="15.75" customHeight="1">
      <c r="A104" s="4">
        <f t="shared" si="1"/>
        <v>92</v>
      </c>
      <c r="B104" s="9">
        <f t="shared" si="12"/>
        <v>75202.573237476172</v>
      </c>
      <c r="C104" s="9">
        <f t="shared" si="3"/>
        <v>59904.534335336604</v>
      </c>
      <c r="D104" s="9">
        <f t="shared" si="4"/>
        <v>15298.038902139566</v>
      </c>
      <c r="E104" s="6">
        <f t="shared" si="5"/>
        <v>2234801.300985598</v>
      </c>
      <c r="F104" s="6"/>
    </row>
    <row r="105" spans="1:6" ht="15.75" customHeight="1">
      <c r="A105" s="4">
        <f t="shared" si="1"/>
        <v>93</v>
      </c>
      <c r="B105" s="9">
        <f t="shared" si="12"/>
        <v>75202.573237476172</v>
      </c>
      <c r="C105" s="9">
        <f t="shared" si="3"/>
        <v>60303.897897572184</v>
      </c>
      <c r="D105" s="9">
        <f t="shared" si="4"/>
        <v>14898.675339903988</v>
      </c>
      <c r="E105" s="6">
        <f t="shared" si="5"/>
        <v>2174497.4030880257</v>
      </c>
      <c r="F105" s="6"/>
    </row>
    <row r="106" spans="1:6" ht="15.75" customHeight="1">
      <c r="A106" s="4">
        <f t="shared" si="1"/>
        <v>94</v>
      </c>
      <c r="B106" s="9">
        <f t="shared" si="12"/>
        <v>75202.573237476172</v>
      </c>
      <c r="C106" s="9">
        <f t="shared" si="3"/>
        <v>60705.923883556003</v>
      </c>
      <c r="D106" s="9">
        <f t="shared" si="4"/>
        <v>14496.649353920171</v>
      </c>
      <c r="E106" s="6">
        <f t="shared" si="5"/>
        <v>2113791.4792044698</v>
      </c>
      <c r="F106" s="6"/>
    </row>
    <row r="107" spans="1:6" ht="15.75" customHeight="1">
      <c r="A107" s="4">
        <f t="shared" si="1"/>
        <v>95</v>
      </c>
      <c r="B107" s="9">
        <f t="shared" si="12"/>
        <v>75202.573237476172</v>
      </c>
      <c r="C107" s="9">
        <f t="shared" si="3"/>
        <v>61110.630042779703</v>
      </c>
      <c r="D107" s="9">
        <f t="shared" si="4"/>
        <v>14091.943194696467</v>
      </c>
      <c r="E107" s="6">
        <f t="shared" si="5"/>
        <v>2052680.8491616901</v>
      </c>
      <c r="F107" s="6"/>
    </row>
    <row r="108" spans="1:6" ht="15.75" customHeight="1">
      <c r="A108" s="4">
        <f t="shared" si="1"/>
        <v>96</v>
      </c>
      <c r="B108" s="9">
        <f t="shared" si="12"/>
        <v>75202.573237476172</v>
      </c>
      <c r="C108" s="9">
        <f t="shared" si="3"/>
        <v>61518.034243064903</v>
      </c>
      <c r="D108" s="9">
        <f t="shared" si="4"/>
        <v>13684.538994411269</v>
      </c>
      <c r="E108" s="6">
        <f t="shared" si="5"/>
        <v>1991162.8149186252</v>
      </c>
      <c r="F108" s="6">
        <f>$B$5*$B$8</f>
        <v>38590.810968650156</v>
      </c>
    </row>
    <row r="109" spans="1:6" ht="15.75" customHeight="1">
      <c r="A109" s="4">
        <f t="shared" si="1"/>
        <v>97</v>
      </c>
      <c r="B109" s="9">
        <f>IF(ROUND(E108,1)=0,0,B108)*(1+B9)</f>
        <v>82722.830561223789</v>
      </c>
      <c r="C109" s="9">
        <f t="shared" si="3"/>
        <v>69448.411795099615</v>
      </c>
      <c r="D109" s="9">
        <f t="shared" si="4"/>
        <v>13274.418766124169</v>
      </c>
      <c r="E109" s="6">
        <f t="shared" si="5"/>
        <v>1883123.5921548754</v>
      </c>
      <c r="F109" s="6"/>
    </row>
    <row r="110" spans="1:6" ht="15.75" customHeight="1">
      <c r="A110" s="4">
        <f t="shared" si="1"/>
        <v>98</v>
      </c>
      <c r="B110" s="9">
        <f t="shared" ref="B110:B120" si="13">IF(ROUND(E109,1)=0,0,B109)</f>
        <v>82722.830561223789</v>
      </c>
      <c r="C110" s="9">
        <f t="shared" si="3"/>
        <v>70168.673280191288</v>
      </c>
      <c r="D110" s="9">
        <f t="shared" si="4"/>
        <v>12554.157281032503</v>
      </c>
      <c r="E110" s="6">
        <f t="shared" si="5"/>
        <v>1812954.918874684</v>
      </c>
      <c r="F110" s="6"/>
    </row>
    <row r="111" spans="1:6" ht="15.75" customHeight="1">
      <c r="A111" s="4">
        <f t="shared" si="1"/>
        <v>99</v>
      </c>
      <c r="B111" s="9">
        <f t="shared" si="13"/>
        <v>82722.830561223789</v>
      </c>
      <c r="C111" s="9">
        <f t="shared" si="3"/>
        <v>70636.464435392554</v>
      </c>
      <c r="D111" s="9">
        <f t="shared" si="4"/>
        <v>12086.366125831228</v>
      </c>
      <c r="E111" s="6">
        <f t="shared" si="5"/>
        <v>1742318.4544392915</v>
      </c>
      <c r="F111" s="6"/>
    </row>
    <row r="112" spans="1:6" ht="15.75" customHeight="1">
      <c r="A112" s="4">
        <f t="shared" si="1"/>
        <v>100</v>
      </c>
      <c r="B112" s="9">
        <f t="shared" si="13"/>
        <v>82722.830561223789</v>
      </c>
      <c r="C112" s="9">
        <f t="shared" si="3"/>
        <v>71107.374198295176</v>
      </c>
      <c r="D112" s="9">
        <f t="shared" si="4"/>
        <v>11615.456362928611</v>
      </c>
      <c r="E112" s="6">
        <f t="shared" si="5"/>
        <v>1671211.0802409963</v>
      </c>
      <c r="F112" s="6"/>
    </row>
    <row r="113" spans="1:6" ht="15.75" customHeight="1">
      <c r="A113" s="4">
        <f t="shared" si="1"/>
        <v>101</v>
      </c>
      <c r="B113" s="9">
        <f t="shared" si="13"/>
        <v>82722.830561223789</v>
      </c>
      <c r="C113" s="9">
        <f t="shared" si="3"/>
        <v>71581.423359617154</v>
      </c>
      <c r="D113" s="9">
        <f t="shared" si="4"/>
        <v>11141.407201606642</v>
      </c>
      <c r="E113" s="6">
        <f t="shared" si="5"/>
        <v>1599629.6568813792</v>
      </c>
      <c r="F113" s="6"/>
    </row>
    <row r="114" spans="1:6" ht="15.75" customHeight="1">
      <c r="A114" s="4">
        <f t="shared" si="1"/>
        <v>102</v>
      </c>
      <c r="B114" s="9">
        <f t="shared" si="13"/>
        <v>82722.830561223789</v>
      </c>
      <c r="C114" s="9">
        <f t="shared" si="3"/>
        <v>72058.632848681256</v>
      </c>
      <c r="D114" s="9">
        <f t="shared" si="4"/>
        <v>10664.197712542527</v>
      </c>
      <c r="E114" s="6">
        <f t="shared" si="5"/>
        <v>1527571.024032698</v>
      </c>
      <c r="F114" s="6"/>
    </row>
    <row r="115" spans="1:6" ht="15.75" customHeight="1">
      <c r="A115" s="4">
        <f t="shared" si="1"/>
        <v>103</v>
      </c>
      <c r="B115" s="9">
        <f t="shared" si="13"/>
        <v>82722.830561223789</v>
      </c>
      <c r="C115" s="9">
        <f t="shared" si="3"/>
        <v>72539.023734339135</v>
      </c>
      <c r="D115" s="9">
        <f t="shared" si="4"/>
        <v>10183.806826884653</v>
      </c>
      <c r="E115" s="6">
        <f t="shared" si="5"/>
        <v>1455032.000298359</v>
      </c>
      <c r="F115" s="6"/>
    </row>
    <row r="116" spans="1:6" ht="15.75" customHeight="1">
      <c r="A116" s="4">
        <f t="shared" si="1"/>
        <v>104</v>
      </c>
      <c r="B116" s="9">
        <f t="shared" si="13"/>
        <v>82722.830561223789</v>
      </c>
      <c r="C116" s="9">
        <f t="shared" si="3"/>
        <v>73022.617225901398</v>
      </c>
      <c r="D116" s="9">
        <f t="shared" si="4"/>
        <v>9700.2133353223926</v>
      </c>
      <c r="E116" s="6">
        <f t="shared" si="5"/>
        <v>1382009.3830724575</v>
      </c>
      <c r="F116" s="6"/>
    </row>
    <row r="117" spans="1:6" ht="15.75" customHeight="1">
      <c r="A117" s="4">
        <f t="shared" si="1"/>
        <v>105</v>
      </c>
      <c r="B117" s="9">
        <f t="shared" si="13"/>
        <v>82722.830561223789</v>
      </c>
      <c r="C117" s="9">
        <f t="shared" si="3"/>
        <v>73509.434674074073</v>
      </c>
      <c r="D117" s="9">
        <f t="shared" si="4"/>
        <v>9213.395887149718</v>
      </c>
      <c r="E117" s="6">
        <f t="shared" si="5"/>
        <v>1308499.9483983833</v>
      </c>
      <c r="F117" s="6"/>
    </row>
    <row r="118" spans="1:6" ht="15.75" customHeight="1">
      <c r="A118" s="4">
        <f t="shared" si="1"/>
        <v>106</v>
      </c>
      <c r="B118" s="9">
        <f t="shared" si="13"/>
        <v>82722.830561223789</v>
      </c>
      <c r="C118" s="9">
        <f t="shared" si="3"/>
        <v>73999.497571901229</v>
      </c>
      <c r="D118" s="9">
        <f t="shared" si="4"/>
        <v>8723.3329893225546</v>
      </c>
      <c r="E118" s="6">
        <f t="shared" si="5"/>
        <v>1234500.4508264821</v>
      </c>
      <c r="F118" s="6"/>
    </row>
    <row r="119" spans="1:6" ht="15.75" customHeight="1">
      <c r="A119" s="4">
        <f t="shared" si="1"/>
        <v>107</v>
      </c>
      <c r="B119" s="9">
        <f t="shared" si="13"/>
        <v>82722.830561223789</v>
      </c>
      <c r="C119" s="9">
        <f t="shared" si="3"/>
        <v>74492.827555713913</v>
      </c>
      <c r="D119" s="9">
        <f t="shared" si="4"/>
        <v>8230.0030055098814</v>
      </c>
      <c r="E119" s="6">
        <f t="shared" si="5"/>
        <v>1160007.6232707682</v>
      </c>
      <c r="F119" s="6"/>
    </row>
    <row r="120" spans="1:6" ht="15.75" customHeight="1">
      <c r="A120" s="4">
        <f t="shared" si="1"/>
        <v>108</v>
      </c>
      <c r="B120" s="9">
        <f t="shared" si="13"/>
        <v>82722.830561223789</v>
      </c>
      <c r="C120" s="9">
        <f t="shared" si="3"/>
        <v>74989.446406085335</v>
      </c>
      <c r="D120" s="9">
        <f t="shared" si="4"/>
        <v>7733.3841551384548</v>
      </c>
      <c r="E120" s="6">
        <f t="shared" si="5"/>
        <v>1085018.1768646829</v>
      </c>
      <c r="F120" s="6">
        <f>$B$5*$B$8</f>
        <v>38590.810968650156</v>
      </c>
    </row>
    <row r="121" spans="1:6" ht="15.75" customHeight="1">
      <c r="A121" s="4">
        <f t="shared" si="1"/>
        <v>109</v>
      </c>
      <c r="B121" s="9">
        <f>IF(ROUND(E120,1)=0,0,B120)*(1+B9)</f>
        <v>90995.113617346171</v>
      </c>
      <c r="C121" s="9">
        <f t="shared" si="3"/>
        <v>83761.659104914957</v>
      </c>
      <c r="D121" s="9">
        <f t="shared" si="4"/>
        <v>7233.4545124312199</v>
      </c>
      <c r="E121" s="6">
        <f t="shared" si="5"/>
        <v>962665.70679111779</v>
      </c>
      <c r="F121" s="6"/>
    </row>
    <row r="122" spans="1:6" ht="15.75" customHeight="1">
      <c r="A122" s="4">
        <f t="shared" si="1"/>
        <v>110</v>
      </c>
      <c r="B122" s="9">
        <f t="shared" ref="B122:B132" si="14">IF(ROUND(E121,1)=0,0,B121)</f>
        <v>90995.113617346171</v>
      </c>
      <c r="C122" s="9">
        <f t="shared" si="3"/>
        <v>84577.342238738725</v>
      </c>
      <c r="D122" s="9">
        <f t="shared" si="4"/>
        <v>6417.7713786074519</v>
      </c>
      <c r="E122" s="6">
        <f t="shared" si="5"/>
        <v>878088.36455237912</v>
      </c>
      <c r="F122" s="6"/>
    </row>
    <row r="123" spans="1:6" ht="15.75" customHeight="1">
      <c r="A123" s="4">
        <f t="shared" si="1"/>
        <v>111</v>
      </c>
      <c r="B123" s="9">
        <f t="shared" si="14"/>
        <v>90995.113617346171</v>
      </c>
      <c r="C123" s="9">
        <f t="shared" si="3"/>
        <v>85141.191186996977</v>
      </c>
      <c r="D123" s="9">
        <f t="shared" si="4"/>
        <v>5853.9224303491937</v>
      </c>
      <c r="E123" s="6">
        <f t="shared" si="5"/>
        <v>792947.17336538213</v>
      </c>
      <c r="F123" s="6"/>
    </row>
    <row r="124" spans="1:6" ht="15.75" customHeight="1">
      <c r="A124" s="4">
        <f t="shared" si="1"/>
        <v>112</v>
      </c>
      <c r="B124" s="9">
        <f t="shared" si="14"/>
        <v>90995.113617346171</v>
      </c>
      <c r="C124" s="9">
        <f t="shared" si="3"/>
        <v>85708.799128243627</v>
      </c>
      <c r="D124" s="9">
        <f t="shared" si="4"/>
        <v>5286.3144891025477</v>
      </c>
      <c r="E124" s="6">
        <f t="shared" si="5"/>
        <v>707238.37423713855</v>
      </c>
      <c r="F124" s="6"/>
    </row>
    <row r="125" spans="1:6" ht="15.75" customHeight="1">
      <c r="A125" s="4">
        <f t="shared" si="1"/>
        <v>113</v>
      </c>
      <c r="B125" s="9">
        <f t="shared" si="14"/>
        <v>90995.113617346171</v>
      </c>
      <c r="C125" s="9">
        <f t="shared" si="3"/>
        <v>86280.191122431919</v>
      </c>
      <c r="D125" s="9">
        <f t="shared" si="4"/>
        <v>4714.9224949142572</v>
      </c>
      <c r="E125" s="6">
        <f t="shared" si="5"/>
        <v>620958.18311470666</v>
      </c>
      <c r="F125" s="6"/>
    </row>
    <row r="126" spans="1:6" ht="15.75" customHeight="1">
      <c r="A126" s="4">
        <f t="shared" si="1"/>
        <v>114</v>
      </c>
      <c r="B126" s="9">
        <f t="shared" si="14"/>
        <v>90995.113617346171</v>
      </c>
      <c r="C126" s="9">
        <f t="shared" si="3"/>
        <v>86855.392396581461</v>
      </c>
      <c r="D126" s="9">
        <f t="shared" si="4"/>
        <v>4139.7212207647108</v>
      </c>
      <c r="E126" s="6">
        <f t="shared" si="5"/>
        <v>534102.79071812518</v>
      </c>
      <c r="F126" s="6"/>
    </row>
    <row r="127" spans="1:6" ht="15.75" customHeight="1">
      <c r="A127" s="4">
        <f t="shared" si="1"/>
        <v>115</v>
      </c>
      <c r="B127" s="9">
        <f t="shared" si="14"/>
        <v>90995.113617346171</v>
      </c>
      <c r="C127" s="9">
        <f t="shared" si="3"/>
        <v>87434.428345891996</v>
      </c>
      <c r="D127" s="9">
        <f t="shared" si="4"/>
        <v>3560.6852714541678</v>
      </c>
      <c r="E127" s="6">
        <f t="shared" si="5"/>
        <v>446668.36237223318</v>
      </c>
      <c r="F127" s="6"/>
    </row>
    <row r="128" spans="1:6" ht="15.75" customHeight="1">
      <c r="A128" s="4">
        <f t="shared" si="1"/>
        <v>116</v>
      </c>
      <c r="B128" s="9">
        <f t="shared" si="14"/>
        <v>90995.113617346171</v>
      </c>
      <c r="C128" s="9">
        <f t="shared" si="3"/>
        <v>88017.324534864616</v>
      </c>
      <c r="D128" s="9">
        <f t="shared" si="4"/>
        <v>2977.7890824815545</v>
      </c>
      <c r="E128" s="6">
        <f t="shared" si="5"/>
        <v>358651.03783736855</v>
      </c>
      <c r="F128" s="6"/>
    </row>
    <row r="129" spans="1:6" ht="15.75" customHeight="1">
      <c r="A129" s="4">
        <f t="shared" si="1"/>
        <v>117</v>
      </c>
      <c r="B129" s="9">
        <f t="shared" si="14"/>
        <v>90995.113617346171</v>
      </c>
      <c r="C129" s="9">
        <f t="shared" si="3"/>
        <v>88604.106698430376</v>
      </c>
      <c r="D129" s="9">
        <f t="shared" si="4"/>
        <v>2391.0069189157903</v>
      </c>
      <c r="E129" s="6">
        <f t="shared" si="5"/>
        <v>270046.93113893818</v>
      </c>
      <c r="F129" s="6"/>
    </row>
    <row r="130" spans="1:6" ht="15.75" customHeight="1">
      <c r="A130" s="4">
        <f t="shared" si="1"/>
        <v>118</v>
      </c>
      <c r="B130" s="9">
        <f t="shared" si="14"/>
        <v>90995.113617346171</v>
      </c>
      <c r="C130" s="9">
        <f t="shared" si="3"/>
        <v>89194.800743086584</v>
      </c>
      <c r="D130" s="9">
        <f t="shared" si="4"/>
        <v>1800.3128742595879</v>
      </c>
      <c r="E130" s="6">
        <f t="shared" si="5"/>
        <v>180852.13039585159</v>
      </c>
      <c r="F130" s="6"/>
    </row>
    <row r="131" spans="1:6" ht="15.75" customHeight="1">
      <c r="A131" s="4">
        <f t="shared" si="1"/>
        <v>119</v>
      </c>
      <c r="B131" s="9">
        <f t="shared" si="14"/>
        <v>90995.113617346171</v>
      </c>
      <c r="C131" s="9">
        <f t="shared" si="3"/>
        <v>89789.43274804049</v>
      </c>
      <c r="D131" s="9">
        <f t="shared" si="4"/>
        <v>1205.6808693056773</v>
      </c>
      <c r="E131" s="6">
        <f t="shared" si="5"/>
        <v>91062.697647811103</v>
      </c>
      <c r="F131" s="6"/>
    </row>
    <row r="132" spans="1:6" ht="15.75" customHeight="1">
      <c r="A132" s="4">
        <f t="shared" si="1"/>
        <v>120</v>
      </c>
      <c r="B132" s="9">
        <f t="shared" si="14"/>
        <v>90995.113617346171</v>
      </c>
      <c r="C132" s="9">
        <f t="shared" si="3"/>
        <v>90388.028966360769</v>
      </c>
      <c r="D132" s="9">
        <f t="shared" si="4"/>
        <v>607.08465098540739</v>
      </c>
      <c r="E132" s="6">
        <f t="shared" si="5"/>
        <v>674.66868145033368</v>
      </c>
      <c r="F132" s="6">
        <f>$B$5*$B$8</f>
        <v>38590.810968650156</v>
      </c>
    </row>
    <row r="133" spans="1:6" ht="15.75" customHeight="1">
      <c r="A133" s="4">
        <f t="shared" si="1"/>
        <v>121</v>
      </c>
      <c r="B133" s="9">
        <f>IF(ROUND(E132,1)=0,0,B132)*(1+B9)</f>
        <v>100094.62497908079</v>
      </c>
      <c r="C133" s="9">
        <f t="shared" si="3"/>
        <v>100090.12718787113</v>
      </c>
      <c r="D133" s="9">
        <f t="shared" si="4"/>
        <v>4.4977912096688915</v>
      </c>
      <c r="E133" s="6">
        <f t="shared" si="5"/>
        <v>-138006.26947507096</v>
      </c>
      <c r="F133" s="6"/>
    </row>
    <row r="134" spans="1:6" ht="15.75" customHeight="1">
      <c r="A134" s="4">
        <f t="shared" si="1"/>
        <v>122</v>
      </c>
      <c r="B134" s="9">
        <f t="shared" ref="B134:B144" si="15">IF(ROUND(E133,1)=0,0,B133)</f>
        <v>100094.62497908079</v>
      </c>
      <c r="C134" s="9">
        <f t="shared" si="3"/>
        <v>100094.62497908079</v>
      </c>
      <c r="D134" s="9">
        <f t="shared" si="4"/>
        <v>0</v>
      </c>
      <c r="E134" s="6">
        <f t="shared" si="5"/>
        <v>-238100.89445415174</v>
      </c>
      <c r="F134" s="6"/>
    </row>
    <row r="135" spans="1:6" ht="15.75" customHeight="1">
      <c r="A135" s="4">
        <f t="shared" si="1"/>
        <v>123</v>
      </c>
      <c r="B135" s="9">
        <f t="shared" si="15"/>
        <v>100094.62497908079</v>
      </c>
      <c r="C135" s="9">
        <f t="shared" si="3"/>
        <v>100094.62497908079</v>
      </c>
      <c r="D135" s="9">
        <f t="shared" si="4"/>
        <v>0</v>
      </c>
      <c r="E135" s="6">
        <f t="shared" si="5"/>
        <v>-338195.51943323255</v>
      </c>
      <c r="F135" s="6"/>
    </row>
    <row r="136" spans="1:6" ht="15.75" customHeight="1">
      <c r="A136" s="4">
        <f t="shared" si="1"/>
        <v>124</v>
      </c>
      <c r="B136" s="9">
        <f t="shared" si="15"/>
        <v>100094.62497908079</v>
      </c>
      <c r="C136" s="9">
        <f t="shared" si="3"/>
        <v>100094.62497908079</v>
      </c>
      <c r="D136" s="9">
        <f t="shared" si="4"/>
        <v>0</v>
      </c>
      <c r="E136" s="6">
        <f t="shared" si="5"/>
        <v>-438290.14441231336</v>
      </c>
      <c r="F136" s="6"/>
    </row>
    <row r="137" spans="1:6" ht="15.75" customHeight="1">
      <c r="A137" s="4">
        <f t="shared" si="1"/>
        <v>125</v>
      </c>
      <c r="B137" s="9">
        <f t="shared" si="15"/>
        <v>100094.62497908079</v>
      </c>
      <c r="C137" s="9">
        <f t="shared" si="3"/>
        <v>100094.62497908079</v>
      </c>
      <c r="D137" s="9">
        <f t="shared" si="4"/>
        <v>0</v>
      </c>
      <c r="E137" s="6">
        <f t="shared" si="5"/>
        <v>-538384.7693913941</v>
      </c>
      <c r="F137" s="6"/>
    </row>
    <row r="138" spans="1:6" ht="15.75" customHeight="1">
      <c r="A138" s="4">
        <f t="shared" si="1"/>
        <v>126</v>
      </c>
      <c r="B138" s="9">
        <f t="shared" si="15"/>
        <v>100094.62497908079</v>
      </c>
      <c r="C138" s="9">
        <f t="shared" si="3"/>
        <v>100094.62497908079</v>
      </c>
      <c r="D138" s="9">
        <f t="shared" si="4"/>
        <v>0</v>
      </c>
      <c r="E138" s="6">
        <f t="shared" si="5"/>
        <v>-638479.39437047485</v>
      </c>
      <c r="F138" s="6"/>
    </row>
    <row r="139" spans="1:6" ht="15.75" customHeight="1">
      <c r="A139" s="4">
        <f t="shared" si="1"/>
        <v>127</v>
      </c>
      <c r="B139" s="9">
        <f t="shared" si="15"/>
        <v>100094.62497908079</v>
      </c>
      <c r="C139" s="9">
        <f t="shared" si="3"/>
        <v>100094.62497908079</v>
      </c>
      <c r="D139" s="9">
        <f t="shared" si="4"/>
        <v>0</v>
      </c>
      <c r="E139" s="6">
        <f t="shared" si="5"/>
        <v>-738574.0193495556</v>
      </c>
      <c r="F139" s="6"/>
    </row>
    <row r="140" spans="1:6" ht="15.75" customHeight="1">
      <c r="A140" s="4">
        <f t="shared" si="1"/>
        <v>128</v>
      </c>
      <c r="B140" s="9">
        <f t="shared" si="15"/>
        <v>100094.62497908079</v>
      </c>
      <c r="C140" s="9">
        <f t="shared" si="3"/>
        <v>100094.62497908079</v>
      </c>
      <c r="D140" s="9">
        <f t="shared" si="4"/>
        <v>0</v>
      </c>
      <c r="E140" s="6">
        <f t="shared" si="5"/>
        <v>-838668.64432863635</v>
      </c>
      <c r="F140" s="6"/>
    </row>
    <row r="141" spans="1:6" ht="15.75" customHeight="1">
      <c r="A141" s="4">
        <f t="shared" si="1"/>
        <v>129</v>
      </c>
      <c r="B141" s="9">
        <f t="shared" si="15"/>
        <v>100094.62497908079</v>
      </c>
      <c r="C141" s="9">
        <f t="shared" si="3"/>
        <v>100094.62497908079</v>
      </c>
      <c r="D141" s="9">
        <f t="shared" si="4"/>
        <v>0</v>
      </c>
      <c r="E141" s="6">
        <f t="shared" si="5"/>
        <v>-938763.2693077171</v>
      </c>
      <c r="F141" s="6"/>
    </row>
    <row r="142" spans="1:6" ht="15.75" customHeight="1">
      <c r="A142" s="4">
        <f t="shared" si="1"/>
        <v>130</v>
      </c>
      <c r="B142" s="9">
        <f t="shared" si="15"/>
        <v>100094.62497908079</v>
      </c>
      <c r="C142" s="9">
        <f t="shared" si="3"/>
        <v>100094.62497908079</v>
      </c>
      <c r="D142" s="9">
        <f t="shared" si="4"/>
        <v>0</v>
      </c>
      <c r="E142" s="6">
        <f t="shared" si="5"/>
        <v>-1038857.8942867978</v>
      </c>
      <c r="F142" s="6"/>
    </row>
    <row r="143" spans="1:6" ht="15.75" customHeight="1">
      <c r="A143" s="4">
        <f t="shared" si="1"/>
        <v>131</v>
      </c>
      <c r="B143" s="9">
        <f t="shared" si="15"/>
        <v>100094.62497908079</v>
      </c>
      <c r="C143" s="9">
        <f t="shared" si="3"/>
        <v>100094.62497908079</v>
      </c>
      <c r="D143" s="9">
        <f t="shared" si="4"/>
        <v>0</v>
      </c>
      <c r="E143" s="6">
        <f t="shared" si="5"/>
        <v>-1138952.5192658787</v>
      </c>
      <c r="F143" s="6"/>
    </row>
    <row r="144" spans="1:6" ht="15.75" customHeight="1">
      <c r="A144" s="4">
        <f t="shared" si="1"/>
        <v>132</v>
      </c>
      <c r="B144" s="9">
        <f t="shared" si="15"/>
        <v>100094.62497908079</v>
      </c>
      <c r="C144" s="9">
        <f t="shared" si="3"/>
        <v>100094.62497908079</v>
      </c>
      <c r="D144" s="9">
        <f t="shared" si="4"/>
        <v>0</v>
      </c>
      <c r="E144" s="6">
        <f t="shared" si="5"/>
        <v>-1239047.1442449596</v>
      </c>
      <c r="F144" s="6">
        <f>$B$5*$B$8</f>
        <v>38590.810968650156</v>
      </c>
    </row>
    <row r="145" spans="1:6" ht="15.75" customHeight="1">
      <c r="A145" s="4">
        <f t="shared" si="1"/>
        <v>133</v>
      </c>
      <c r="B145" s="9">
        <f>IF(ROUND(E144,1)=0,0,B144)*(1+B9)</f>
        <v>110104.08747698888</v>
      </c>
      <c r="C145" s="9">
        <f t="shared" si="3"/>
        <v>110104.08747698888</v>
      </c>
      <c r="D145" s="9">
        <f t="shared" si="4"/>
        <v>0</v>
      </c>
      <c r="E145" s="6">
        <f t="shared" si="5"/>
        <v>-1387742.0426905986</v>
      </c>
      <c r="F145" s="6"/>
    </row>
    <row r="146" spans="1:6" ht="15.75" customHeight="1">
      <c r="A146" s="4">
        <f t="shared" si="1"/>
        <v>134</v>
      </c>
      <c r="B146" s="9">
        <f t="shared" ref="B146:B156" si="16">IF(ROUND(E145,1)=0,0,B145)</f>
        <v>110104.08747698888</v>
      </c>
      <c r="C146" s="9">
        <f t="shared" si="3"/>
        <v>110104.08747698888</v>
      </c>
      <c r="D146" s="9">
        <f t="shared" si="4"/>
        <v>0</v>
      </c>
      <c r="E146" s="6">
        <f t="shared" si="5"/>
        <v>-1497846.1301675874</v>
      </c>
      <c r="F146" s="6"/>
    </row>
    <row r="147" spans="1:6" ht="15.75" customHeight="1">
      <c r="A147" s="4">
        <f t="shared" si="1"/>
        <v>135</v>
      </c>
      <c r="B147" s="9">
        <f t="shared" si="16"/>
        <v>110104.08747698888</v>
      </c>
      <c r="C147" s="9">
        <f t="shared" si="3"/>
        <v>110104.08747698888</v>
      </c>
      <c r="D147" s="9">
        <f t="shared" si="4"/>
        <v>0</v>
      </c>
      <c r="E147" s="6">
        <f t="shared" si="5"/>
        <v>-1607950.2176445762</v>
      </c>
      <c r="F147" s="6"/>
    </row>
    <row r="148" spans="1:6" ht="15.75" customHeight="1">
      <c r="A148" s="4">
        <f t="shared" si="1"/>
        <v>136</v>
      </c>
      <c r="B148" s="9">
        <f t="shared" si="16"/>
        <v>110104.08747698888</v>
      </c>
      <c r="C148" s="9">
        <f t="shared" si="3"/>
        <v>110104.08747698888</v>
      </c>
      <c r="D148" s="9">
        <f t="shared" si="4"/>
        <v>0</v>
      </c>
      <c r="E148" s="6">
        <f t="shared" si="5"/>
        <v>-1718054.305121565</v>
      </c>
      <c r="F148" s="6"/>
    </row>
    <row r="149" spans="1:6" ht="15.75" customHeight="1">
      <c r="A149" s="4">
        <f t="shared" si="1"/>
        <v>137</v>
      </c>
      <c r="B149" s="9">
        <f t="shared" si="16"/>
        <v>110104.08747698888</v>
      </c>
      <c r="C149" s="9">
        <f t="shared" si="3"/>
        <v>110104.08747698888</v>
      </c>
      <c r="D149" s="9">
        <f t="shared" si="4"/>
        <v>0</v>
      </c>
      <c r="E149" s="6">
        <f t="shared" si="5"/>
        <v>-1828158.3925985538</v>
      </c>
      <c r="F149" s="6"/>
    </row>
    <row r="150" spans="1:6" ht="15.75" customHeight="1">
      <c r="A150" s="4">
        <f t="shared" si="1"/>
        <v>138</v>
      </c>
      <c r="B150" s="9">
        <f t="shared" si="16"/>
        <v>110104.08747698888</v>
      </c>
      <c r="C150" s="9">
        <f t="shared" si="3"/>
        <v>110104.08747698888</v>
      </c>
      <c r="D150" s="9">
        <f t="shared" si="4"/>
        <v>0</v>
      </c>
      <c r="E150" s="6">
        <f t="shared" si="5"/>
        <v>-1938262.4800755426</v>
      </c>
      <c r="F150" s="6"/>
    </row>
    <row r="151" spans="1:6" ht="15.75" customHeight="1">
      <c r="A151" s="4">
        <f t="shared" si="1"/>
        <v>139</v>
      </c>
      <c r="B151" s="9">
        <f t="shared" si="16"/>
        <v>110104.08747698888</v>
      </c>
      <c r="C151" s="9">
        <f t="shared" si="3"/>
        <v>110104.08747698888</v>
      </c>
      <c r="D151" s="9">
        <f t="shared" si="4"/>
        <v>0</v>
      </c>
      <c r="E151" s="6">
        <f t="shared" si="5"/>
        <v>-2048366.5675525314</v>
      </c>
      <c r="F151" s="6"/>
    </row>
    <row r="152" spans="1:6" ht="15.75" customHeight="1">
      <c r="A152" s="4">
        <f t="shared" si="1"/>
        <v>140</v>
      </c>
      <c r="B152" s="9">
        <f t="shared" si="16"/>
        <v>110104.08747698888</v>
      </c>
      <c r="C152" s="9">
        <f t="shared" si="3"/>
        <v>110104.08747698888</v>
      </c>
      <c r="D152" s="9">
        <f t="shared" si="4"/>
        <v>0</v>
      </c>
      <c r="E152" s="6">
        <f t="shared" si="5"/>
        <v>-2158470.6550295204</v>
      </c>
      <c r="F152" s="6"/>
    </row>
    <row r="153" spans="1:6" ht="15.75" customHeight="1">
      <c r="A153" s="4">
        <f t="shared" si="1"/>
        <v>141</v>
      </c>
      <c r="B153" s="9">
        <f t="shared" si="16"/>
        <v>110104.08747698888</v>
      </c>
      <c r="C153" s="9">
        <f t="shared" si="3"/>
        <v>110104.08747698888</v>
      </c>
      <c r="D153" s="9">
        <f t="shared" si="4"/>
        <v>0</v>
      </c>
      <c r="E153" s="6">
        <f t="shared" si="5"/>
        <v>-2268574.7425065092</v>
      </c>
      <c r="F153" s="6"/>
    </row>
    <row r="154" spans="1:6" ht="15.75" customHeight="1">
      <c r="A154" s="4">
        <f t="shared" si="1"/>
        <v>142</v>
      </c>
      <c r="B154" s="9">
        <f t="shared" si="16"/>
        <v>110104.08747698888</v>
      </c>
      <c r="C154" s="9">
        <f t="shared" si="3"/>
        <v>110104.08747698888</v>
      </c>
      <c r="D154" s="9">
        <f t="shared" si="4"/>
        <v>0</v>
      </c>
      <c r="E154" s="6">
        <f t="shared" si="5"/>
        <v>-2378678.829983498</v>
      </c>
      <c r="F154" s="6"/>
    </row>
    <row r="155" spans="1:6" ht="15.75" customHeight="1">
      <c r="A155" s="4">
        <f t="shared" si="1"/>
        <v>143</v>
      </c>
      <c r="B155" s="9">
        <f t="shared" si="16"/>
        <v>110104.08747698888</v>
      </c>
      <c r="C155" s="9">
        <f t="shared" si="3"/>
        <v>110104.08747698888</v>
      </c>
      <c r="D155" s="9">
        <f t="shared" si="4"/>
        <v>0</v>
      </c>
      <c r="E155" s="6">
        <f t="shared" si="5"/>
        <v>-2488782.9174604868</v>
      </c>
      <c r="F155" s="6"/>
    </row>
    <row r="156" spans="1:6" ht="15.75" customHeight="1">
      <c r="A156" s="4">
        <f t="shared" si="1"/>
        <v>144</v>
      </c>
      <c r="B156" s="9">
        <f t="shared" si="16"/>
        <v>110104.08747698888</v>
      </c>
      <c r="C156" s="9">
        <f t="shared" si="3"/>
        <v>110104.08747698888</v>
      </c>
      <c r="D156" s="9">
        <f t="shared" si="4"/>
        <v>0</v>
      </c>
      <c r="E156" s="6">
        <f t="shared" si="5"/>
        <v>-2598887.0049374755</v>
      </c>
      <c r="F156" s="6">
        <f>$B$5*$B$8</f>
        <v>38590.810968650156</v>
      </c>
    </row>
    <row r="157" spans="1:6" ht="15.75" customHeight="1">
      <c r="A157" s="4">
        <f t="shared" si="1"/>
        <v>145</v>
      </c>
      <c r="B157" s="9">
        <f>IF(ROUND(E156,1)=0,0,B156)*(1+B9)</f>
        <v>121114.49622468777</v>
      </c>
      <c r="C157" s="9">
        <f t="shared" si="3"/>
        <v>121114.49622468777</v>
      </c>
      <c r="D157" s="9">
        <f t="shared" si="4"/>
        <v>0</v>
      </c>
      <c r="E157" s="6">
        <f t="shared" si="5"/>
        <v>-2758592.3121308135</v>
      </c>
      <c r="F157" s="6"/>
    </row>
    <row r="158" spans="1:6" ht="15.75" customHeight="1">
      <c r="A158" s="4">
        <f t="shared" si="1"/>
        <v>146</v>
      </c>
      <c r="B158" s="9">
        <f t="shared" ref="B158:B168" si="17">IF(ROUND(E157,1)=0,0,B157)</f>
        <v>121114.49622468777</v>
      </c>
      <c r="C158" s="9">
        <f t="shared" si="3"/>
        <v>121114.49622468777</v>
      </c>
      <c r="D158" s="9">
        <f t="shared" si="4"/>
        <v>0</v>
      </c>
      <c r="E158" s="6">
        <f t="shared" si="5"/>
        <v>-2879706.8083555014</v>
      </c>
      <c r="F158" s="6"/>
    </row>
    <row r="159" spans="1:6" ht="15.75" customHeight="1">
      <c r="A159" s="4">
        <f t="shared" si="1"/>
        <v>147</v>
      </c>
      <c r="B159" s="9">
        <f t="shared" si="17"/>
        <v>121114.49622468777</v>
      </c>
      <c r="C159" s="9">
        <f t="shared" si="3"/>
        <v>121114.49622468777</v>
      </c>
      <c r="D159" s="9">
        <f t="shared" si="4"/>
        <v>0</v>
      </c>
      <c r="E159" s="6">
        <f t="shared" si="5"/>
        <v>-3000821.3045801893</v>
      </c>
      <c r="F159" s="6"/>
    </row>
    <row r="160" spans="1:6" ht="15.75" customHeight="1">
      <c r="A160" s="4">
        <f t="shared" si="1"/>
        <v>148</v>
      </c>
      <c r="B160" s="9">
        <f t="shared" si="17"/>
        <v>121114.49622468777</v>
      </c>
      <c r="C160" s="9">
        <f t="shared" si="3"/>
        <v>121114.49622468777</v>
      </c>
      <c r="D160" s="9">
        <f t="shared" si="4"/>
        <v>0</v>
      </c>
      <c r="E160" s="6">
        <f t="shared" si="5"/>
        <v>-3121935.8008048772</v>
      </c>
      <c r="F160" s="6"/>
    </row>
    <row r="161" spans="1:6" ht="15.75" customHeight="1">
      <c r="A161" s="4">
        <f t="shared" si="1"/>
        <v>149</v>
      </c>
      <c r="B161" s="9">
        <f t="shared" si="17"/>
        <v>121114.49622468777</v>
      </c>
      <c r="C161" s="9">
        <f t="shared" si="3"/>
        <v>121114.49622468777</v>
      </c>
      <c r="D161" s="9">
        <f t="shared" si="4"/>
        <v>0</v>
      </c>
      <c r="E161" s="6">
        <f t="shared" si="5"/>
        <v>-3243050.2970295651</v>
      </c>
      <c r="F161" s="6"/>
    </row>
    <row r="162" spans="1:6" ht="15.75" customHeight="1">
      <c r="A162" s="4">
        <f t="shared" si="1"/>
        <v>150</v>
      </c>
      <c r="B162" s="9">
        <f t="shared" si="17"/>
        <v>121114.49622468777</v>
      </c>
      <c r="C162" s="9">
        <f t="shared" si="3"/>
        <v>121114.49622468777</v>
      </c>
      <c r="D162" s="9">
        <f t="shared" si="4"/>
        <v>0</v>
      </c>
      <c r="E162" s="6">
        <f t="shared" si="5"/>
        <v>-3364164.793254253</v>
      </c>
      <c r="F162" s="6"/>
    </row>
    <row r="163" spans="1:6" ht="15.75" customHeight="1">
      <c r="A163" s="4">
        <f t="shared" si="1"/>
        <v>151</v>
      </c>
      <c r="B163" s="9">
        <f t="shared" si="17"/>
        <v>121114.49622468777</v>
      </c>
      <c r="C163" s="9">
        <f t="shared" si="3"/>
        <v>121114.49622468777</v>
      </c>
      <c r="D163" s="9">
        <f t="shared" si="4"/>
        <v>0</v>
      </c>
      <c r="E163" s="6">
        <f t="shared" si="5"/>
        <v>-3485279.2894789409</v>
      </c>
      <c r="F163" s="6"/>
    </row>
    <row r="164" spans="1:6" ht="15.75" customHeight="1">
      <c r="A164" s="4">
        <f t="shared" si="1"/>
        <v>152</v>
      </c>
      <c r="B164" s="9">
        <f t="shared" si="17"/>
        <v>121114.49622468777</v>
      </c>
      <c r="C164" s="9">
        <f t="shared" si="3"/>
        <v>121114.49622468777</v>
      </c>
      <c r="D164" s="9">
        <f t="shared" si="4"/>
        <v>0</v>
      </c>
      <c r="E164" s="6">
        <f t="shared" si="5"/>
        <v>-3606393.7857036288</v>
      </c>
      <c r="F164" s="6"/>
    </row>
    <row r="165" spans="1:6" ht="15.75" customHeight="1">
      <c r="A165" s="4">
        <f t="shared" si="1"/>
        <v>153</v>
      </c>
      <c r="B165" s="9">
        <f t="shared" si="17"/>
        <v>121114.49622468777</v>
      </c>
      <c r="C165" s="9">
        <f t="shared" si="3"/>
        <v>121114.49622468777</v>
      </c>
      <c r="D165" s="9">
        <f t="shared" si="4"/>
        <v>0</v>
      </c>
      <c r="E165" s="6">
        <f t="shared" si="5"/>
        <v>-3727508.2819283167</v>
      </c>
      <c r="F165" s="6"/>
    </row>
    <row r="166" spans="1:6" ht="15.75" customHeight="1">
      <c r="A166" s="4">
        <f t="shared" si="1"/>
        <v>154</v>
      </c>
      <c r="B166" s="9">
        <f t="shared" si="17"/>
        <v>121114.49622468777</v>
      </c>
      <c r="C166" s="9">
        <f t="shared" si="3"/>
        <v>121114.49622468777</v>
      </c>
      <c r="D166" s="9">
        <f t="shared" si="4"/>
        <v>0</v>
      </c>
      <c r="E166" s="6">
        <f t="shared" si="5"/>
        <v>-3848622.7781530046</v>
      </c>
      <c r="F166" s="6"/>
    </row>
    <row r="167" spans="1:6" ht="15.75" customHeight="1">
      <c r="A167" s="4">
        <f t="shared" si="1"/>
        <v>155</v>
      </c>
      <c r="B167" s="9">
        <f t="shared" si="17"/>
        <v>121114.49622468777</v>
      </c>
      <c r="C167" s="9">
        <f t="shared" si="3"/>
        <v>121114.49622468777</v>
      </c>
      <c r="D167" s="9">
        <f t="shared" si="4"/>
        <v>0</v>
      </c>
      <c r="E167" s="6">
        <f t="shared" si="5"/>
        <v>-3969737.2743776925</v>
      </c>
      <c r="F167" s="6"/>
    </row>
    <row r="168" spans="1:6" ht="15.75" customHeight="1">
      <c r="A168" s="4">
        <f t="shared" si="1"/>
        <v>156</v>
      </c>
      <c r="B168" s="9">
        <f t="shared" si="17"/>
        <v>121114.49622468777</v>
      </c>
      <c r="C168" s="9">
        <f t="shared" si="3"/>
        <v>121114.49622468777</v>
      </c>
      <c r="D168" s="9">
        <f t="shared" si="4"/>
        <v>0</v>
      </c>
      <c r="E168" s="6">
        <f t="shared" si="5"/>
        <v>-4090851.7706023804</v>
      </c>
      <c r="F168" s="6">
        <f>$B$5*$B$8</f>
        <v>38590.810968650156</v>
      </c>
    </row>
    <row r="169" spans="1:6" ht="15.75" customHeight="1">
      <c r="A169" s="4">
        <f t="shared" si="1"/>
        <v>157</v>
      </c>
      <c r="B169" s="9">
        <f>IF(ROUND(E168,1)=0,0,B168)*(1+B9)</f>
        <v>133225.94584715654</v>
      </c>
      <c r="C169" s="9">
        <f t="shared" si="3"/>
        <v>133225.94584715654</v>
      </c>
      <c r="D169" s="9">
        <f t="shared" si="4"/>
        <v>0</v>
      </c>
      <c r="E169" s="6">
        <f t="shared" si="5"/>
        <v>-4262668.5274181869</v>
      </c>
      <c r="F169" s="6"/>
    </row>
    <row r="170" spans="1:6" ht="15.75" customHeight="1">
      <c r="A170" s="4">
        <f t="shared" si="1"/>
        <v>158</v>
      </c>
      <c r="B170" s="9">
        <f t="shared" ref="B170:B372" si="18">IF(ROUND(E169,1)=0,0,B169)</f>
        <v>133225.94584715654</v>
      </c>
      <c r="C170" s="9">
        <f t="shared" si="3"/>
        <v>133225.94584715654</v>
      </c>
      <c r="D170" s="9">
        <f t="shared" si="4"/>
        <v>0</v>
      </c>
      <c r="E170" s="6">
        <f t="shared" si="5"/>
        <v>-4395894.4732653433</v>
      </c>
      <c r="F170" s="6"/>
    </row>
    <row r="171" spans="1:6" ht="15.75" customHeight="1">
      <c r="A171" s="4">
        <f t="shared" si="1"/>
        <v>159</v>
      </c>
      <c r="B171" s="9">
        <f t="shared" si="18"/>
        <v>133225.94584715654</v>
      </c>
      <c r="C171" s="9">
        <f t="shared" si="3"/>
        <v>133225.94584715654</v>
      </c>
      <c r="D171" s="9">
        <f t="shared" si="4"/>
        <v>0</v>
      </c>
      <c r="E171" s="6">
        <f t="shared" si="5"/>
        <v>-4529120.4191124998</v>
      </c>
      <c r="F171" s="6"/>
    </row>
    <row r="172" spans="1:6" ht="15.75" customHeight="1">
      <c r="A172" s="4">
        <f t="shared" si="1"/>
        <v>160</v>
      </c>
      <c r="B172" s="9">
        <f t="shared" si="18"/>
        <v>133225.94584715654</v>
      </c>
      <c r="C172" s="9">
        <f t="shared" si="3"/>
        <v>133225.94584715654</v>
      </c>
      <c r="D172" s="9">
        <f t="shared" si="4"/>
        <v>0</v>
      </c>
      <c r="E172" s="6">
        <f t="shared" si="5"/>
        <v>-4662346.3649596563</v>
      </c>
      <c r="F172" s="6"/>
    </row>
    <row r="173" spans="1:6" ht="15.75" customHeight="1">
      <c r="A173" s="4">
        <f t="shared" si="1"/>
        <v>161</v>
      </c>
      <c r="B173" s="9">
        <f t="shared" si="18"/>
        <v>133225.94584715654</v>
      </c>
      <c r="C173" s="9">
        <f t="shared" si="3"/>
        <v>133225.94584715654</v>
      </c>
      <c r="D173" s="9">
        <f t="shared" si="4"/>
        <v>0</v>
      </c>
      <c r="E173" s="6">
        <f t="shared" si="5"/>
        <v>-4795572.3108068127</v>
      </c>
      <c r="F173" s="6"/>
    </row>
    <row r="174" spans="1:6" ht="15.75" customHeight="1">
      <c r="A174" s="4">
        <f t="shared" si="1"/>
        <v>162</v>
      </c>
      <c r="B174" s="9">
        <f t="shared" si="18"/>
        <v>133225.94584715654</v>
      </c>
      <c r="C174" s="9">
        <f t="shared" si="3"/>
        <v>133225.94584715654</v>
      </c>
      <c r="D174" s="9">
        <f t="shared" si="4"/>
        <v>0</v>
      </c>
      <c r="E174" s="6">
        <f t="shared" si="5"/>
        <v>-4928798.2566539692</v>
      </c>
      <c r="F174" s="6"/>
    </row>
    <row r="175" spans="1:6" ht="15.75" customHeight="1">
      <c r="A175" s="4">
        <f t="shared" si="1"/>
        <v>163</v>
      </c>
      <c r="B175" s="9">
        <f t="shared" si="18"/>
        <v>133225.94584715654</v>
      </c>
      <c r="C175" s="9">
        <f t="shared" si="3"/>
        <v>133225.94584715654</v>
      </c>
      <c r="D175" s="9">
        <f t="shared" si="4"/>
        <v>0</v>
      </c>
      <c r="E175" s="6">
        <f t="shared" si="5"/>
        <v>-5062024.2025011256</v>
      </c>
      <c r="F175" s="6"/>
    </row>
    <row r="176" spans="1:6" ht="15.75" customHeight="1">
      <c r="A176" s="4">
        <f t="shared" si="1"/>
        <v>164</v>
      </c>
      <c r="B176" s="9">
        <f t="shared" si="18"/>
        <v>133225.94584715654</v>
      </c>
      <c r="C176" s="9">
        <f t="shared" si="3"/>
        <v>133225.94584715654</v>
      </c>
      <c r="D176" s="9">
        <f t="shared" si="4"/>
        <v>0</v>
      </c>
      <c r="E176" s="6">
        <f t="shared" si="5"/>
        <v>-5195250.1483482821</v>
      </c>
      <c r="F176" s="6"/>
    </row>
    <row r="177" spans="1:6" ht="15.75" customHeight="1">
      <c r="A177" s="4">
        <f t="shared" si="1"/>
        <v>165</v>
      </c>
      <c r="B177" s="9">
        <f t="shared" si="18"/>
        <v>133225.94584715654</v>
      </c>
      <c r="C177" s="9">
        <f t="shared" si="3"/>
        <v>133225.94584715654</v>
      </c>
      <c r="D177" s="9">
        <f t="shared" si="4"/>
        <v>0</v>
      </c>
      <c r="E177" s="6">
        <f t="shared" si="5"/>
        <v>-5328476.0941954385</v>
      </c>
      <c r="F177" s="6"/>
    </row>
    <row r="178" spans="1:6" ht="15.75" customHeight="1">
      <c r="A178" s="4">
        <f t="shared" si="1"/>
        <v>166</v>
      </c>
      <c r="B178" s="9">
        <f t="shared" si="18"/>
        <v>133225.94584715654</v>
      </c>
      <c r="C178" s="9">
        <f t="shared" si="3"/>
        <v>133225.94584715654</v>
      </c>
      <c r="D178" s="9">
        <f t="shared" si="4"/>
        <v>0</v>
      </c>
      <c r="E178" s="6">
        <f t="shared" si="5"/>
        <v>-5461702.040042595</v>
      </c>
      <c r="F178" s="6"/>
    </row>
    <row r="179" spans="1:6" ht="15.75" customHeight="1">
      <c r="A179" s="4">
        <f t="shared" si="1"/>
        <v>167</v>
      </c>
      <c r="B179" s="9">
        <f t="shared" si="18"/>
        <v>133225.94584715654</v>
      </c>
      <c r="C179" s="9">
        <f t="shared" si="3"/>
        <v>133225.94584715654</v>
      </c>
      <c r="D179" s="9">
        <f t="shared" si="4"/>
        <v>0</v>
      </c>
      <c r="E179" s="6">
        <f t="shared" si="5"/>
        <v>-5594927.9858897515</v>
      </c>
      <c r="F179" s="6"/>
    </row>
    <row r="180" spans="1:6" ht="15.75" customHeight="1">
      <c r="A180" s="4">
        <f t="shared" si="1"/>
        <v>168</v>
      </c>
      <c r="B180" s="9">
        <f t="shared" si="18"/>
        <v>133225.94584715654</v>
      </c>
      <c r="C180" s="9">
        <f t="shared" si="3"/>
        <v>133225.94584715654</v>
      </c>
      <c r="D180" s="9">
        <f t="shared" si="4"/>
        <v>0</v>
      </c>
      <c r="E180" s="6">
        <f t="shared" si="5"/>
        <v>-5728153.9317369079</v>
      </c>
      <c r="F180" s="6">
        <f>$B$5*$B$8</f>
        <v>38590.810968650156</v>
      </c>
    </row>
    <row r="181" spans="1:6" ht="15.75" customHeight="1">
      <c r="A181" s="4">
        <f t="shared" si="1"/>
        <v>169</v>
      </c>
      <c r="B181" s="9">
        <f t="shared" si="18"/>
        <v>133225.94584715654</v>
      </c>
      <c r="C181" s="9">
        <f t="shared" si="3"/>
        <v>133225.94584715654</v>
      </c>
      <c r="D181" s="9">
        <f t="shared" si="4"/>
        <v>0</v>
      </c>
      <c r="E181" s="6">
        <f t="shared" si="5"/>
        <v>-5899970.6885527149</v>
      </c>
      <c r="F181" s="6"/>
    </row>
    <row r="182" spans="1:6" ht="15.75" customHeight="1">
      <c r="A182" s="4">
        <f t="shared" si="1"/>
        <v>170</v>
      </c>
      <c r="B182" s="9">
        <f t="shared" si="18"/>
        <v>133225.94584715654</v>
      </c>
      <c r="C182" s="9">
        <f t="shared" si="3"/>
        <v>133225.94584715654</v>
      </c>
      <c r="D182" s="9">
        <f t="shared" si="4"/>
        <v>0</v>
      </c>
      <c r="E182" s="6">
        <f t="shared" si="5"/>
        <v>-6033196.6343998713</v>
      </c>
      <c r="F182" s="6"/>
    </row>
    <row r="183" spans="1:6" ht="15.75" customHeight="1">
      <c r="A183" s="4">
        <f t="shared" si="1"/>
        <v>171</v>
      </c>
      <c r="B183" s="9">
        <f t="shared" si="18"/>
        <v>133225.94584715654</v>
      </c>
      <c r="C183" s="9">
        <f t="shared" si="3"/>
        <v>133225.94584715654</v>
      </c>
      <c r="D183" s="9">
        <f t="shared" si="4"/>
        <v>0</v>
      </c>
      <c r="E183" s="6">
        <f t="shared" si="5"/>
        <v>-6166422.5802470278</v>
      </c>
      <c r="F183" s="6"/>
    </row>
    <row r="184" spans="1:6" ht="15.75" customHeight="1">
      <c r="A184" s="4">
        <f t="shared" si="1"/>
        <v>172</v>
      </c>
      <c r="B184" s="9">
        <f t="shared" si="18"/>
        <v>133225.94584715654</v>
      </c>
      <c r="C184" s="9">
        <f t="shared" si="3"/>
        <v>133225.94584715654</v>
      </c>
      <c r="D184" s="9">
        <f t="shared" si="4"/>
        <v>0</v>
      </c>
      <c r="E184" s="6">
        <f t="shared" si="5"/>
        <v>-6299648.5260941843</v>
      </c>
      <c r="F184" s="6"/>
    </row>
    <row r="185" spans="1:6" ht="15.75" customHeight="1">
      <c r="A185" s="4">
        <f t="shared" si="1"/>
        <v>173</v>
      </c>
      <c r="B185" s="9">
        <f t="shared" si="18"/>
        <v>133225.94584715654</v>
      </c>
      <c r="C185" s="9">
        <f t="shared" si="3"/>
        <v>133225.94584715654</v>
      </c>
      <c r="D185" s="9">
        <f t="shared" si="4"/>
        <v>0</v>
      </c>
      <c r="E185" s="6">
        <f t="shared" si="5"/>
        <v>-6432874.4719413407</v>
      </c>
      <c r="F185" s="6"/>
    </row>
    <row r="186" spans="1:6" ht="15.75" customHeight="1">
      <c r="A186" s="4">
        <f t="shared" si="1"/>
        <v>174</v>
      </c>
      <c r="B186" s="9">
        <f t="shared" si="18"/>
        <v>133225.94584715654</v>
      </c>
      <c r="C186" s="9">
        <f t="shared" si="3"/>
        <v>133225.94584715654</v>
      </c>
      <c r="D186" s="9">
        <f t="shared" si="4"/>
        <v>0</v>
      </c>
      <c r="E186" s="6">
        <f t="shared" si="5"/>
        <v>-6566100.4177884972</v>
      </c>
      <c r="F186" s="6"/>
    </row>
    <row r="187" spans="1:6" ht="15.75" customHeight="1">
      <c r="A187" s="4">
        <f t="shared" si="1"/>
        <v>175</v>
      </c>
      <c r="B187" s="9">
        <f t="shared" si="18"/>
        <v>133225.94584715654</v>
      </c>
      <c r="C187" s="9">
        <f t="shared" si="3"/>
        <v>133225.94584715654</v>
      </c>
      <c r="D187" s="9">
        <f t="shared" si="4"/>
        <v>0</v>
      </c>
      <c r="E187" s="6">
        <f t="shared" si="5"/>
        <v>-6699326.3636356536</v>
      </c>
      <c r="F187" s="6"/>
    </row>
    <row r="188" spans="1:6" ht="15.75" customHeight="1">
      <c r="A188" s="4">
        <f t="shared" si="1"/>
        <v>176</v>
      </c>
      <c r="B188" s="9">
        <f t="shared" si="18"/>
        <v>133225.94584715654</v>
      </c>
      <c r="C188" s="9">
        <f t="shared" si="3"/>
        <v>133225.94584715654</v>
      </c>
      <c r="D188" s="9">
        <f t="shared" si="4"/>
        <v>0</v>
      </c>
      <c r="E188" s="6">
        <f t="shared" si="5"/>
        <v>-6832552.3094828101</v>
      </c>
      <c r="F188" s="6"/>
    </row>
    <row r="189" spans="1:6" ht="15.75" customHeight="1">
      <c r="A189" s="4">
        <f t="shared" si="1"/>
        <v>177</v>
      </c>
      <c r="B189" s="9">
        <f t="shared" si="18"/>
        <v>133225.94584715654</v>
      </c>
      <c r="C189" s="9">
        <f t="shared" si="3"/>
        <v>133225.94584715654</v>
      </c>
      <c r="D189" s="9">
        <f t="shared" si="4"/>
        <v>0</v>
      </c>
      <c r="E189" s="6">
        <f t="shared" si="5"/>
        <v>-6965778.2553299665</v>
      </c>
      <c r="F189" s="6"/>
    </row>
    <row r="190" spans="1:6" ht="15.75" customHeight="1">
      <c r="A190" s="4">
        <f t="shared" si="1"/>
        <v>178</v>
      </c>
      <c r="B190" s="9">
        <f t="shared" si="18"/>
        <v>133225.94584715654</v>
      </c>
      <c r="C190" s="9">
        <f t="shared" si="3"/>
        <v>133225.94584715654</v>
      </c>
      <c r="D190" s="9">
        <f t="shared" si="4"/>
        <v>0</v>
      </c>
      <c r="E190" s="6">
        <f t="shared" si="5"/>
        <v>-7099004.201177123</v>
      </c>
      <c r="F190" s="6"/>
    </row>
    <row r="191" spans="1:6" ht="15.75" customHeight="1">
      <c r="A191" s="4">
        <f t="shared" si="1"/>
        <v>179</v>
      </c>
      <c r="B191" s="9">
        <f t="shared" si="18"/>
        <v>133225.94584715654</v>
      </c>
      <c r="C191" s="9">
        <f t="shared" si="3"/>
        <v>133225.94584715654</v>
      </c>
      <c r="D191" s="9">
        <f t="shared" si="4"/>
        <v>0</v>
      </c>
      <c r="E191" s="6">
        <f t="shared" si="5"/>
        <v>-7232230.1470242795</v>
      </c>
      <c r="F191" s="6"/>
    </row>
    <row r="192" spans="1:6" ht="15.75" customHeight="1">
      <c r="A192" s="4">
        <f t="shared" si="1"/>
        <v>180</v>
      </c>
      <c r="B192" s="9">
        <f t="shared" si="18"/>
        <v>133225.94584715654</v>
      </c>
      <c r="C192" s="9">
        <f t="shared" si="3"/>
        <v>133225.94584715654</v>
      </c>
      <c r="D192" s="9">
        <f t="shared" si="4"/>
        <v>0</v>
      </c>
      <c r="E192" s="6">
        <f t="shared" si="5"/>
        <v>-7365456.0928714359</v>
      </c>
      <c r="F192" s="6">
        <f>$B$5*$B$8</f>
        <v>38590.810968650156</v>
      </c>
    </row>
    <row r="193" spans="1:6" ht="15.75" customHeight="1">
      <c r="A193" s="4">
        <f t="shared" si="1"/>
        <v>181</v>
      </c>
      <c r="B193" s="9">
        <f t="shared" si="18"/>
        <v>133225.94584715654</v>
      </c>
      <c r="C193" s="9">
        <f t="shared" si="3"/>
        <v>133225.94584715654</v>
      </c>
      <c r="D193" s="9">
        <f t="shared" si="4"/>
        <v>0</v>
      </c>
      <c r="E193" s="6">
        <f t="shared" si="5"/>
        <v>-7537272.8496872429</v>
      </c>
      <c r="F193" s="6"/>
    </row>
    <row r="194" spans="1:6" ht="15.75" customHeight="1">
      <c r="A194" s="4">
        <f t="shared" si="1"/>
        <v>182</v>
      </c>
      <c r="B194" s="9">
        <f t="shared" si="18"/>
        <v>133225.94584715654</v>
      </c>
      <c r="C194" s="9">
        <f t="shared" si="3"/>
        <v>133225.94584715654</v>
      </c>
      <c r="D194" s="9">
        <f t="shared" si="4"/>
        <v>0</v>
      </c>
      <c r="E194" s="6">
        <f t="shared" si="5"/>
        <v>-7670498.7955343993</v>
      </c>
      <c r="F194" s="6"/>
    </row>
    <row r="195" spans="1:6" ht="15.75" customHeight="1">
      <c r="A195" s="4">
        <f t="shared" si="1"/>
        <v>183</v>
      </c>
      <c r="B195" s="9">
        <f t="shared" si="18"/>
        <v>133225.94584715654</v>
      </c>
      <c r="C195" s="9">
        <f t="shared" si="3"/>
        <v>133225.94584715654</v>
      </c>
      <c r="D195" s="9">
        <f t="shared" si="4"/>
        <v>0</v>
      </c>
      <c r="E195" s="6">
        <f t="shared" si="5"/>
        <v>-7803724.7413815558</v>
      </c>
      <c r="F195" s="6"/>
    </row>
    <row r="196" spans="1:6" ht="15.75" customHeight="1">
      <c r="A196" s="4">
        <f t="shared" si="1"/>
        <v>184</v>
      </c>
      <c r="B196" s="9">
        <f t="shared" si="18"/>
        <v>133225.94584715654</v>
      </c>
      <c r="C196" s="9">
        <f t="shared" si="3"/>
        <v>133225.94584715654</v>
      </c>
      <c r="D196" s="9">
        <f t="shared" si="4"/>
        <v>0</v>
      </c>
      <c r="E196" s="6">
        <f t="shared" si="5"/>
        <v>-7936950.6872287123</v>
      </c>
      <c r="F196" s="6"/>
    </row>
    <row r="197" spans="1:6" ht="15.75" customHeight="1">
      <c r="A197" s="4">
        <f t="shared" si="1"/>
        <v>185</v>
      </c>
      <c r="B197" s="9">
        <f t="shared" si="18"/>
        <v>133225.94584715654</v>
      </c>
      <c r="C197" s="9">
        <f t="shared" si="3"/>
        <v>133225.94584715654</v>
      </c>
      <c r="D197" s="9">
        <f t="shared" si="4"/>
        <v>0</v>
      </c>
      <c r="E197" s="6">
        <f t="shared" si="5"/>
        <v>-8070176.6330758687</v>
      </c>
      <c r="F197" s="6"/>
    </row>
    <row r="198" spans="1:6" ht="15.75" customHeight="1">
      <c r="A198" s="4">
        <f t="shared" si="1"/>
        <v>186</v>
      </c>
      <c r="B198" s="9">
        <f t="shared" si="18"/>
        <v>133225.94584715654</v>
      </c>
      <c r="C198" s="9">
        <f t="shared" si="3"/>
        <v>133225.94584715654</v>
      </c>
      <c r="D198" s="9">
        <f t="shared" si="4"/>
        <v>0</v>
      </c>
      <c r="E198" s="6">
        <f t="shared" si="5"/>
        <v>-8203402.5789230252</v>
      </c>
      <c r="F198" s="6"/>
    </row>
    <row r="199" spans="1:6" ht="15.75" customHeight="1">
      <c r="A199" s="4">
        <f t="shared" si="1"/>
        <v>187</v>
      </c>
      <c r="B199" s="9">
        <f t="shared" si="18"/>
        <v>133225.94584715654</v>
      </c>
      <c r="C199" s="9">
        <f t="shared" si="3"/>
        <v>133225.94584715654</v>
      </c>
      <c r="D199" s="9">
        <f t="shared" si="4"/>
        <v>0</v>
      </c>
      <c r="E199" s="6">
        <f t="shared" si="5"/>
        <v>-8336628.5247701816</v>
      </c>
      <c r="F199" s="6"/>
    </row>
    <row r="200" spans="1:6" ht="15.75" customHeight="1">
      <c r="A200" s="4">
        <f t="shared" si="1"/>
        <v>188</v>
      </c>
      <c r="B200" s="9">
        <f t="shared" si="18"/>
        <v>133225.94584715654</v>
      </c>
      <c r="C200" s="9">
        <f t="shared" si="3"/>
        <v>133225.94584715654</v>
      </c>
      <c r="D200" s="9">
        <f t="shared" si="4"/>
        <v>0</v>
      </c>
      <c r="E200" s="6">
        <f t="shared" si="5"/>
        <v>-8469854.470617339</v>
      </c>
      <c r="F200" s="6"/>
    </row>
    <row r="201" spans="1:6" ht="15.75" customHeight="1">
      <c r="A201" s="4">
        <f t="shared" si="1"/>
        <v>189</v>
      </c>
      <c r="B201" s="9">
        <f t="shared" si="18"/>
        <v>133225.94584715654</v>
      </c>
      <c r="C201" s="9">
        <f t="shared" si="3"/>
        <v>133225.94584715654</v>
      </c>
      <c r="D201" s="9">
        <f t="shared" si="4"/>
        <v>0</v>
      </c>
      <c r="E201" s="6">
        <f t="shared" si="5"/>
        <v>-8603080.4164644964</v>
      </c>
      <c r="F201" s="6"/>
    </row>
    <row r="202" spans="1:6" ht="15.75" customHeight="1">
      <c r="A202" s="4">
        <f t="shared" si="1"/>
        <v>190</v>
      </c>
      <c r="B202" s="9">
        <f t="shared" si="18"/>
        <v>133225.94584715654</v>
      </c>
      <c r="C202" s="9">
        <f t="shared" si="3"/>
        <v>133225.94584715654</v>
      </c>
      <c r="D202" s="9">
        <f t="shared" si="4"/>
        <v>0</v>
      </c>
      <c r="E202" s="6">
        <f t="shared" si="5"/>
        <v>-8736306.3623116538</v>
      </c>
      <c r="F202" s="6"/>
    </row>
    <row r="203" spans="1:6" ht="15.75" customHeight="1">
      <c r="A203" s="4">
        <f t="shared" si="1"/>
        <v>191</v>
      </c>
      <c r="B203" s="9">
        <f t="shared" si="18"/>
        <v>133225.94584715654</v>
      </c>
      <c r="C203" s="9">
        <f t="shared" si="3"/>
        <v>133225.94584715654</v>
      </c>
      <c r="D203" s="9">
        <f t="shared" si="4"/>
        <v>0</v>
      </c>
      <c r="E203" s="6">
        <f t="shared" si="5"/>
        <v>-8869532.3081588112</v>
      </c>
      <c r="F203" s="6"/>
    </row>
    <row r="204" spans="1:6" ht="15.75" customHeight="1">
      <c r="A204" s="4">
        <f t="shared" si="1"/>
        <v>192</v>
      </c>
      <c r="B204" s="9">
        <f t="shared" si="18"/>
        <v>133225.94584715654</v>
      </c>
      <c r="C204" s="9">
        <f t="shared" si="3"/>
        <v>133225.94584715654</v>
      </c>
      <c r="D204" s="9">
        <f t="shared" si="4"/>
        <v>0</v>
      </c>
      <c r="E204" s="6">
        <f t="shared" si="5"/>
        <v>-9002758.2540059686</v>
      </c>
      <c r="F204" s="6">
        <f>$B$5*$B$8</f>
        <v>38590.810968650156</v>
      </c>
    </row>
    <row r="205" spans="1:6" ht="15.75" customHeight="1">
      <c r="A205" s="4">
        <f t="shared" si="1"/>
        <v>193</v>
      </c>
      <c r="B205" s="9">
        <f t="shared" si="18"/>
        <v>133225.94584715654</v>
      </c>
      <c r="C205" s="9">
        <f t="shared" si="3"/>
        <v>133225.94584715654</v>
      </c>
      <c r="D205" s="9">
        <f t="shared" si="4"/>
        <v>0</v>
      </c>
      <c r="E205" s="6">
        <f t="shared" si="5"/>
        <v>-9174575.0108217746</v>
      </c>
      <c r="F205" s="6"/>
    </row>
    <row r="206" spans="1:6" ht="15.75" customHeight="1">
      <c r="A206" s="4">
        <f t="shared" si="1"/>
        <v>194</v>
      </c>
      <c r="B206" s="9">
        <f t="shared" si="18"/>
        <v>133225.94584715654</v>
      </c>
      <c r="C206" s="9">
        <f t="shared" si="3"/>
        <v>133225.94584715654</v>
      </c>
      <c r="D206" s="9">
        <f t="shared" si="4"/>
        <v>0</v>
      </c>
      <c r="E206" s="6">
        <f t="shared" si="5"/>
        <v>-9307800.956668932</v>
      </c>
      <c r="F206" s="6"/>
    </row>
    <row r="207" spans="1:6" ht="15.75" customHeight="1">
      <c r="A207" s="4">
        <f t="shared" si="1"/>
        <v>195</v>
      </c>
      <c r="B207" s="9">
        <f t="shared" si="18"/>
        <v>133225.94584715654</v>
      </c>
      <c r="C207" s="9">
        <f t="shared" si="3"/>
        <v>133225.94584715654</v>
      </c>
      <c r="D207" s="9">
        <f t="shared" si="4"/>
        <v>0</v>
      </c>
      <c r="E207" s="6">
        <f t="shared" si="5"/>
        <v>-9441026.9025160894</v>
      </c>
      <c r="F207" s="6"/>
    </row>
    <row r="208" spans="1:6" ht="15.75" customHeight="1">
      <c r="A208" s="4">
        <f t="shared" si="1"/>
        <v>196</v>
      </c>
      <c r="B208" s="9">
        <f t="shared" si="18"/>
        <v>133225.94584715654</v>
      </c>
      <c r="C208" s="9">
        <f t="shared" si="3"/>
        <v>133225.94584715654</v>
      </c>
      <c r="D208" s="9">
        <f t="shared" si="4"/>
        <v>0</v>
      </c>
      <c r="E208" s="6">
        <f t="shared" si="5"/>
        <v>-9574252.8483632468</v>
      </c>
      <c r="F208" s="6"/>
    </row>
    <row r="209" spans="1:6" ht="15.75" customHeight="1">
      <c r="A209" s="4">
        <f t="shared" si="1"/>
        <v>197</v>
      </c>
      <c r="B209" s="9">
        <f t="shared" si="18"/>
        <v>133225.94584715654</v>
      </c>
      <c r="C209" s="9">
        <f t="shared" si="3"/>
        <v>133225.94584715654</v>
      </c>
      <c r="D209" s="9">
        <f t="shared" si="4"/>
        <v>0</v>
      </c>
      <c r="E209" s="6">
        <f t="shared" si="5"/>
        <v>-9707478.7942104042</v>
      </c>
      <c r="F209" s="6"/>
    </row>
    <row r="210" spans="1:6" ht="15.75" customHeight="1">
      <c r="A210" s="4">
        <f t="shared" si="1"/>
        <v>198</v>
      </c>
      <c r="B210" s="9">
        <f t="shared" si="18"/>
        <v>133225.94584715654</v>
      </c>
      <c r="C210" s="9">
        <f t="shared" si="3"/>
        <v>133225.94584715654</v>
      </c>
      <c r="D210" s="9">
        <f t="shared" si="4"/>
        <v>0</v>
      </c>
      <c r="E210" s="6">
        <f t="shared" si="5"/>
        <v>-9840704.7400575615</v>
      </c>
      <c r="F210" s="6"/>
    </row>
    <row r="211" spans="1:6" ht="15.75" customHeight="1">
      <c r="A211" s="4">
        <f t="shared" si="1"/>
        <v>199</v>
      </c>
      <c r="B211" s="9">
        <f t="shared" si="18"/>
        <v>133225.94584715654</v>
      </c>
      <c r="C211" s="9">
        <f t="shared" si="3"/>
        <v>133225.94584715654</v>
      </c>
      <c r="D211" s="9">
        <f t="shared" si="4"/>
        <v>0</v>
      </c>
      <c r="E211" s="6">
        <f t="shared" si="5"/>
        <v>-9973930.6859047189</v>
      </c>
      <c r="F211" s="6"/>
    </row>
    <row r="212" spans="1:6" ht="15.75" customHeight="1">
      <c r="A212" s="4">
        <f t="shared" si="1"/>
        <v>200</v>
      </c>
      <c r="B212" s="9">
        <f t="shared" si="18"/>
        <v>133225.94584715654</v>
      </c>
      <c r="C212" s="9">
        <f t="shared" si="3"/>
        <v>133225.94584715654</v>
      </c>
      <c r="D212" s="9">
        <f t="shared" si="4"/>
        <v>0</v>
      </c>
      <c r="E212" s="6">
        <f t="shared" si="5"/>
        <v>-10107156.631751876</v>
      </c>
      <c r="F212" s="6"/>
    </row>
    <row r="213" spans="1:6" ht="15.75" customHeight="1">
      <c r="A213" s="4">
        <f t="shared" si="1"/>
        <v>201</v>
      </c>
      <c r="B213" s="9">
        <f t="shared" si="18"/>
        <v>133225.94584715654</v>
      </c>
      <c r="C213" s="9">
        <f t="shared" si="3"/>
        <v>133225.94584715654</v>
      </c>
      <c r="D213" s="9">
        <f t="shared" si="4"/>
        <v>0</v>
      </c>
      <c r="E213" s="6">
        <f t="shared" si="5"/>
        <v>-10240382.577599034</v>
      </c>
      <c r="F213" s="6"/>
    </row>
    <row r="214" spans="1:6" ht="15.75" customHeight="1">
      <c r="A214" s="4">
        <f t="shared" si="1"/>
        <v>202</v>
      </c>
      <c r="B214" s="9">
        <f t="shared" si="18"/>
        <v>133225.94584715654</v>
      </c>
      <c r="C214" s="9">
        <f t="shared" si="3"/>
        <v>133225.94584715654</v>
      </c>
      <c r="D214" s="9">
        <f t="shared" si="4"/>
        <v>0</v>
      </c>
      <c r="E214" s="6">
        <f t="shared" si="5"/>
        <v>-10373608.523446191</v>
      </c>
      <c r="F214" s="6"/>
    </row>
    <row r="215" spans="1:6" ht="15.75" customHeight="1">
      <c r="A215" s="4">
        <f t="shared" si="1"/>
        <v>203</v>
      </c>
      <c r="B215" s="9">
        <f t="shared" si="18"/>
        <v>133225.94584715654</v>
      </c>
      <c r="C215" s="9">
        <f t="shared" si="3"/>
        <v>133225.94584715654</v>
      </c>
      <c r="D215" s="9">
        <f t="shared" si="4"/>
        <v>0</v>
      </c>
      <c r="E215" s="6">
        <f t="shared" si="5"/>
        <v>-10506834.469293348</v>
      </c>
      <c r="F215" s="6"/>
    </row>
    <row r="216" spans="1:6" ht="15.75" customHeight="1">
      <c r="A216" s="4">
        <f t="shared" si="1"/>
        <v>204</v>
      </c>
      <c r="B216" s="9">
        <f t="shared" si="18"/>
        <v>133225.94584715654</v>
      </c>
      <c r="C216" s="9">
        <f t="shared" si="3"/>
        <v>133225.94584715654</v>
      </c>
      <c r="D216" s="9">
        <f t="shared" si="4"/>
        <v>0</v>
      </c>
      <c r="E216" s="6">
        <f t="shared" si="5"/>
        <v>-10640060.415140506</v>
      </c>
      <c r="F216" s="6">
        <f>$B$5*$B$8</f>
        <v>38590.810968650156</v>
      </c>
    </row>
    <row r="217" spans="1:6" ht="15.75" customHeight="1">
      <c r="A217" s="4">
        <f t="shared" si="1"/>
        <v>205</v>
      </c>
      <c r="B217" s="9">
        <f t="shared" si="18"/>
        <v>133225.94584715654</v>
      </c>
      <c r="C217" s="9">
        <f t="shared" si="3"/>
        <v>133225.94584715654</v>
      </c>
      <c r="D217" s="9">
        <f t="shared" si="4"/>
        <v>0</v>
      </c>
      <c r="E217" s="6">
        <f t="shared" si="5"/>
        <v>-10811877.171956312</v>
      </c>
      <c r="F217" s="6"/>
    </row>
    <row r="218" spans="1:6" ht="15.75" customHeight="1">
      <c r="A218" s="4">
        <f t="shared" si="1"/>
        <v>206</v>
      </c>
      <c r="B218" s="9">
        <f t="shared" si="18"/>
        <v>133225.94584715654</v>
      </c>
      <c r="C218" s="9">
        <f t="shared" si="3"/>
        <v>133225.94584715654</v>
      </c>
      <c r="D218" s="9">
        <f t="shared" si="4"/>
        <v>0</v>
      </c>
      <c r="E218" s="6">
        <f t="shared" si="5"/>
        <v>-10945103.117803469</v>
      </c>
      <c r="F218" s="6"/>
    </row>
    <row r="219" spans="1:6" ht="15.75" customHeight="1">
      <c r="A219" s="4">
        <f t="shared" si="1"/>
        <v>207</v>
      </c>
      <c r="B219" s="9">
        <f t="shared" si="18"/>
        <v>133225.94584715654</v>
      </c>
      <c r="C219" s="9">
        <f t="shared" si="3"/>
        <v>133225.94584715654</v>
      </c>
      <c r="D219" s="9">
        <f t="shared" si="4"/>
        <v>0</v>
      </c>
      <c r="E219" s="6">
        <f t="shared" si="5"/>
        <v>-11078329.063650627</v>
      </c>
      <c r="F219" s="6"/>
    </row>
    <row r="220" spans="1:6" ht="15.75" customHeight="1">
      <c r="A220" s="4">
        <f t="shared" si="1"/>
        <v>208</v>
      </c>
      <c r="B220" s="9">
        <f t="shared" si="18"/>
        <v>133225.94584715654</v>
      </c>
      <c r="C220" s="9">
        <f t="shared" si="3"/>
        <v>133225.94584715654</v>
      </c>
      <c r="D220" s="9">
        <f t="shared" si="4"/>
        <v>0</v>
      </c>
      <c r="E220" s="6">
        <f t="shared" si="5"/>
        <v>-11211555.009497784</v>
      </c>
      <c r="F220" s="6"/>
    </row>
    <row r="221" spans="1:6" ht="15.75" customHeight="1">
      <c r="A221" s="4">
        <f t="shared" si="1"/>
        <v>209</v>
      </c>
      <c r="B221" s="9">
        <f t="shared" si="18"/>
        <v>133225.94584715654</v>
      </c>
      <c r="C221" s="9">
        <f t="shared" si="3"/>
        <v>133225.94584715654</v>
      </c>
      <c r="D221" s="9">
        <f t="shared" si="4"/>
        <v>0</v>
      </c>
      <c r="E221" s="6">
        <f t="shared" si="5"/>
        <v>-11344780.955344941</v>
      </c>
      <c r="F221" s="6"/>
    </row>
    <row r="222" spans="1:6" ht="15.75" customHeight="1">
      <c r="A222" s="4">
        <f t="shared" si="1"/>
        <v>210</v>
      </c>
      <c r="B222" s="9">
        <f t="shared" si="18"/>
        <v>133225.94584715654</v>
      </c>
      <c r="C222" s="9">
        <f t="shared" si="3"/>
        <v>133225.94584715654</v>
      </c>
      <c r="D222" s="9">
        <f t="shared" si="4"/>
        <v>0</v>
      </c>
      <c r="E222" s="6">
        <f t="shared" si="5"/>
        <v>-11478006.901192099</v>
      </c>
      <c r="F222" s="6"/>
    </row>
    <row r="223" spans="1:6" ht="15.75" customHeight="1">
      <c r="A223" s="4">
        <f t="shared" si="1"/>
        <v>211</v>
      </c>
      <c r="B223" s="9">
        <f t="shared" si="18"/>
        <v>133225.94584715654</v>
      </c>
      <c r="C223" s="9">
        <f t="shared" si="3"/>
        <v>133225.94584715654</v>
      </c>
      <c r="D223" s="9">
        <f t="shared" si="4"/>
        <v>0</v>
      </c>
      <c r="E223" s="6">
        <f t="shared" si="5"/>
        <v>-11611232.847039256</v>
      </c>
      <c r="F223" s="6"/>
    </row>
    <row r="224" spans="1:6" ht="15.75" customHeight="1">
      <c r="A224" s="4">
        <f t="shared" si="1"/>
        <v>212</v>
      </c>
      <c r="B224" s="9">
        <f t="shared" si="18"/>
        <v>133225.94584715654</v>
      </c>
      <c r="C224" s="9">
        <f t="shared" si="3"/>
        <v>133225.94584715654</v>
      </c>
      <c r="D224" s="9">
        <f t="shared" si="4"/>
        <v>0</v>
      </c>
      <c r="E224" s="6">
        <f t="shared" si="5"/>
        <v>-11744458.792886414</v>
      </c>
      <c r="F224" s="6"/>
    </row>
    <row r="225" spans="1:6" ht="15.75" customHeight="1">
      <c r="A225" s="4">
        <f t="shared" si="1"/>
        <v>213</v>
      </c>
      <c r="B225" s="9">
        <f t="shared" si="18"/>
        <v>133225.94584715654</v>
      </c>
      <c r="C225" s="9">
        <f t="shared" si="3"/>
        <v>133225.94584715654</v>
      </c>
      <c r="D225" s="9">
        <f t="shared" si="4"/>
        <v>0</v>
      </c>
      <c r="E225" s="6">
        <f t="shared" si="5"/>
        <v>-11877684.738733571</v>
      </c>
      <c r="F225" s="6"/>
    </row>
    <row r="226" spans="1:6" ht="15.75" customHeight="1">
      <c r="A226" s="4">
        <f t="shared" si="1"/>
        <v>214</v>
      </c>
      <c r="B226" s="9">
        <f t="shared" si="18"/>
        <v>133225.94584715654</v>
      </c>
      <c r="C226" s="9">
        <f t="shared" si="3"/>
        <v>133225.94584715654</v>
      </c>
      <c r="D226" s="9">
        <f t="shared" si="4"/>
        <v>0</v>
      </c>
      <c r="E226" s="6">
        <f t="shared" si="5"/>
        <v>-12010910.684580728</v>
      </c>
      <c r="F226" s="6"/>
    </row>
    <row r="227" spans="1:6" ht="15.75" customHeight="1">
      <c r="A227" s="4">
        <f t="shared" si="1"/>
        <v>215</v>
      </c>
      <c r="B227" s="9">
        <f t="shared" si="18"/>
        <v>133225.94584715654</v>
      </c>
      <c r="C227" s="9">
        <f t="shared" si="3"/>
        <v>133225.94584715654</v>
      </c>
      <c r="D227" s="9">
        <f t="shared" si="4"/>
        <v>0</v>
      </c>
      <c r="E227" s="6">
        <f t="shared" si="5"/>
        <v>-12144136.630427886</v>
      </c>
      <c r="F227" s="6"/>
    </row>
    <row r="228" spans="1:6" ht="15.75" customHeight="1">
      <c r="A228" s="4">
        <f t="shared" si="1"/>
        <v>216</v>
      </c>
      <c r="B228" s="9">
        <f t="shared" si="18"/>
        <v>133225.94584715654</v>
      </c>
      <c r="C228" s="9">
        <f t="shared" si="3"/>
        <v>133225.94584715654</v>
      </c>
      <c r="D228" s="9">
        <f t="shared" si="4"/>
        <v>0</v>
      </c>
      <c r="E228" s="6">
        <f t="shared" si="5"/>
        <v>-12277362.576275043</v>
      </c>
      <c r="F228" s="6">
        <f>$B$5*$B$8</f>
        <v>38590.810968650156</v>
      </c>
    </row>
    <row r="229" spans="1:6" ht="15.75" customHeight="1">
      <c r="A229" s="4">
        <f t="shared" si="1"/>
        <v>217</v>
      </c>
      <c r="B229" s="9">
        <f t="shared" si="18"/>
        <v>133225.94584715654</v>
      </c>
      <c r="C229" s="9">
        <f t="shared" si="3"/>
        <v>133225.94584715654</v>
      </c>
      <c r="D229" s="9">
        <f t="shared" si="4"/>
        <v>0</v>
      </c>
      <c r="E229" s="6">
        <f t="shared" si="5"/>
        <v>-12449179.333090849</v>
      </c>
      <c r="F229" s="6"/>
    </row>
    <row r="230" spans="1:6" ht="15.75" customHeight="1">
      <c r="A230" s="4">
        <f t="shared" si="1"/>
        <v>218</v>
      </c>
      <c r="B230" s="9">
        <f t="shared" si="18"/>
        <v>133225.94584715654</v>
      </c>
      <c r="C230" s="9">
        <f t="shared" si="3"/>
        <v>133225.94584715654</v>
      </c>
      <c r="D230" s="9">
        <f t="shared" si="4"/>
        <v>0</v>
      </c>
      <c r="E230" s="6">
        <f t="shared" si="5"/>
        <v>-12582405.278938007</v>
      </c>
      <c r="F230" s="6"/>
    </row>
    <row r="231" spans="1:6" ht="15.75" customHeight="1">
      <c r="A231" s="4">
        <f t="shared" si="1"/>
        <v>219</v>
      </c>
      <c r="B231" s="9">
        <f t="shared" si="18"/>
        <v>133225.94584715654</v>
      </c>
      <c r="C231" s="9">
        <f t="shared" si="3"/>
        <v>133225.94584715654</v>
      </c>
      <c r="D231" s="9">
        <f t="shared" si="4"/>
        <v>0</v>
      </c>
      <c r="E231" s="6">
        <f t="shared" si="5"/>
        <v>-12715631.224785164</v>
      </c>
      <c r="F231" s="6"/>
    </row>
    <row r="232" spans="1:6" ht="15.75" customHeight="1">
      <c r="A232" s="4">
        <f t="shared" si="1"/>
        <v>220</v>
      </c>
      <c r="B232" s="9">
        <f t="shared" si="18"/>
        <v>133225.94584715654</v>
      </c>
      <c r="C232" s="9">
        <f t="shared" si="3"/>
        <v>133225.94584715654</v>
      </c>
      <c r="D232" s="9">
        <f t="shared" si="4"/>
        <v>0</v>
      </c>
      <c r="E232" s="6">
        <f t="shared" si="5"/>
        <v>-12848857.170632321</v>
      </c>
      <c r="F232" s="6"/>
    </row>
    <row r="233" spans="1:6" ht="15.75" customHeight="1">
      <c r="A233" s="4">
        <f t="shared" si="1"/>
        <v>221</v>
      </c>
      <c r="B233" s="9">
        <f t="shared" si="18"/>
        <v>133225.94584715654</v>
      </c>
      <c r="C233" s="9">
        <f t="shared" si="3"/>
        <v>133225.94584715654</v>
      </c>
      <c r="D233" s="9">
        <f t="shared" si="4"/>
        <v>0</v>
      </c>
      <c r="E233" s="6">
        <f t="shared" si="5"/>
        <v>-12982083.116479479</v>
      </c>
      <c r="F233" s="6"/>
    </row>
    <row r="234" spans="1:6" ht="15.75" customHeight="1">
      <c r="A234" s="4">
        <f t="shared" si="1"/>
        <v>222</v>
      </c>
      <c r="B234" s="9">
        <f t="shared" si="18"/>
        <v>133225.94584715654</v>
      </c>
      <c r="C234" s="9">
        <f t="shared" si="3"/>
        <v>133225.94584715654</v>
      </c>
      <c r="D234" s="9">
        <f t="shared" si="4"/>
        <v>0</v>
      </c>
      <c r="E234" s="6">
        <f t="shared" si="5"/>
        <v>-13115309.062326636</v>
      </c>
      <c r="F234" s="6"/>
    </row>
    <row r="235" spans="1:6" ht="15.75" customHeight="1">
      <c r="A235" s="4">
        <f t="shared" si="1"/>
        <v>223</v>
      </c>
      <c r="B235" s="9">
        <f t="shared" si="18"/>
        <v>133225.94584715654</v>
      </c>
      <c r="C235" s="9">
        <f t="shared" si="3"/>
        <v>133225.94584715654</v>
      </c>
      <c r="D235" s="9">
        <f t="shared" si="4"/>
        <v>0</v>
      </c>
      <c r="E235" s="6">
        <f t="shared" si="5"/>
        <v>-13248535.008173794</v>
      </c>
      <c r="F235" s="6"/>
    </row>
    <row r="236" spans="1:6" ht="15.75" customHeight="1">
      <c r="A236" s="4">
        <f t="shared" si="1"/>
        <v>224</v>
      </c>
      <c r="B236" s="9">
        <f t="shared" si="18"/>
        <v>133225.94584715654</v>
      </c>
      <c r="C236" s="9">
        <f t="shared" si="3"/>
        <v>133225.94584715654</v>
      </c>
      <c r="D236" s="9">
        <f t="shared" si="4"/>
        <v>0</v>
      </c>
      <c r="E236" s="6">
        <f t="shared" si="5"/>
        <v>-13381760.954020951</v>
      </c>
      <c r="F236" s="6"/>
    </row>
    <row r="237" spans="1:6" ht="15.75" customHeight="1">
      <c r="A237" s="4">
        <f t="shared" si="1"/>
        <v>225</v>
      </c>
      <c r="B237" s="9">
        <f t="shared" si="18"/>
        <v>133225.94584715654</v>
      </c>
      <c r="C237" s="9">
        <f t="shared" si="3"/>
        <v>133225.94584715654</v>
      </c>
      <c r="D237" s="9">
        <f t="shared" si="4"/>
        <v>0</v>
      </c>
      <c r="E237" s="6">
        <f t="shared" si="5"/>
        <v>-13514986.899868108</v>
      </c>
      <c r="F237" s="6"/>
    </row>
    <row r="238" spans="1:6" ht="15.75" customHeight="1">
      <c r="A238" s="4">
        <f t="shared" si="1"/>
        <v>226</v>
      </c>
      <c r="B238" s="9">
        <f t="shared" si="18"/>
        <v>133225.94584715654</v>
      </c>
      <c r="C238" s="9">
        <f t="shared" si="3"/>
        <v>133225.94584715654</v>
      </c>
      <c r="D238" s="9">
        <f t="shared" si="4"/>
        <v>0</v>
      </c>
      <c r="E238" s="6">
        <f t="shared" si="5"/>
        <v>-13648212.845715266</v>
      </c>
      <c r="F238" s="6"/>
    </row>
    <row r="239" spans="1:6" ht="15.75" customHeight="1">
      <c r="A239" s="4">
        <f t="shared" si="1"/>
        <v>227</v>
      </c>
      <c r="B239" s="9">
        <f t="shared" si="18"/>
        <v>133225.94584715654</v>
      </c>
      <c r="C239" s="9">
        <f t="shared" si="3"/>
        <v>133225.94584715654</v>
      </c>
      <c r="D239" s="9">
        <f t="shared" si="4"/>
        <v>0</v>
      </c>
      <c r="E239" s="6">
        <f t="shared" si="5"/>
        <v>-13781438.791562423</v>
      </c>
      <c r="F239" s="6"/>
    </row>
    <row r="240" spans="1:6" ht="15.75" customHeight="1">
      <c r="A240" s="4">
        <f t="shared" si="1"/>
        <v>228</v>
      </c>
      <c r="B240" s="9">
        <f t="shared" si="18"/>
        <v>133225.94584715654</v>
      </c>
      <c r="C240" s="9">
        <f t="shared" si="3"/>
        <v>133225.94584715654</v>
      </c>
      <c r="D240" s="9">
        <f t="shared" si="4"/>
        <v>0</v>
      </c>
      <c r="E240" s="6">
        <f t="shared" si="5"/>
        <v>-13914664.73740958</v>
      </c>
      <c r="F240" s="6">
        <f>$B$5*$B$8</f>
        <v>38590.810968650156</v>
      </c>
    </row>
    <row r="241" spans="1:6" ht="15.75" customHeight="1">
      <c r="A241" s="4">
        <f t="shared" si="1"/>
        <v>229</v>
      </c>
      <c r="B241" s="9">
        <f t="shared" si="18"/>
        <v>133225.94584715654</v>
      </c>
      <c r="C241" s="9">
        <f t="shared" si="3"/>
        <v>133225.94584715654</v>
      </c>
      <c r="D241" s="9">
        <f t="shared" si="4"/>
        <v>0</v>
      </c>
      <c r="E241" s="6">
        <f t="shared" si="5"/>
        <v>-14086481.494225387</v>
      </c>
      <c r="F241" s="6"/>
    </row>
    <row r="242" spans="1:6" ht="15.75" customHeight="1">
      <c r="A242" s="4">
        <f t="shared" si="1"/>
        <v>230</v>
      </c>
      <c r="B242" s="9">
        <f t="shared" si="18"/>
        <v>133225.94584715654</v>
      </c>
      <c r="C242" s="9">
        <f t="shared" si="3"/>
        <v>133225.94584715654</v>
      </c>
      <c r="D242" s="9">
        <f t="shared" si="4"/>
        <v>0</v>
      </c>
      <c r="E242" s="6">
        <f t="shared" si="5"/>
        <v>-14219707.440072544</v>
      </c>
      <c r="F242" s="6"/>
    </row>
    <row r="243" spans="1:6" ht="15.75" customHeight="1">
      <c r="A243" s="4">
        <f t="shared" si="1"/>
        <v>231</v>
      </c>
      <c r="B243" s="9">
        <f t="shared" si="18"/>
        <v>133225.94584715654</v>
      </c>
      <c r="C243" s="9">
        <f t="shared" si="3"/>
        <v>133225.94584715654</v>
      </c>
      <c r="D243" s="9">
        <f t="shared" si="4"/>
        <v>0</v>
      </c>
      <c r="E243" s="6">
        <f t="shared" si="5"/>
        <v>-14352933.385919701</v>
      </c>
      <c r="F243" s="6"/>
    </row>
    <row r="244" spans="1:6" ht="15.75" customHeight="1">
      <c r="A244" s="4">
        <f t="shared" si="1"/>
        <v>232</v>
      </c>
      <c r="B244" s="9">
        <f t="shared" si="18"/>
        <v>133225.94584715654</v>
      </c>
      <c r="C244" s="9">
        <f t="shared" si="3"/>
        <v>133225.94584715654</v>
      </c>
      <c r="D244" s="9">
        <f t="shared" si="4"/>
        <v>0</v>
      </c>
      <c r="E244" s="6">
        <f t="shared" si="5"/>
        <v>-14486159.331766859</v>
      </c>
      <c r="F244" s="6"/>
    </row>
    <row r="245" spans="1:6" ht="15.75" customHeight="1">
      <c r="A245" s="4">
        <f t="shared" si="1"/>
        <v>233</v>
      </c>
      <c r="B245" s="9">
        <f t="shared" si="18"/>
        <v>133225.94584715654</v>
      </c>
      <c r="C245" s="9">
        <f t="shared" si="3"/>
        <v>133225.94584715654</v>
      </c>
      <c r="D245" s="9">
        <f t="shared" si="4"/>
        <v>0</v>
      </c>
      <c r="E245" s="6">
        <f t="shared" si="5"/>
        <v>-14619385.277614016</v>
      </c>
      <c r="F245" s="6"/>
    </row>
    <row r="246" spans="1:6" ht="15.75" customHeight="1">
      <c r="A246" s="4">
        <f t="shared" si="1"/>
        <v>234</v>
      </c>
      <c r="B246" s="9">
        <f t="shared" si="18"/>
        <v>133225.94584715654</v>
      </c>
      <c r="C246" s="9">
        <f t="shared" si="3"/>
        <v>133225.94584715654</v>
      </c>
      <c r="D246" s="9">
        <f t="shared" si="4"/>
        <v>0</v>
      </c>
      <c r="E246" s="6">
        <f t="shared" si="5"/>
        <v>-14752611.223461173</v>
      </c>
      <c r="F246" s="6"/>
    </row>
    <row r="247" spans="1:6" ht="15.75" customHeight="1">
      <c r="A247" s="4">
        <f t="shared" si="1"/>
        <v>235</v>
      </c>
      <c r="B247" s="9">
        <f t="shared" si="18"/>
        <v>133225.94584715654</v>
      </c>
      <c r="C247" s="9">
        <f t="shared" si="3"/>
        <v>133225.94584715654</v>
      </c>
      <c r="D247" s="9">
        <f t="shared" si="4"/>
        <v>0</v>
      </c>
      <c r="E247" s="6">
        <f t="shared" si="5"/>
        <v>-14885837.169308331</v>
      </c>
      <c r="F247" s="6"/>
    </row>
    <row r="248" spans="1:6" ht="15.75" customHeight="1">
      <c r="A248" s="4">
        <f t="shared" si="1"/>
        <v>236</v>
      </c>
      <c r="B248" s="9">
        <f t="shared" si="18"/>
        <v>133225.94584715654</v>
      </c>
      <c r="C248" s="9">
        <f t="shared" si="3"/>
        <v>133225.94584715654</v>
      </c>
      <c r="D248" s="9">
        <f t="shared" si="4"/>
        <v>0</v>
      </c>
      <c r="E248" s="6">
        <f t="shared" si="5"/>
        <v>-15019063.115155488</v>
      </c>
      <c r="F248" s="6"/>
    </row>
    <row r="249" spans="1:6" ht="15.75" customHeight="1">
      <c r="A249" s="4">
        <f t="shared" si="1"/>
        <v>237</v>
      </c>
      <c r="B249" s="9">
        <f t="shared" si="18"/>
        <v>133225.94584715654</v>
      </c>
      <c r="C249" s="9">
        <f t="shared" si="3"/>
        <v>133225.94584715654</v>
      </c>
      <c r="D249" s="9">
        <f t="shared" si="4"/>
        <v>0</v>
      </c>
      <c r="E249" s="6">
        <f t="shared" si="5"/>
        <v>-15152289.061002646</v>
      </c>
      <c r="F249" s="6"/>
    </row>
    <row r="250" spans="1:6" ht="15.75" customHeight="1">
      <c r="A250" s="4">
        <f t="shared" si="1"/>
        <v>238</v>
      </c>
      <c r="B250" s="9">
        <f t="shared" si="18"/>
        <v>133225.94584715654</v>
      </c>
      <c r="C250" s="9">
        <f t="shared" si="3"/>
        <v>133225.94584715654</v>
      </c>
      <c r="D250" s="9">
        <f t="shared" si="4"/>
        <v>0</v>
      </c>
      <c r="E250" s="6">
        <f t="shared" si="5"/>
        <v>-15285515.006849803</v>
      </c>
      <c r="F250" s="6"/>
    </row>
    <row r="251" spans="1:6" ht="15.75" customHeight="1">
      <c r="A251" s="4">
        <f t="shared" si="1"/>
        <v>239</v>
      </c>
      <c r="B251" s="9">
        <f t="shared" si="18"/>
        <v>133225.94584715654</v>
      </c>
      <c r="C251" s="9">
        <f t="shared" si="3"/>
        <v>133225.94584715654</v>
      </c>
      <c r="D251" s="9">
        <f t="shared" si="4"/>
        <v>0</v>
      </c>
      <c r="E251" s="6">
        <f t="shared" si="5"/>
        <v>-15418740.95269696</v>
      </c>
      <c r="F251" s="6"/>
    </row>
    <row r="252" spans="1:6" ht="15.75" customHeight="1">
      <c r="A252" s="4">
        <f t="shared" si="1"/>
        <v>240</v>
      </c>
      <c r="B252" s="9">
        <f t="shared" si="18"/>
        <v>133225.94584715654</v>
      </c>
      <c r="C252" s="9">
        <f t="shared" si="3"/>
        <v>133225.94584715654</v>
      </c>
      <c r="D252" s="9">
        <f t="shared" si="4"/>
        <v>0</v>
      </c>
      <c r="E252" s="6">
        <f t="shared" si="5"/>
        <v>-15551966.898544118</v>
      </c>
      <c r="F252" s="6">
        <f>$B$5*$B$8</f>
        <v>38590.810968650156</v>
      </c>
    </row>
    <row r="253" spans="1:6" ht="15.75" customHeight="1">
      <c r="A253" s="4">
        <f t="shared" si="1"/>
        <v>241</v>
      </c>
      <c r="B253" s="9">
        <f t="shared" si="18"/>
        <v>133225.94584715654</v>
      </c>
      <c r="C253" s="9">
        <f t="shared" si="3"/>
        <v>133225.94584715654</v>
      </c>
      <c r="D253" s="9">
        <f t="shared" si="4"/>
        <v>0</v>
      </c>
      <c r="E253" s="6">
        <f t="shared" si="5"/>
        <v>-15723783.655359924</v>
      </c>
      <c r="F253" s="6"/>
    </row>
    <row r="254" spans="1:6" ht="15.75" customHeight="1">
      <c r="A254" s="4">
        <f t="shared" si="1"/>
        <v>242</v>
      </c>
      <c r="B254" s="9">
        <f t="shared" si="18"/>
        <v>133225.94584715654</v>
      </c>
      <c r="C254" s="9">
        <f t="shared" si="3"/>
        <v>133225.94584715654</v>
      </c>
      <c r="D254" s="9">
        <f t="shared" si="4"/>
        <v>0</v>
      </c>
      <c r="E254" s="6">
        <f t="shared" si="5"/>
        <v>-15857009.601207081</v>
      </c>
      <c r="F254" s="6"/>
    </row>
    <row r="255" spans="1:6" ht="15.75" customHeight="1">
      <c r="A255" s="4">
        <f t="shared" si="1"/>
        <v>243</v>
      </c>
      <c r="B255" s="9">
        <f t="shared" si="18"/>
        <v>133225.94584715654</v>
      </c>
      <c r="C255" s="9">
        <f t="shared" si="3"/>
        <v>133225.94584715654</v>
      </c>
      <c r="D255" s="9">
        <f t="shared" si="4"/>
        <v>0</v>
      </c>
      <c r="E255" s="6">
        <f t="shared" si="5"/>
        <v>-15990235.547054239</v>
      </c>
      <c r="F255" s="6"/>
    </row>
    <row r="256" spans="1:6" ht="15.75" customHeight="1">
      <c r="A256" s="4">
        <f t="shared" si="1"/>
        <v>244</v>
      </c>
      <c r="B256" s="9">
        <f t="shared" si="18"/>
        <v>133225.94584715654</v>
      </c>
      <c r="C256" s="9">
        <f t="shared" si="3"/>
        <v>133225.94584715654</v>
      </c>
      <c r="D256" s="9">
        <f t="shared" si="4"/>
        <v>0</v>
      </c>
      <c r="E256" s="6">
        <f t="shared" si="5"/>
        <v>-16123461.492901396</v>
      </c>
      <c r="F256" s="6"/>
    </row>
    <row r="257" spans="1:6" ht="15.75" customHeight="1">
      <c r="A257" s="4">
        <f t="shared" si="1"/>
        <v>245</v>
      </c>
      <c r="B257" s="9">
        <f t="shared" si="18"/>
        <v>133225.94584715654</v>
      </c>
      <c r="C257" s="9">
        <f t="shared" si="3"/>
        <v>133225.94584715654</v>
      </c>
      <c r="D257" s="9">
        <f t="shared" si="4"/>
        <v>0</v>
      </c>
      <c r="E257" s="6">
        <f t="shared" si="5"/>
        <v>-16256687.438748553</v>
      </c>
      <c r="F257" s="6"/>
    </row>
    <row r="258" spans="1:6" ht="15.75" customHeight="1">
      <c r="A258" s="4">
        <f t="shared" si="1"/>
        <v>246</v>
      </c>
      <c r="B258" s="9">
        <f t="shared" si="18"/>
        <v>133225.94584715654</v>
      </c>
      <c r="C258" s="9">
        <f t="shared" si="3"/>
        <v>133225.94584715654</v>
      </c>
      <c r="D258" s="9">
        <f t="shared" si="4"/>
        <v>0</v>
      </c>
      <c r="E258" s="6">
        <f t="shared" si="5"/>
        <v>-16389913.384595711</v>
      </c>
      <c r="F258" s="6"/>
    </row>
    <row r="259" spans="1:6" ht="15.75" customHeight="1">
      <c r="A259" s="4">
        <f t="shared" si="1"/>
        <v>247</v>
      </c>
      <c r="B259" s="9">
        <f t="shared" si="18"/>
        <v>133225.94584715654</v>
      </c>
      <c r="C259" s="9">
        <f t="shared" si="3"/>
        <v>133225.94584715654</v>
      </c>
      <c r="D259" s="9">
        <f t="shared" si="4"/>
        <v>0</v>
      </c>
      <c r="E259" s="6">
        <f t="shared" si="5"/>
        <v>-16523139.330442868</v>
      </c>
      <c r="F259" s="6"/>
    </row>
    <row r="260" spans="1:6" ht="15.75" customHeight="1">
      <c r="A260" s="4">
        <f t="shared" si="1"/>
        <v>248</v>
      </c>
      <c r="B260" s="9">
        <f t="shared" si="18"/>
        <v>133225.94584715654</v>
      </c>
      <c r="C260" s="9">
        <f t="shared" si="3"/>
        <v>133225.94584715654</v>
      </c>
      <c r="D260" s="9">
        <f t="shared" si="4"/>
        <v>0</v>
      </c>
      <c r="E260" s="6">
        <f t="shared" si="5"/>
        <v>-16656365.276290026</v>
      </c>
      <c r="F260" s="6"/>
    </row>
    <row r="261" spans="1:6" ht="15.75" customHeight="1">
      <c r="A261" s="4">
        <f t="shared" si="1"/>
        <v>249</v>
      </c>
      <c r="B261" s="9">
        <f t="shared" si="18"/>
        <v>133225.94584715654</v>
      </c>
      <c r="C261" s="9">
        <f t="shared" si="3"/>
        <v>133225.94584715654</v>
      </c>
      <c r="D261" s="9">
        <f t="shared" si="4"/>
        <v>0</v>
      </c>
      <c r="E261" s="6">
        <f t="shared" si="5"/>
        <v>-16789591.222137183</v>
      </c>
      <c r="F261" s="6"/>
    </row>
    <row r="262" spans="1:6" ht="15.75" customHeight="1">
      <c r="A262" s="4">
        <f t="shared" si="1"/>
        <v>250</v>
      </c>
      <c r="B262" s="9">
        <f t="shared" si="18"/>
        <v>133225.94584715654</v>
      </c>
      <c r="C262" s="9">
        <f t="shared" si="3"/>
        <v>133225.94584715654</v>
      </c>
      <c r="D262" s="9">
        <f t="shared" si="4"/>
        <v>0</v>
      </c>
      <c r="E262" s="6">
        <f t="shared" si="5"/>
        <v>-16922817.16798434</v>
      </c>
      <c r="F262" s="6"/>
    </row>
    <row r="263" spans="1:6" ht="15.75" customHeight="1">
      <c r="A263" s="4">
        <f t="shared" si="1"/>
        <v>251</v>
      </c>
      <c r="B263" s="9">
        <f t="shared" si="18"/>
        <v>133225.94584715654</v>
      </c>
      <c r="C263" s="9">
        <f t="shared" si="3"/>
        <v>133225.94584715654</v>
      </c>
      <c r="D263" s="9">
        <f t="shared" si="4"/>
        <v>0</v>
      </c>
      <c r="E263" s="6">
        <f t="shared" si="5"/>
        <v>-17056043.113831498</v>
      </c>
      <c r="F263" s="6"/>
    </row>
    <row r="264" spans="1:6" ht="15.75" customHeight="1">
      <c r="A264" s="4">
        <f t="shared" si="1"/>
        <v>252</v>
      </c>
      <c r="B264" s="9">
        <f t="shared" si="18"/>
        <v>133225.94584715654</v>
      </c>
      <c r="C264" s="9">
        <f t="shared" si="3"/>
        <v>133225.94584715654</v>
      </c>
      <c r="D264" s="9">
        <f t="shared" si="4"/>
        <v>0</v>
      </c>
      <c r="E264" s="6">
        <f t="shared" si="5"/>
        <v>-17189269.059678655</v>
      </c>
      <c r="F264" s="6">
        <f>$B$5*$B$8</f>
        <v>38590.810968650156</v>
      </c>
    </row>
    <row r="265" spans="1:6" ht="15.75" customHeight="1">
      <c r="A265" s="4">
        <f t="shared" si="1"/>
        <v>253</v>
      </c>
      <c r="B265" s="9">
        <f t="shared" si="18"/>
        <v>133225.94584715654</v>
      </c>
      <c r="C265" s="9">
        <f t="shared" si="3"/>
        <v>133225.94584715654</v>
      </c>
      <c r="D265" s="9">
        <f t="shared" si="4"/>
        <v>0</v>
      </c>
      <c r="E265" s="6">
        <f t="shared" si="5"/>
        <v>-17361085.816494461</v>
      </c>
      <c r="F265" s="6"/>
    </row>
    <row r="266" spans="1:6" ht="15.75" customHeight="1">
      <c r="A266" s="4">
        <f t="shared" si="1"/>
        <v>254</v>
      </c>
      <c r="B266" s="9">
        <f t="shared" si="18"/>
        <v>133225.94584715654</v>
      </c>
      <c r="C266" s="9">
        <f t="shared" si="3"/>
        <v>133225.94584715654</v>
      </c>
      <c r="D266" s="9">
        <f t="shared" si="4"/>
        <v>0</v>
      </c>
      <c r="E266" s="6">
        <f t="shared" si="5"/>
        <v>-17494311.762341619</v>
      </c>
      <c r="F266" s="6"/>
    </row>
    <row r="267" spans="1:6" ht="15.75" customHeight="1">
      <c r="A267" s="4">
        <f t="shared" si="1"/>
        <v>255</v>
      </c>
      <c r="B267" s="9">
        <f t="shared" si="18"/>
        <v>133225.94584715654</v>
      </c>
      <c r="C267" s="9">
        <f t="shared" si="3"/>
        <v>133225.94584715654</v>
      </c>
      <c r="D267" s="9">
        <f t="shared" si="4"/>
        <v>0</v>
      </c>
      <c r="E267" s="6">
        <f t="shared" si="5"/>
        <v>-17627537.708188776</v>
      </c>
      <c r="F267" s="6"/>
    </row>
    <row r="268" spans="1:6" ht="15.75" customHeight="1">
      <c r="A268" s="4">
        <f t="shared" si="1"/>
        <v>256</v>
      </c>
      <c r="B268" s="9">
        <f t="shared" si="18"/>
        <v>133225.94584715654</v>
      </c>
      <c r="C268" s="9">
        <f t="shared" si="3"/>
        <v>133225.94584715654</v>
      </c>
      <c r="D268" s="9">
        <f t="shared" si="4"/>
        <v>0</v>
      </c>
      <c r="E268" s="6">
        <f t="shared" si="5"/>
        <v>-17760763.654035933</v>
      </c>
      <c r="F268" s="6"/>
    </row>
    <row r="269" spans="1:6" ht="15.75" customHeight="1">
      <c r="A269" s="4">
        <f t="shared" ref="A269:A372" si="19">A268+1</f>
        <v>257</v>
      </c>
      <c r="B269" s="9">
        <f t="shared" si="18"/>
        <v>133225.94584715654</v>
      </c>
      <c r="C269" s="9">
        <f t="shared" ref="C269:C372" si="20">IF(ROUND(E268,1)=0,0,B269-D269)</f>
        <v>133225.94584715654</v>
      </c>
      <c r="D269" s="9">
        <f t="shared" ref="D269:D372" si="21">IF(E268&gt;0,E268*$B$2/12,0)</f>
        <v>0</v>
      </c>
      <c r="E269" s="6">
        <f t="shared" ref="E269:E372" si="22">E268-SUM(F268,C269)</f>
        <v>-17893989.599883091</v>
      </c>
      <c r="F269" s="6"/>
    </row>
    <row r="270" spans="1:6" ht="15.75" customHeight="1">
      <c r="A270" s="4">
        <f t="shared" si="19"/>
        <v>258</v>
      </c>
      <c r="B270" s="9">
        <f t="shared" si="18"/>
        <v>133225.94584715654</v>
      </c>
      <c r="C270" s="9">
        <f t="shared" si="20"/>
        <v>133225.94584715654</v>
      </c>
      <c r="D270" s="9">
        <f t="shared" si="21"/>
        <v>0</v>
      </c>
      <c r="E270" s="6">
        <f t="shared" si="22"/>
        <v>-18027215.545730248</v>
      </c>
      <c r="F270" s="6"/>
    </row>
    <row r="271" spans="1:6" ht="15.75" customHeight="1">
      <c r="A271" s="4">
        <f t="shared" si="19"/>
        <v>259</v>
      </c>
      <c r="B271" s="9">
        <f t="shared" si="18"/>
        <v>133225.94584715654</v>
      </c>
      <c r="C271" s="9">
        <f t="shared" si="20"/>
        <v>133225.94584715654</v>
      </c>
      <c r="D271" s="9">
        <f t="shared" si="21"/>
        <v>0</v>
      </c>
      <c r="E271" s="6">
        <f t="shared" si="22"/>
        <v>-18160441.491577405</v>
      </c>
      <c r="F271" s="6"/>
    </row>
    <row r="272" spans="1:6" ht="15.75" customHeight="1">
      <c r="A272" s="4">
        <f t="shared" si="19"/>
        <v>260</v>
      </c>
      <c r="B272" s="9">
        <f t="shared" si="18"/>
        <v>133225.94584715654</v>
      </c>
      <c r="C272" s="9">
        <f t="shared" si="20"/>
        <v>133225.94584715654</v>
      </c>
      <c r="D272" s="9">
        <f t="shared" si="21"/>
        <v>0</v>
      </c>
      <c r="E272" s="6">
        <f t="shared" si="22"/>
        <v>-18293667.437424563</v>
      </c>
      <c r="F272" s="6"/>
    </row>
    <row r="273" spans="1:6" ht="15.75" customHeight="1">
      <c r="A273" s="4">
        <f t="shared" si="19"/>
        <v>261</v>
      </c>
      <c r="B273" s="9">
        <f t="shared" si="18"/>
        <v>133225.94584715654</v>
      </c>
      <c r="C273" s="9">
        <f t="shared" si="20"/>
        <v>133225.94584715654</v>
      </c>
      <c r="D273" s="9">
        <f t="shared" si="21"/>
        <v>0</v>
      </c>
      <c r="E273" s="6">
        <f t="shared" si="22"/>
        <v>-18426893.38327172</v>
      </c>
      <c r="F273" s="6"/>
    </row>
    <row r="274" spans="1:6" ht="15.75" customHeight="1">
      <c r="A274" s="4">
        <f t="shared" si="19"/>
        <v>262</v>
      </c>
      <c r="B274" s="9">
        <f t="shared" si="18"/>
        <v>133225.94584715654</v>
      </c>
      <c r="C274" s="9">
        <f t="shared" si="20"/>
        <v>133225.94584715654</v>
      </c>
      <c r="D274" s="9">
        <f t="shared" si="21"/>
        <v>0</v>
      </c>
      <c r="E274" s="6">
        <f t="shared" si="22"/>
        <v>-18560119.329118878</v>
      </c>
      <c r="F274" s="6"/>
    </row>
    <row r="275" spans="1:6" ht="15.75" customHeight="1">
      <c r="A275" s="4">
        <f t="shared" si="19"/>
        <v>263</v>
      </c>
      <c r="B275" s="9">
        <f t="shared" si="18"/>
        <v>133225.94584715654</v>
      </c>
      <c r="C275" s="9">
        <f t="shared" si="20"/>
        <v>133225.94584715654</v>
      </c>
      <c r="D275" s="9">
        <f t="shared" si="21"/>
        <v>0</v>
      </c>
      <c r="E275" s="6">
        <f t="shared" si="22"/>
        <v>-18693345.274966035</v>
      </c>
      <c r="F275" s="6"/>
    </row>
    <row r="276" spans="1:6" ht="15.75" customHeight="1">
      <c r="A276" s="4">
        <f t="shared" si="19"/>
        <v>264</v>
      </c>
      <c r="B276" s="9">
        <f t="shared" si="18"/>
        <v>133225.94584715654</v>
      </c>
      <c r="C276" s="9">
        <f t="shared" si="20"/>
        <v>133225.94584715654</v>
      </c>
      <c r="D276" s="9">
        <f t="shared" si="21"/>
        <v>0</v>
      </c>
      <c r="E276" s="6">
        <f t="shared" si="22"/>
        <v>-18826571.220813192</v>
      </c>
      <c r="F276" s="6">
        <f>$B$5*$B$8</f>
        <v>38590.810968650156</v>
      </c>
    </row>
    <row r="277" spans="1:6" ht="15.75" customHeight="1">
      <c r="A277" s="4">
        <f t="shared" si="19"/>
        <v>265</v>
      </c>
      <c r="B277" s="9">
        <f t="shared" si="18"/>
        <v>133225.94584715654</v>
      </c>
      <c r="C277" s="9">
        <f t="shared" si="20"/>
        <v>133225.94584715654</v>
      </c>
      <c r="D277" s="9">
        <f t="shared" si="21"/>
        <v>0</v>
      </c>
      <c r="E277" s="6">
        <f t="shared" si="22"/>
        <v>-18998387.977628998</v>
      </c>
      <c r="F277" s="6"/>
    </row>
    <row r="278" spans="1:6" ht="15.75" customHeight="1">
      <c r="A278" s="4">
        <f t="shared" si="19"/>
        <v>266</v>
      </c>
      <c r="B278" s="9">
        <f t="shared" si="18"/>
        <v>133225.94584715654</v>
      </c>
      <c r="C278" s="9">
        <f t="shared" si="20"/>
        <v>133225.94584715654</v>
      </c>
      <c r="D278" s="9">
        <f t="shared" si="21"/>
        <v>0</v>
      </c>
      <c r="E278" s="6">
        <f t="shared" si="22"/>
        <v>-19131613.923476156</v>
      </c>
      <c r="F278" s="6"/>
    </row>
    <row r="279" spans="1:6" ht="15.75" customHeight="1">
      <c r="A279" s="4">
        <f t="shared" si="19"/>
        <v>267</v>
      </c>
      <c r="B279" s="9">
        <f t="shared" si="18"/>
        <v>133225.94584715654</v>
      </c>
      <c r="C279" s="9">
        <f t="shared" si="20"/>
        <v>133225.94584715654</v>
      </c>
      <c r="D279" s="9">
        <f t="shared" si="21"/>
        <v>0</v>
      </c>
      <c r="E279" s="6">
        <f t="shared" si="22"/>
        <v>-19264839.869323313</v>
      </c>
      <c r="F279" s="6"/>
    </row>
    <row r="280" spans="1:6" ht="15.75" customHeight="1">
      <c r="A280" s="4">
        <f t="shared" si="19"/>
        <v>268</v>
      </c>
      <c r="B280" s="9">
        <f t="shared" si="18"/>
        <v>133225.94584715654</v>
      </c>
      <c r="C280" s="9">
        <f t="shared" si="20"/>
        <v>133225.94584715654</v>
      </c>
      <c r="D280" s="9">
        <f t="shared" si="21"/>
        <v>0</v>
      </c>
      <c r="E280" s="6">
        <f t="shared" si="22"/>
        <v>-19398065.815170471</v>
      </c>
      <c r="F280" s="6"/>
    </row>
    <row r="281" spans="1:6" ht="15.75" customHeight="1">
      <c r="A281" s="4">
        <f t="shared" si="19"/>
        <v>269</v>
      </c>
      <c r="B281" s="9">
        <f t="shared" si="18"/>
        <v>133225.94584715654</v>
      </c>
      <c r="C281" s="9">
        <f t="shared" si="20"/>
        <v>133225.94584715654</v>
      </c>
      <c r="D281" s="9">
        <f t="shared" si="21"/>
        <v>0</v>
      </c>
      <c r="E281" s="6">
        <f t="shared" si="22"/>
        <v>-19531291.761017628</v>
      </c>
      <c r="F281" s="6"/>
    </row>
    <row r="282" spans="1:6" ht="15.75" customHeight="1">
      <c r="A282" s="4">
        <f t="shared" si="19"/>
        <v>270</v>
      </c>
      <c r="B282" s="9">
        <f t="shared" si="18"/>
        <v>133225.94584715654</v>
      </c>
      <c r="C282" s="9">
        <f t="shared" si="20"/>
        <v>133225.94584715654</v>
      </c>
      <c r="D282" s="9">
        <f t="shared" si="21"/>
        <v>0</v>
      </c>
      <c r="E282" s="6">
        <f t="shared" si="22"/>
        <v>-19664517.706864785</v>
      </c>
      <c r="F282" s="6"/>
    </row>
    <row r="283" spans="1:6" ht="15.75" customHeight="1">
      <c r="A283" s="4">
        <f t="shared" si="19"/>
        <v>271</v>
      </c>
      <c r="B283" s="9">
        <f t="shared" si="18"/>
        <v>133225.94584715654</v>
      </c>
      <c r="C283" s="9">
        <f t="shared" si="20"/>
        <v>133225.94584715654</v>
      </c>
      <c r="D283" s="9">
        <f t="shared" si="21"/>
        <v>0</v>
      </c>
      <c r="E283" s="6">
        <f t="shared" si="22"/>
        <v>-19797743.652711943</v>
      </c>
      <c r="F283" s="6"/>
    </row>
    <row r="284" spans="1:6" ht="15.75" customHeight="1">
      <c r="A284" s="4">
        <f t="shared" si="19"/>
        <v>272</v>
      </c>
      <c r="B284" s="9">
        <f t="shared" si="18"/>
        <v>133225.94584715654</v>
      </c>
      <c r="C284" s="9">
        <f t="shared" si="20"/>
        <v>133225.94584715654</v>
      </c>
      <c r="D284" s="9">
        <f t="shared" si="21"/>
        <v>0</v>
      </c>
      <c r="E284" s="6">
        <f t="shared" si="22"/>
        <v>-19930969.5985591</v>
      </c>
      <c r="F284" s="6"/>
    </row>
    <row r="285" spans="1:6" ht="15.75" customHeight="1">
      <c r="A285" s="4">
        <f t="shared" si="19"/>
        <v>273</v>
      </c>
      <c r="B285" s="9">
        <f t="shared" si="18"/>
        <v>133225.94584715654</v>
      </c>
      <c r="C285" s="9">
        <f t="shared" si="20"/>
        <v>133225.94584715654</v>
      </c>
      <c r="D285" s="9">
        <f t="shared" si="21"/>
        <v>0</v>
      </c>
      <c r="E285" s="6">
        <f t="shared" si="22"/>
        <v>-20064195.544406258</v>
      </c>
      <c r="F285" s="6"/>
    </row>
    <row r="286" spans="1:6" ht="15.75" customHeight="1">
      <c r="A286" s="4">
        <f t="shared" si="19"/>
        <v>274</v>
      </c>
      <c r="B286" s="9">
        <f t="shared" si="18"/>
        <v>133225.94584715654</v>
      </c>
      <c r="C286" s="9">
        <f t="shared" si="20"/>
        <v>133225.94584715654</v>
      </c>
      <c r="D286" s="9">
        <f t="shared" si="21"/>
        <v>0</v>
      </c>
      <c r="E286" s="6">
        <f t="shared" si="22"/>
        <v>-20197421.490253415</v>
      </c>
      <c r="F286" s="6"/>
    </row>
    <row r="287" spans="1:6" ht="15.75" customHeight="1">
      <c r="A287" s="4">
        <f t="shared" si="19"/>
        <v>275</v>
      </c>
      <c r="B287" s="9">
        <f t="shared" si="18"/>
        <v>133225.94584715654</v>
      </c>
      <c r="C287" s="9">
        <f t="shared" si="20"/>
        <v>133225.94584715654</v>
      </c>
      <c r="D287" s="9">
        <f t="shared" si="21"/>
        <v>0</v>
      </c>
      <c r="E287" s="6">
        <f t="shared" si="22"/>
        <v>-20330647.436100572</v>
      </c>
      <c r="F287" s="6"/>
    </row>
    <row r="288" spans="1:6" ht="15.75" customHeight="1">
      <c r="A288" s="4">
        <f t="shared" si="19"/>
        <v>276</v>
      </c>
      <c r="B288" s="9">
        <f t="shared" si="18"/>
        <v>133225.94584715654</v>
      </c>
      <c r="C288" s="9">
        <f t="shared" si="20"/>
        <v>133225.94584715654</v>
      </c>
      <c r="D288" s="9">
        <f t="shared" si="21"/>
        <v>0</v>
      </c>
      <c r="E288" s="6">
        <f t="shared" si="22"/>
        <v>-20463873.38194773</v>
      </c>
      <c r="F288" s="6">
        <f>$B$5*$B$8</f>
        <v>38590.810968650156</v>
      </c>
    </row>
    <row r="289" spans="1:6" ht="15.75" customHeight="1">
      <c r="A289" s="4">
        <f t="shared" si="19"/>
        <v>277</v>
      </c>
      <c r="B289" s="9">
        <f t="shared" si="18"/>
        <v>133225.94584715654</v>
      </c>
      <c r="C289" s="9">
        <f t="shared" si="20"/>
        <v>133225.94584715654</v>
      </c>
      <c r="D289" s="9">
        <f t="shared" si="21"/>
        <v>0</v>
      </c>
      <c r="E289" s="6">
        <f t="shared" si="22"/>
        <v>-20635690.138763536</v>
      </c>
      <c r="F289" s="6"/>
    </row>
    <row r="290" spans="1:6" ht="15.75" customHeight="1">
      <c r="A290" s="4">
        <f t="shared" si="19"/>
        <v>278</v>
      </c>
      <c r="B290" s="9">
        <f t="shared" si="18"/>
        <v>133225.94584715654</v>
      </c>
      <c r="C290" s="9">
        <f t="shared" si="20"/>
        <v>133225.94584715654</v>
      </c>
      <c r="D290" s="9">
        <f t="shared" si="21"/>
        <v>0</v>
      </c>
      <c r="E290" s="6">
        <f t="shared" si="22"/>
        <v>-20768916.084610693</v>
      </c>
      <c r="F290" s="6"/>
    </row>
    <row r="291" spans="1:6" ht="15.75" customHeight="1">
      <c r="A291" s="4">
        <f t="shared" si="19"/>
        <v>279</v>
      </c>
      <c r="B291" s="9">
        <f t="shared" si="18"/>
        <v>133225.94584715654</v>
      </c>
      <c r="C291" s="9">
        <f t="shared" si="20"/>
        <v>133225.94584715654</v>
      </c>
      <c r="D291" s="9">
        <f t="shared" si="21"/>
        <v>0</v>
      </c>
      <c r="E291" s="6">
        <f t="shared" si="22"/>
        <v>-20902142.030457851</v>
      </c>
      <c r="F291" s="6"/>
    </row>
    <row r="292" spans="1:6" ht="15.75" customHeight="1">
      <c r="A292" s="4">
        <f t="shared" si="19"/>
        <v>280</v>
      </c>
      <c r="B292" s="9">
        <f t="shared" si="18"/>
        <v>133225.94584715654</v>
      </c>
      <c r="C292" s="9">
        <f t="shared" si="20"/>
        <v>133225.94584715654</v>
      </c>
      <c r="D292" s="9">
        <f t="shared" si="21"/>
        <v>0</v>
      </c>
      <c r="E292" s="6">
        <f t="shared" si="22"/>
        <v>-21035367.976305008</v>
      </c>
      <c r="F292" s="6"/>
    </row>
    <row r="293" spans="1:6" ht="15.75" customHeight="1">
      <c r="A293" s="4">
        <f t="shared" si="19"/>
        <v>281</v>
      </c>
      <c r="B293" s="9">
        <f t="shared" si="18"/>
        <v>133225.94584715654</v>
      </c>
      <c r="C293" s="9">
        <f t="shared" si="20"/>
        <v>133225.94584715654</v>
      </c>
      <c r="D293" s="9">
        <f t="shared" si="21"/>
        <v>0</v>
      </c>
      <c r="E293" s="6">
        <f t="shared" si="22"/>
        <v>-21168593.922152165</v>
      </c>
      <c r="F293" s="6"/>
    </row>
    <row r="294" spans="1:6" ht="15.75" customHeight="1">
      <c r="A294" s="4">
        <f t="shared" si="19"/>
        <v>282</v>
      </c>
      <c r="B294" s="9">
        <f t="shared" si="18"/>
        <v>133225.94584715654</v>
      </c>
      <c r="C294" s="9">
        <f t="shared" si="20"/>
        <v>133225.94584715654</v>
      </c>
      <c r="D294" s="9">
        <f t="shared" si="21"/>
        <v>0</v>
      </c>
      <c r="E294" s="6">
        <f t="shared" si="22"/>
        <v>-21301819.867999323</v>
      </c>
      <c r="F294" s="6"/>
    </row>
    <row r="295" spans="1:6" ht="15.75" customHeight="1">
      <c r="A295" s="4">
        <f t="shared" si="19"/>
        <v>283</v>
      </c>
      <c r="B295" s="9">
        <f t="shared" si="18"/>
        <v>133225.94584715654</v>
      </c>
      <c r="C295" s="9">
        <f t="shared" si="20"/>
        <v>133225.94584715654</v>
      </c>
      <c r="D295" s="9">
        <f t="shared" si="21"/>
        <v>0</v>
      </c>
      <c r="E295" s="6">
        <f t="shared" si="22"/>
        <v>-21435045.81384648</v>
      </c>
      <c r="F295" s="6"/>
    </row>
    <row r="296" spans="1:6" ht="15.75" customHeight="1">
      <c r="A296" s="4">
        <f t="shared" si="19"/>
        <v>284</v>
      </c>
      <c r="B296" s="9">
        <f t="shared" si="18"/>
        <v>133225.94584715654</v>
      </c>
      <c r="C296" s="9">
        <f t="shared" si="20"/>
        <v>133225.94584715654</v>
      </c>
      <c r="D296" s="9">
        <f t="shared" si="21"/>
        <v>0</v>
      </c>
      <c r="E296" s="6">
        <f t="shared" si="22"/>
        <v>-21568271.759693637</v>
      </c>
      <c r="F296" s="6"/>
    </row>
    <row r="297" spans="1:6" ht="15.75" customHeight="1">
      <c r="A297" s="4">
        <f t="shared" si="19"/>
        <v>285</v>
      </c>
      <c r="B297" s="9">
        <f t="shared" si="18"/>
        <v>133225.94584715654</v>
      </c>
      <c r="C297" s="9">
        <f t="shared" si="20"/>
        <v>133225.94584715654</v>
      </c>
      <c r="D297" s="9">
        <f t="shared" si="21"/>
        <v>0</v>
      </c>
      <c r="E297" s="6">
        <f t="shared" si="22"/>
        <v>-21701497.705540795</v>
      </c>
      <c r="F297" s="6"/>
    </row>
    <row r="298" spans="1:6" ht="15.75" customHeight="1">
      <c r="A298" s="4">
        <f t="shared" si="19"/>
        <v>286</v>
      </c>
      <c r="B298" s="9">
        <f t="shared" si="18"/>
        <v>133225.94584715654</v>
      </c>
      <c r="C298" s="9">
        <f t="shared" si="20"/>
        <v>133225.94584715654</v>
      </c>
      <c r="D298" s="9">
        <f t="shared" si="21"/>
        <v>0</v>
      </c>
      <c r="E298" s="6">
        <f t="shared" si="22"/>
        <v>-21834723.651387952</v>
      </c>
      <c r="F298" s="6"/>
    </row>
    <row r="299" spans="1:6" ht="15.75" customHeight="1">
      <c r="A299" s="4">
        <f t="shared" si="19"/>
        <v>287</v>
      </c>
      <c r="B299" s="9">
        <f t="shared" si="18"/>
        <v>133225.94584715654</v>
      </c>
      <c r="C299" s="9">
        <f t="shared" si="20"/>
        <v>133225.94584715654</v>
      </c>
      <c r="D299" s="9">
        <f t="shared" si="21"/>
        <v>0</v>
      </c>
      <c r="E299" s="6">
        <f t="shared" si="22"/>
        <v>-21967949.59723511</v>
      </c>
      <c r="F299" s="6"/>
    </row>
    <row r="300" spans="1:6" ht="15.75" customHeight="1">
      <c r="A300" s="4">
        <f t="shared" si="19"/>
        <v>288</v>
      </c>
      <c r="B300" s="9">
        <f t="shared" si="18"/>
        <v>133225.94584715654</v>
      </c>
      <c r="C300" s="9">
        <f t="shared" si="20"/>
        <v>133225.94584715654</v>
      </c>
      <c r="D300" s="9">
        <f t="shared" si="21"/>
        <v>0</v>
      </c>
      <c r="E300" s="6">
        <f t="shared" si="22"/>
        <v>-22101175.543082267</v>
      </c>
      <c r="F300" s="6">
        <f>$B$5*$B$8</f>
        <v>38590.810968650156</v>
      </c>
    </row>
    <row r="301" spans="1:6" ht="15.75" customHeight="1">
      <c r="A301" s="4">
        <f t="shared" si="19"/>
        <v>289</v>
      </c>
      <c r="B301" s="9">
        <f t="shared" si="18"/>
        <v>133225.94584715654</v>
      </c>
      <c r="C301" s="9">
        <f t="shared" si="20"/>
        <v>133225.94584715654</v>
      </c>
      <c r="D301" s="9">
        <f t="shared" si="21"/>
        <v>0</v>
      </c>
      <c r="E301" s="6">
        <f t="shared" si="22"/>
        <v>-22272992.299898073</v>
      </c>
      <c r="F301" s="6"/>
    </row>
    <row r="302" spans="1:6" ht="15.75" customHeight="1">
      <c r="A302" s="4">
        <f t="shared" si="19"/>
        <v>290</v>
      </c>
      <c r="B302" s="9">
        <f t="shared" si="18"/>
        <v>133225.94584715654</v>
      </c>
      <c r="C302" s="9">
        <f t="shared" si="20"/>
        <v>133225.94584715654</v>
      </c>
      <c r="D302" s="9">
        <f t="shared" si="21"/>
        <v>0</v>
      </c>
      <c r="E302" s="6">
        <f t="shared" si="22"/>
        <v>-22406218.24574523</v>
      </c>
      <c r="F302" s="6"/>
    </row>
    <row r="303" spans="1:6" ht="15.75" customHeight="1">
      <c r="A303" s="4">
        <f t="shared" si="19"/>
        <v>291</v>
      </c>
      <c r="B303" s="9">
        <f t="shared" si="18"/>
        <v>133225.94584715654</v>
      </c>
      <c r="C303" s="9">
        <f t="shared" si="20"/>
        <v>133225.94584715654</v>
      </c>
      <c r="D303" s="9">
        <f t="shared" si="21"/>
        <v>0</v>
      </c>
      <c r="E303" s="6">
        <f t="shared" si="22"/>
        <v>-22539444.191592388</v>
      </c>
      <c r="F303" s="6"/>
    </row>
    <row r="304" spans="1:6" ht="15.75" customHeight="1">
      <c r="A304" s="4">
        <f t="shared" si="19"/>
        <v>292</v>
      </c>
      <c r="B304" s="9">
        <f t="shared" si="18"/>
        <v>133225.94584715654</v>
      </c>
      <c r="C304" s="9">
        <f t="shared" si="20"/>
        <v>133225.94584715654</v>
      </c>
      <c r="D304" s="9">
        <f t="shared" si="21"/>
        <v>0</v>
      </c>
      <c r="E304" s="6">
        <f t="shared" si="22"/>
        <v>-22672670.137439545</v>
      </c>
      <c r="F304" s="6"/>
    </row>
    <row r="305" spans="1:6" ht="15.75" customHeight="1">
      <c r="A305" s="4">
        <f t="shared" si="19"/>
        <v>293</v>
      </c>
      <c r="B305" s="9">
        <f t="shared" si="18"/>
        <v>133225.94584715654</v>
      </c>
      <c r="C305" s="9">
        <f t="shared" si="20"/>
        <v>133225.94584715654</v>
      </c>
      <c r="D305" s="9">
        <f t="shared" si="21"/>
        <v>0</v>
      </c>
      <c r="E305" s="6">
        <f t="shared" si="22"/>
        <v>-22805896.083286703</v>
      </c>
      <c r="F305" s="6"/>
    </row>
    <row r="306" spans="1:6" ht="15.75" customHeight="1">
      <c r="A306" s="4">
        <f t="shared" si="19"/>
        <v>294</v>
      </c>
      <c r="B306" s="9">
        <f t="shared" si="18"/>
        <v>133225.94584715654</v>
      </c>
      <c r="C306" s="9">
        <f t="shared" si="20"/>
        <v>133225.94584715654</v>
      </c>
      <c r="D306" s="9">
        <f t="shared" si="21"/>
        <v>0</v>
      </c>
      <c r="E306" s="6">
        <f t="shared" si="22"/>
        <v>-22939122.02913386</v>
      </c>
      <c r="F306" s="6"/>
    </row>
    <row r="307" spans="1:6" ht="15.75" customHeight="1">
      <c r="A307" s="4">
        <f t="shared" si="19"/>
        <v>295</v>
      </c>
      <c r="B307" s="9">
        <f t="shared" si="18"/>
        <v>133225.94584715654</v>
      </c>
      <c r="C307" s="9">
        <f t="shared" si="20"/>
        <v>133225.94584715654</v>
      </c>
      <c r="D307" s="9">
        <f t="shared" si="21"/>
        <v>0</v>
      </c>
      <c r="E307" s="6">
        <f t="shared" si="22"/>
        <v>-23072347.974981017</v>
      </c>
      <c r="F307" s="6"/>
    </row>
    <row r="308" spans="1:6" ht="15.75" customHeight="1">
      <c r="A308" s="4">
        <f t="shared" si="19"/>
        <v>296</v>
      </c>
      <c r="B308" s="9">
        <f t="shared" si="18"/>
        <v>133225.94584715654</v>
      </c>
      <c r="C308" s="9">
        <f t="shared" si="20"/>
        <v>133225.94584715654</v>
      </c>
      <c r="D308" s="9">
        <f t="shared" si="21"/>
        <v>0</v>
      </c>
      <c r="E308" s="6">
        <f t="shared" si="22"/>
        <v>-23205573.920828175</v>
      </c>
      <c r="F308" s="6"/>
    </row>
    <row r="309" spans="1:6" ht="15.75" customHeight="1">
      <c r="A309" s="4">
        <f t="shared" si="19"/>
        <v>297</v>
      </c>
      <c r="B309" s="9">
        <f t="shared" si="18"/>
        <v>133225.94584715654</v>
      </c>
      <c r="C309" s="9">
        <f t="shared" si="20"/>
        <v>133225.94584715654</v>
      </c>
      <c r="D309" s="9">
        <f t="shared" si="21"/>
        <v>0</v>
      </c>
      <c r="E309" s="6">
        <f t="shared" si="22"/>
        <v>-23338799.866675332</v>
      </c>
      <c r="F309" s="6"/>
    </row>
    <row r="310" spans="1:6" ht="15.75" customHeight="1">
      <c r="A310" s="4">
        <f t="shared" si="19"/>
        <v>298</v>
      </c>
      <c r="B310" s="9">
        <f t="shared" si="18"/>
        <v>133225.94584715654</v>
      </c>
      <c r="C310" s="9">
        <f t="shared" si="20"/>
        <v>133225.94584715654</v>
      </c>
      <c r="D310" s="9">
        <f t="shared" si="21"/>
        <v>0</v>
      </c>
      <c r="E310" s="6">
        <f t="shared" si="22"/>
        <v>-23472025.81252249</v>
      </c>
      <c r="F310" s="6"/>
    </row>
    <row r="311" spans="1:6" ht="15.75" customHeight="1">
      <c r="A311" s="4">
        <f t="shared" si="19"/>
        <v>299</v>
      </c>
      <c r="B311" s="9">
        <f t="shared" si="18"/>
        <v>133225.94584715654</v>
      </c>
      <c r="C311" s="9">
        <f t="shared" si="20"/>
        <v>133225.94584715654</v>
      </c>
      <c r="D311" s="9">
        <f t="shared" si="21"/>
        <v>0</v>
      </c>
      <c r="E311" s="6">
        <f t="shared" si="22"/>
        <v>-23605251.758369647</v>
      </c>
      <c r="F311" s="6"/>
    </row>
    <row r="312" spans="1:6" ht="15.75" customHeight="1">
      <c r="A312" s="4">
        <f t="shared" si="19"/>
        <v>300</v>
      </c>
      <c r="B312" s="9">
        <f t="shared" si="18"/>
        <v>133225.94584715654</v>
      </c>
      <c r="C312" s="9">
        <f t="shared" si="20"/>
        <v>133225.94584715654</v>
      </c>
      <c r="D312" s="9">
        <f t="shared" si="21"/>
        <v>0</v>
      </c>
      <c r="E312" s="6">
        <f t="shared" si="22"/>
        <v>-23738477.704216804</v>
      </c>
      <c r="F312" s="6">
        <f>$B$5*$B$8</f>
        <v>38590.810968650156</v>
      </c>
    </row>
    <row r="313" spans="1:6" ht="15.75" customHeight="1">
      <c r="A313" s="4">
        <f t="shared" si="19"/>
        <v>301</v>
      </c>
      <c r="B313" s="9">
        <f t="shared" si="18"/>
        <v>133225.94584715654</v>
      </c>
      <c r="C313" s="9">
        <f t="shared" si="20"/>
        <v>133225.94584715654</v>
      </c>
      <c r="D313" s="9">
        <f t="shared" si="21"/>
        <v>0</v>
      </c>
      <c r="E313" s="6">
        <f t="shared" si="22"/>
        <v>-23910294.46103261</v>
      </c>
      <c r="F313" s="6"/>
    </row>
    <row r="314" spans="1:6" ht="15.75" customHeight="1">
      <c r="A314" s="4">
        <f t="shared" si="19"/>
        <v>302</v>
      </c>
      <c r="B314" s="9">
        <f t="shared" si="18"/>
        <v>133225.94584715654</v>
      </c>
      <c r="C314" s="9">
        <f t="shared" si="20"/>
        <v>133225.94584715654</v>
      </c>
      <c r="D314" s="9">
        <f t="shared" si="21"/>
        <v>0</v>
      </c>
      <c r="E314" s="6">
        <f t="shared" si="22"/>
        <v>-24043520.406879768</v>
      </c>
      <c r="F314" s="6"/>
    </row>
    <row r="315" spans="1:6" ht="15.75" customHeight="1">
      <c r="A315" s="4">
        <f t="shared" si="19"/>
        <v>303</v>
      </c>
      <c r="B315" s="9">
        <f t="shared" si="18"/>
        <v>133225.94584715654</v>
      </c>
      <c r="C315" s="9">
        <f t="shared" si="20"/>
        <v>133225.94584715654</v>
      </c>
      <c r="D315" s="9">
        <f t="shared" si="21"/>
        <v>0</v>
      </c>
      <c r="E315" s="6">
        <f t="shared" si="22"/>
        <v>-24176746.352726925</v>
      </c>
      <c r="F315" s="6"/>
    </row>
    <row r="316" spans="1:6" ht="15.75" customHeight="1">
      <c r="A316" s="4">
        <f t="shared" si="19"/>
        <v>304</v>
      </c>
      <c r="B316" s="9">
        <f t="shared" si="18"/>
        <v>133225.94584715654</v>
      </c>
      <c r="C316" s="9">
        <f t="shared" si="20"/>
        <v>133225.94584715654</v>
      </c>
      <c r="D316" s="9">
        <f t="shared" si="21"/>
        <v>0</v>
      </c>
      <c r="E316" s="6">
        <f t="shared" si="22"/>
        <v>-24309972.298574083</v>
      </c>
      <c r="F316" s="6"/>
    </row>
    <row r="317" spans="1:6" ht="15.75" customHeight="1">
      <c r="A317" s="4">
        <f t="shared" si="19"/>
        <v>305</v>
      </c>
      <c r="B317" s="9">
        <f t="shared" si="18"/>
        <v>133225.94584715654</v>
      </c>
      <c r="C317" s="9">
        <f t="shared" si="20"/>
        <v>133225.94584715654</v>
      </c>
      <c r="D317" s="9">
        <f t="shared" si="21"/>
        <v>0</v>
      </c>
      <c r="E317" s="6">
        <f t="shared" si="22"/>
        <v>-24443198.24442124</v>
      </c>
      <c r="F317" s="6"/>
    </row>
    <row r="318" spans="1:6" ht="15.75" customHeight="1">
      <c r="A318" s="4">
        <f t="shared" si="19"/>
        <v>306</v>
      </c>
      <c r="B318" s="9">
        <f t="shared" si="18"/>
        <v>133225.94584715654</v>
      </c>
      <c r="C318" s="9">
        <f t="shared" si="20"/>
        <v>133225.94584715654</v>
      </c>
      <c r="D318" s="9">
        <f t="shared" si="21"/>
        <v>0</v>
      </c>
      <c r="E318" s="6">
        <f t="shared" si="22"/>
        <v>-24576424.190268397</v>
      </c>
      <c r="F318" s="6"/>
    </row>
    <row r="319" spans="1:6" ht="15.75" customHeight="1">
      <c r="A319" s="4">
        <f t="shared" si="19"/>
        <v>307</v>
      </c>
      <c r="B319" s="9">
        <f t="shared" si="18"/>
        <v>133225.94584715654</v>
      </c>
      <c r="C319" s="9">
        <f t="shared" si="20"/>
        <v>133225.94584715654</v>
      </c>
      <c r="D319" s="9">
        <f t="shared" si="21"/>
        <v>0</v>
      </c>
      <c r="E319" s="6">
        <f t="shared" si="22"/>
        <v>-24709650.136115555</v>
      </c>
      <c r="F319" s="6"/>
    </row>
    <row r="320" spans="1:6" ht="15.75" customHeight="1">
      <c r="A320" s="4">
        <f t="shared" si="19"/>
        <v>308</v>
      </c>
      <c r="B320" s="9">
        <f t="shared" si="18"/>
        <v>133225.94584715654</v>
      </c>
      <c r="C320" s="9">
        <f t="shared" si="20"/>
        <v>133225.94584715654</v>
      </c>
      <c r="D320" s="9">
        <f t="shared" si="21"/>
        <v>0</v>
      </c>
      <c r="E320" s="6">
        <f t="shared" si="22"/>
        <v>-24842876.081962712</v>
      </c>
      <c r="F320" s="6"/>
    </row>
    <row r="321" spans="1:6" ht="15.75" customHeight="1">
      <c r="A321" s="4">
        <f t="shared" si="19"/>
        <v>309</v>
      </c>
      <c r="B321" s="9">
        <f t="shared" si="18"/>
        <v>133225.94584715654</v>
      </c>
      <c r="C321" s="9">
        <f t="shared" si="20"/>
        <v>133225.94584715654</v>
      </c>
      <c r="D321" s="9">
        <f t="shared" si="21"/>
        <v>0</v>
      </c>
      <c r="E321" s="6">
        <f t="shared" si="22"/>
        <v>-24976102.027809869</v>
      </c>
      <c r="F321" s="6"/>
    </row>
    <row r="322" spans="1:6" ht="15.75" customHeight="1">
      <c r="A322" s="4">
        <f t="shared" si="19"/>
        <v>310</v>
      </c>
      <c r="B322" s="9">
        <f t="shared" si="18"/>
        <v>133225.94584715654</v>
      </c>
      <c r="C322" s="9">
        <f t="shared" si="20"/>
        <v>133225.94584715654</v>
      </c>
      <c r="D322" s="9">
        <f t="shared" si="21"/>
        <v>0</v>
      </c>
      <c r="E322" s="6">
        <f t="shared" si="22"/>
        <v>-25109327.973657027</v>
      </c>
      <c r="F322" s="6"/>
    </row>
    <row r="323" spans="1:6" ht="15.75" customHeight="1">
      <c r="A323" s="4">
        <f t="shared" si="19"/>
        <v>311</v>
      </c>
      <c r="B323" s="9">
        <f t="shared" si="18"/>
        <v>133225.94584715654</v>
      </c>
      <c r="C323" s="9">
        <f t="shared" si="20"/>
        <v>133225.94584715654</v>
      </c>
      <c r="D323" s="9">
        <f t="shared" si="21"/>
        <v>0</v>
      </c>
      <c r="E323" s="6">
        <f t="shared" si="22"/>
        <v>-25242553.919504184</v>
      </c>
      <c r="F323" s="6"/>
    </row>
    <row r="324" spans="1:6" ht="15.75" customHeight="1">
      <c r="A324" s="4">
        <f t="shared" si="19"/>
        <v>312</v>
      </c>
      <c r="B324" s="9">
        <f t="shared" si="18"/>
        <v>133225.94584715654</v>
      </c>
      <c r="C324" s="9">
        <f t="shared" si="20"/>
        <v>133225.94584715654</v>
      </c>
      <c r="D324" s="9">
        <f t="shared" si="21"/>
        <v>0</v>
      </c>
      <c r="E324" s="6">
        <f t="shared" si="22"/>
        <v>-25375779.865351342</v>
      </c>
      <c r="F324" s="6"/>
    </row>
    <row r="325" spans="1:6" ht="15.75" customHeight="1">
      <c r="A325" s="4">
        <f t="shared" si="19"/>
        <v>313</v>
      </c>
      <c r="B325" s="9">
        <f t="shared" si="18"/>
        <v>133225.94584715654</v>
      </c>
      <c r="C325" s="9">
        <f t="shared" si="20"/>
        <v>133225.94584715654</v>
      </c>
      <c r="D325" s="9">
        <f t="shared" si="21"/>
        <v>0</v>
      </c>
      <c r="E325" s="6">
        <f t="shared" si="22"/>
        <v>-25509005.811198499</v>
      </c>
      <c r="F325" s="6"/>
    </row>
    <row r="326" spans="1:6" ht="15.75" customHeight="1">
      <c r="A326" s="4">
        <f t="shared" si="19"/>
        <v>314</v>
      </c>
      <c r="B326" s="9">
        <f t="shared" si="18"/>
        <v>133225.94584715654</v>
      </c>
      <c r="C326" s="9">
        <f t="shared" si="20"/>
        <v>133225.94584715654</v>
      </c>
      <c r="D326" s="9">
        <f t="shared" si="21"/>
        <v>0</v>
      </c>
      <c r="E326" s="6">
        <f t="shared" si="22"/>
        <v>-25642231.757045656</v>
      </c>
      <c r="F326" s="6"/>
    </row>
    <row r="327" spans="1:6" ht="15.75" customHeight="1">
      <c r="A327" s="4">
        <f t="shared" si="19"/>
        <v>315</v>
      </c>
      <c r="B327" s="9">
        <f t="shared" si="18"/>
        <v>133225.94584715654</v>
      </c>
      <c r="C327" s="9">
        <f t="shared" si="20"/>
        <v>133225.94584715654</v>
      </c>
      <c r="D327" s="9">
        <f t="shared" si="21"/>
        <v>0</v>
      </c>
      <c r="E327" s="6">
        <f t="shared" si="22"/>
        <v>-25775457.702892814</v>
      </c>
      <c r="F327" s="6"/>
    </row>
    <row r="328" spans="1:6" ht="15.75" customHeight="1">
      <c r="A328" s="4">
        <f t="shared" si="19"/>
        <v>316</v>
      </c>
      <c r="B328" s="9">
        <f t="shared" si="18"/>
        <v>133225.94584715654</v>
      </c>
      <c r="C328" s="9">
        <f t="shared" si="20"/>
        <v>133225.94584715654</v>
      </c>
      <c r="D328" s="9">
        <f t="shared" si="21"/>
        <v>0</v>
      </c>
      <c r="E328" s="6">
        <f t="shared" si="22"/>
        <v>-25908683.648739971</v>
      </c>
      <c r="F328" s="6"/>
    </row>
    <row r="329" spans="1:6" ht="15.75" customHeight="1">
      <c r="A329" s="4">
        <f t="shared" si="19"/>
        <v>317</v>
      </c>
      <c r="B329" s="9">
        <f t="shared" si="18"/>
        <v>133225.94584715654</v>
      </c>
      <c r="C329" s="9">
        <f t="shared" si="20"/>
        <v>133225.94584715654</v>
      </c>
      <c r="D329" s="9">
        <f t="shared" si="21"/>
        <v>0</v>
      </c>
      <c r="E329" s="6">
        <f t="shared" si="22"/>
        <v>-26041909.594587129</v>
      </c>
      <c r="F329" s="6"/>
    </row>
    <row r="330" spans="1:6" ht="15.75" customHeight="1">
      <c r="A330" s="4">
        <f t="shared" si="19"/>
        <v>318</v>
      </c>
      <c r="B330" s="9">
        <f t="shared" si="18"/>
        <v>133225.94584715654</v>
      </c>
      <c r="C330" s="9">
        <f t="shared" si="20"/>
        <v>133225.94584715654</v>
      </c>
      <c r="D330" s="9">
        <f t="shared" si="21"/>
        <v>0</v>
      </c>
      <c r="E330" s="6">
        <f t="shared" si="22"/>
        <v>-26175135.540434286</v>
      </c>
      <c r="F330" s="6"/>
    </row>
    <row r="331" spans="1:6" ht="15.75" customHeight="1">
      <c r="A331" s="4">
        <f t="shared" si="19"/>
        <v>319</v>
      </c>
      <c r="B331" s="9">
        <f t="shared" si="18"/>
        <v>133225.94584715654</v>
      </c>
      <c r="C331" s="9">
        <f t="shared" si="20"/>
        <v>133225.94584715654</v>
      </c>
      <c r="D331" s="9">
        <f t="shared" si="21"/>
        <v>0</v>
      </c>
      <c r="E331" s="6">
        <f t="shared" si="22"/>
        <v>-26308361.486281443</v>
      </c>
      <c r="F331" s="6"/>
    </row>
    <row r="332" spans="1:6" ht="15.75" customHeight="1">
      <c r="A332" s="4">
        <f t="shared" si="19"/>
        <v>320</v>
      </c>
      <c r="B332" s="9">
        <f t="shared" si="18"/>
        <v>133225.94584715654</v>
      </c>
      <c r="C332" s="9">
        <f t="shared" si="20"/>
        <v>133225.94584715654</v>
      </c>
      <c r="D332" s="9">
        <f t="shared" si="21"/>
        <v>0</v>
      </c>
      <c r="E332" s="6">
        <f t="shared" si="22"/>
        <v>-26441587.432128601</v>
      </c>
      <c r="F332" s="6"/>
    </row>
    <row r="333" spans="1:6" ht="15.75" customHeight="1">
      <c r="A333" s="4">
        <f t="shared" si="19"/>
        <v>321</v>
      </c>
      <c r="B333" s="9">
        <f t="shared" si="18"/>
        <v>133225.94584715654</v>
      </c>
      <c r="C333" s="9">
        <f t="shared" si="20"/>
        <v>133225.94584715654</v>
      </c>
      <c r="D333" s="9">
        <f t="shared" si="21"/>
        <v>0</v>
      </c>
      <c r="E333" s="6">
        <f t="shared" si="22"/>
        <v>-26574813.377975758</v>
      </c>
      <c r="F333" s="6"/>
    </row>
    <row r="334" spans="1:6" ht="15.75" customHeight="1">
      <c r="A334" s="4">
        <f t="shared" si="19"/>
        <v>322</v>
      </c>
      <c r="B334" s="9">
        <f t="shared" si="18"/>
        <v>133225.94584715654</v>
      </c>
      <c r="C334" s="9">
        <f t="shared" si="20"/>
        <v>133225.94584715654</v>
      </c>
      <c r="D334" s="9">
        <f t="shared" si="21"/>
        <v>0</v>
      </c>
      <c r="E334" s="6">
        <f t="shared" si="22"/>
        <v>-26708039.323822916</v>
      </c>
      <c r="F334" s="6"/>
    </row>
    <row r="335" spans="1:6" ht="15.75" customHeight="1">
      <c r="A335" s="4">
        <f t="shared" si="19"/>
        <v>323</v>
      </c>
      <c r="B335" s="9">
        <f t="shared" si="18"/>
        <v>133225.94584715654</v>
      </c>
      <c r="C335" s="9">
        <f t="shared" si="20"/>
        <v>133225.94584715654</v>
      </c>
      <c r="D335" s="9">
        <f t="shared" si="21"/>
        <v>0</v>
      </c>
      <c r="E335" s="6">
        <f t="shared" si="22"/>
        <v>-26841265.269670073</v>
      </c>
      <c r="F335" s="6"/>
    </row>
    <row r="336" spans="1:6" ht="15.75" customHeight="1">
      <c r="A336" s="4">
        <f t="shared" si="19"/>
        <v>324</v>
      </c>
      <c r="B336" s="9">
        <f t="shared" si="18"/>
        <v>133225.94584715654</v>
      </c>
      <c r="C336" s="9">
        <f t="shared" si="20"/>
        <v>133225.94584715654</v>
      </c>
      <c r="D336" s="9">
        <f t="shared" si="21"/>
        <v>0</v>
      </c>
      <c r="E336" s="6">
        <f t="shared" si="22"/>
        <v>-26974491.21551723</v>
      </c>
      <c r="F336" s="6"/>
    </row>
    <row r="337" spans="1:6" ht="15.75" customHeight="1">
      <c r="A337" s="4">
        <f t="shared" si="19"/>
        <v>325</v>
      </c>
      <c r="B337" s="9">
        <f t="shared" si="18"/>
        <v>133225.94584715654</v>
      </c>
      <c r="C337" s="9">
        <f t="shared" si="20"/>
        <v>133225.94584715654</v>
      </c>
      <c r="D337" s="9">
        <f t="shared" si="21"/>
        <v>0</v>
      </c>
      <c r="E337" s="6">
        <f t="shared" si="22"/>
        <v>-27107717.161364388</v>
      </c>
      <c r="F337" s="6"/>
    </row>
    <row r="338" spans="1:6" ht="15.75" customHeight="1">
      <c r="A338" s="4">
        <f t="shared" si="19"/>
        <v>326</v>
      </c>
      <c r="B338" s="9">
        <f t="shared" si="18"/>
        <v>133225.94584715654</v>
      </c>
      <c r="C338" s="9">
        <f t="shared" si="20"/>
        <v>133225.94584715654</v>
      </c>
      <c r="D338" s="9">
        <f t="shared" si="21"/>
        <v>0</v>
      </c>
      <c r="E338" s="6">
        <f t="shared" si="22"/>
        <v>-27240943.107211545</v>
      </c>
      <c r="F338" s="6"/>
    </row>
    <row r="339" spans="1:6" ht="15.75" customHeight="1">
      <c r="A339" s="4">
        <f t="shared" si="19"/>
        <v>327</v>
      </c>
      <c r="B339" s="9">
        <f t="shared" si="18"/>
        <v>133225.94584715654</v>
      </c>
      <c r="C339" s="9">
        <f t="shared" si="20"/>
        <v>133225.94584715654</v>
      </c>
      <c r="D339" s="9">
        <f t="shared" si="21"/>
        <v>0</v>
      </c>
      <c r="E339" s="6">
        <f t="shared" si="22"/>
        <v>-27374169.053058702</v>
      </c>
      <c r="F339" s="6"/>
    </row>
    <row r="340" spans="1:6" ht="15.75" customHeight="1">
      <c r="A340" s="4">
        <f t="shared" si="19"/>
        <v>328</v>
      </c>
      <c r="B340" s="9">
        <f t="shared" si="18"/>
        <v>133225.94584715654</v>
      </c>
      <c r="C340" s="9">
        <f t="shared" si="20"/>
        <v>133225.94584715654</v>
      </c>
      <c r="D340" s="9">
        <f t="shared" si="21"/>
        <v>0</v>
      </c>
      <c r="E340" s="6">
        <f t="shared" si="22"/>
        <v>-27507394.99890586</v>
      </c>
      <c r="F340" s="6"/>
    </row>
    <row r="341" spans="1:6" ht="15.75" customHeight="1">
      <c r="A341" s="4">
        <f t="shared" si="19"/>
        <v>329</v>
      </c>
      <c r="B341" s="9">
        <f t="shared" si="18"/>
        <v>133225.94584715654</v>
      </c>
      <c r="C341" s="9">
        <f t="shared" si="20"/>
        <v>133225.94584715654</v>
      </c>
      <c r="D341" s="9">
        <f t="shared" si="21"/>
        <v>0</v>
      </c>
      <c r="E341" s="6">
        <f t="shared" si="22"/>
        <v>-27640620.944753017</v>
      </c>
      <c r="F341" s="6"/>
    </row>
    <row r="342" spans="1:6" ht="15.75" customHeight="1">
      <c r="A342" s="4">
        <f t="shared" si="19"/>
        <v>330</v>
      </c>
      <c r="B342" s="9">
        <f t="shared" si="18"/>
        <v>133225.94584715654</v>
      </c>
      <c r="C342" s="9">
        <f t="shared" si="20"/>
        <v>133225.94584715654</v>
      </c>
      <c r="D342" s="9">
        <f t="shared" si="21"/>
        <v>0</v>
      </c>
      <c r="E342" s="6">
        <f t="shared" si="22"/>
        <v>-27773846.890600175</v>
      </c>
      <c r="F342" s="6"/>
    </row>
    <row r="343" spans="1:6" ht="15.75" customHeight="1">
      <c r="A343" s="4">
        <f t="shared" si="19"/>
        <v>331</v>
      </c>
      <c r="B343" s="9">
        <f t="shared" si="18"/>
        <v>133225.94584715654</v>
      </c>
      <c r="C343" s="9">
        <f t="shared" si="20"/>
        <v>133225.94584715654</v>
      </c>
      <c r="D343" s="9">
        <f t="shared" si="21"/>
        <v>0</v>
      </c>
      <c r="E343" s="6">
        <f t="shared" si="22"/>
        <v>-27907072.836447332</v>
      </c>
      <c r="F343" s="6"/>
    </row>
    <row r="344" spans="1:6" ht="15.75" customHeight="1">
      <c r="A344" s="4">
        <f t="shared" si="19"/>
        <v>332</v>
      </c>
      <c r="B344" s="9">
        <f t="shared" si="18"/>
        <v>133225.94584715654</v>
      </c>
      <c r="C344" s="9">
        <f t="shared" si="20"/>
        <v>133225.94584715654</v>
      </c>
      <c r="D344" s="9">
        <f t="shared" si="21"/>
        <v>0</v>
      </c>
      <c r="E344" s="6">
        <f t="shared" si="22"/>
        <v>-28040298.782294489</v>
      </c>
      <c r="F344" s="6"/>
    </row>
    <row r="345" spans="1:6" ht="15.75" customHeight="1">
      <c r="A345" s="4">
        <f t="shared" si="19"/>
        <v>333</v>
      </c>
      <c r="B345" s="9">
        <f t="shared" si="18"/>
        <v>133225.94584715654</v>
      </c>
      <c r="C345" s="9">
        <f t="shared" si="20"/>
        <v>133225.94584715654</v>
      </c>
      <c r="D345" s="9">
        <f t="shared" si="21"/>
        <v>0</v>
      </c>
      <c r="E345" s="6">
        <f t="shared" si="22"/>
        <v>-28173524.728141647</v>
      </c>
      <c r="F345" s="6"/>
    </row>
    <row r="346" spans="1:6" ht="15.75" customHeight="1">
      <c r="A346" s="4">
        <f t="shared" si="19"/>
        <v>334</v>
      </c>
      <c r="B346" s="9">
        <f t="shared" si="18"/>
        <v>133225.94584715654</v>
      </c>
      <c r="C346" s="9">
        <f t="shared" si="20"/>
        <v>133225.94584715654</v>
      </c>
      <c r="D346" s="9">
        <f t="shared" si="21"/>
        <v>0</v>
      </c>
      <c r="E346" s="6">
        <f t="shared" si="22"/>
        <v>-28306750.673988804</v>
      </c>
      <c r="F346" s="6"/>
    </row>
    <row r="347" spans="1:6" ht="15.75" customHeight="1">
      <c r="A347" s="4">
        <f t="shared" si="19"/>
        <v>335</v>
      </c>
      <c r="B347" s="9">
        <f t="shared" si="18"/>
        <v>133225.94584715654</v>
      </c>
      <c r="C347" s="9">
        <f t="shared" si="20"/>
        <v>133225.94584715654</v>
      </c>
      <c r="D347" s="9">
        <f t="shared" si="21"/>
        <v>0</v>
      </c>
      <c r="E347" s="6">
        <f t="shared" si="22"/>
        <v>-28439976.619835962</v>
      </c>
      <c r="F347" s="6"/>
    </row>
    <row r="348" spans="1:6" ht="15.75" customHeight="1">
      <c r="A348" s="4">
        <f t="shared" si="19"/>
        <v>336</v>
      </c>
      <c r="B348" s="9">
        <f t="shared" si="18"/>
        <v>133225.94584715654</v>
      </c>
      <c r="C348" s="9">
        <f t="shared" si="20"/>
        <v>133225.94584715654</v>
      </c>
      <c r="D348" s="9">
        <f t="shared" si="21"/>
        <v>0</v>
      </c>
      <c r="E348" s="6">
        <f t="shared" si="22"/>
        <v>-28573202.565683119</v>
      </c>
      <c r="F348" s="6"/>
    </row>
    <row r="349" spans="1:6" ht="15.75" customHeight="1">
      <c r="A349" s="4">
        <f t="shared" si="19"/>
        <v>337</v>
      </c>
      <c r="B349" s="9">
        <f t="shared" si="18"/>
        <v>133225.94584715654</v>
      </c>
      <c r="C349" s="9">
        <f t="shared" si="20"/>
        <v>133225.94584715654</v>
      </c>
      <c r="D349" s="9">
        <f t="shared" si="21"/>
        <v>0</v>
      </c>
      <c r="E349" s="6">
        <f t="shared" si="22"/>
        <v>-28706428.511530276</v>
      </c>
      <c r="F349" s="6"/>
    </row>
    <row r="350" spans="1:6" ht="15.75" customHeight="1">
      <c r="A350" s="4">
        <f t="shared" si="19"/>
        <v>338</v>
      </c>
      <c r="B350" s="9">
        <f t="shared" si="18"/>
        <v>133225.94584715654</v>
      </c>
      <c r="C350" s="9">
        <f t="shared" si="20"/>
        <v>133225.94584715654</v>
      </c>
      <c r="D350" s="9">
        <f t="shared" si="21"/>
        <v>0</v>
      </c>
      <c r="E350" s="6">
        <f t="shared" si="22"/>
        <v>-28839654.457377434</v>
      </c>
      <c r="F350" s="6"/>
    </row>
    <row r="351" spans="1:6" ht="15.75" customHeight="1">
      <c r="A351" s="4">
        <f t="shared" si="19"/>
        <v>339</v>
      </c>
      <c r="B351" s="9">
        <f t="shared" si="18"/>
        <v>133225.94584715654</v>
      </c>
      <c r="C351" s="9">
        <f t="shared" si="20"/>
        <v>133225.94584715654</v>
      </c>
      <c r="D351" s="9">
        <f t="shared" si="21"/>
        <v>0</v>
      </c>
      <c r="E351" s="6">
        <f t="shared" si="22"/>
        <v>-28972880.403224591</v>
      </c>
      <c r="F351" s="6"/>
    </row>
    <row r="352" spans="1:6" ht="15.75" customHeight="1">
      <c r="A352" s="4">
        <f t="shared" si="19"/>
        <v>340</v>
      </c>
      <c r="B352" s="9">
        <f t="shared" si="18"/>
        <v>133225.94584715654</v>
      </c>
      <c r="C352" s="9">
        <f t="shared" si="20"/>
        <v>133225.94584715654</v>
      </c>
      <c r="D352" s="9">
        <f t="shared" si="21"/>
        <v>0</v>
      </c>
      <c r="E352" s="6">
        <f t="shared" si="22"/>
        <v>-29106106.349071749</v>
      </c>
      <c r="F352" s="6"/>
    </row>
    <row r="353" spans="1:6" ht="15.75" customHeight="1">
      <c r="A353" s="4">
        <f t="shared" si="19"/>
        <v>341</v>
      </c>
      <c r="B353" s="9">
        <f t="shared" si="18"/>
        <v>133225.94584715654</v>
      </c>
      <c r="C353" s="9">
        <f t="shared" si="20"/>
        <v>133225.94584715654</v>
      </c>
      <c r="D353" s="9">
        <f t="shared" si="21"/>
        <v>0</v>
      </c>
      <c r="E353" s="6">
        <f t="shared" si="22"/>
        <v>-29239332.294918906</v>
      </c>
      <c r="F353" s="6"/>
    </row>
    <row r="354" spans="1:6" ht="15.75" customHeight="1">
      <c r="A354" s="4">
        <f t="shared" si="19"/>
        <v>342</v>
      </c>
      <c r="B354" s="9">
        <f t="shared" si="18"/>
        <v>133225.94584715654</v>
      </c>
      <c r="C354" s="9">
        <f t="shared" si="20"/>
        <v>133225.94584715654</v>
      </c>
      <c r="D354" s="9">
        <f t="shared" si="21"/>
        <v>0</v>
      </c>
      <c r="E354" s="6">
        <f t="shared" si="22"/>
        <v>-29372558.240766063</v>
      </c>
      <c r="F354" s="6"/>
    </row>
    <row r="355" spans="1:6" ht="15.75" customHeight="1">
      <c r="A355" s="4">
        <f t="shared" si="19"/>
        <v>343</v>
      </c>
      <c r="B355" s="9">
        <f t="shared" si="18"/>
        <v>133225.94584715654</v>
      </c>
      <c r="C355" s="9">
        <f t="shared" si="20"/>
        <v>133225.94584715654</v>
      </c>
      <c r="D355" s="9">
        <f t="shared" si="21"/>
        <v>0</v>
      </c>
      <c r="E355" s="6">
        <f t="shared" si="22"/>
        <v>-29505784.186613221</v>
      </c>
      <c r="F355" s="6"/>
    </row>
    <row r="356" spans="1:6" ht="15.75" customHeight="1">
      <c r="A356" s="4">
        <f t="shared" si="19"/>
        <v>344</v>
      </c>
      <c r="B356" s="9">
        <f t="shared" si="18"/>
        <v>133225.94584715654</v>
      </c>
      <c r="C356" s="9">
        <f t="shared" si="20"/>
        <v>133225.94584715654</v>
      </c>
      <c r="D356" s="9">
        <f t="shared" si="21"/>
        <v>0</v>
      </c>
      <c r="E356" s="6">
        <f t="shared" si="22"/>
        <v>-29639010.132460378</v>
      </c>
      <c r="F356" s="6"/>
    </row>
    <row r="357" spans="1:6" ht="15.75" customHeight="1">
      <c r="A357" s="4">
        <f t="shared" si="19"/>
        <v>345</v>
      </c>
      <c r="B357" s="9">
        <f t="shared" si="18"/>
        <v>133225.94584715654</v>
      </c>
      <c r="C357" s="9">
        <f t="shared" si="20"/>
        <v>133225.94584715654</v>
      </c>
      <c r="D357" s="9">
        <f t="shared" si="21"/>
        <v>0</v>
      </c>
      <c r="E357" s="6">
        <f t="shared" si="22"/>
        <v>-29772236.078307535</v>
      </c>
      <c r="F357" s="6"/>
    </row>
    <row r="358" spans="1:6" ht="15.75" customHeight="1">
      <c r="A358" s="4">
        <f t="shared" si="19"/>
        <v>346</v>
      </c>
      <c r="B358" s="9">
        <f t="shared" si="18"/>
        <v>133225.94584715654</v>
      </c>
      <c r="C358" s="9">
        <f t="shared" si="20"/>
        <v>133225.94584715654</v>
      </c>
      <c r="D358" s="9">
        <f t="shared" si="21"/>
        <v>0</v>
      </c>
      <c r="E358" s="6">
        <f t="shared" si="22"/>
        <v>-29905462.024154693</v>
      </c>
      <c r="F358" s="6"/>
    </row>
    <row r="359" spans="1:6" ht="15.75" customHeight="1">
      <c r="A359" s="4">
        <f t="shared" si="19"/>
        <v>347</v>
      </c>
      <c r="B359" s="9">
        <f t="shared" si="18"/>
        <v>133225.94584715654</v>
      </c>
      <c r="C359" s="9">
        <f t="shared" si="20"/>
        <v>133225.94584715654</v>
      </c>
      <c r="D359" s="9">
        <f t="shared" si="21"/>
        <v>0</v>
      </c>
      <c r="E359" s="6">
        <f t="shared" si="22"/>
        <v>-30038687.97000185</v>
      </c>
      <c r="F359" s="6"/>
    </row>
    <row r="360" spans="1:6" ht="15.75" customHeight="1">
      <c r="A360" s="4">
        <f t="shared" si="19"/>
        <v>348</v>
      </c>
      <c r="B360" s="9">
        <f t="shared" si="18"/>
        <v>133225.94584715654</v>
      </c>
      <c r="C360" s="9">
        <f t="shared" si="20"/>
        <v>133225.94584715654</v>
      </c>
      <c r="D360" s="9">
        <f t="shared" si="21"/>
        <v>0</v>
      </c>
      <c r="E360" s="6">
        <f t="shared" si="22"/>
        <v>-30171913.915849008</v>
      </c>
      <c r="F360" s="6"/>
    </row>
    <row r="361" spans="1:6" ht="15.75" customHeight="1">
      <c r="A361" s="4">
        <f t="shared" si="19"/>
        <v>349</v>
      </c>
      <c r="B361" s="9">
        <f t="shared" si="18"/>
        <v>133225.94584715654</v>
      </c>
      <c r="C361" s="9">
        <f t="shared" si="20"/>
        <v>133225.94584715654</v>
      </c>
      <c r="D361" s="9">
        <f t="shared" si="21"/>
        <v>0</v>
      </c>
      <c r="E361" s="6">
        <f t="shared" si="22"/>
        <v>-30305139.861696165</v>
      </c>
      <c r="F361" s="6"/>
    </row>
    <row r="362" spans="1:6" ht="15.75" customHeight="1">
      <c r="A362" s="4">
        <f t="shared" si="19"/>
        <v>350</v>
      </c>
      <c r="B362" s="9">
        <f t="shared" si="18"/>
        <v>133225.94584715654</v>
      </c>
      <c r="C362" s="9">
        <f t="shared" si="20"/>
        <v>133225.94584715654</v>
      </c>
      <c r="D362" s="9">
        <f t="shared" si="21"/>
        <v>0</v>
      </c>
      <c r="E362" s="6">
        <f t="shared" si="22"/>
        <v>-30438365.807543322</v>
      </c>
      <c r="F362" s="6"/>
    </row>
    <row r="363" spans="1:6" ht="15.75" customHeight="1">
      <c r="A363" s="4">
        <f t="shared" si="19"/>
        <v>351</v>
      </c>
      <c r="B363" s="9">
        <f t="shared" si="18"/>
        <v>133225.94584715654</v>
      </c>
      <c r="C363" s="9">
        <f t="shared" si="20"/>
        <v>133225.94584715654</v>
      </c>
      <c r="D363" s="9">
        <f t="shared" si="21"/>
        <v>0</v>
      </c>
      <c r="E363" s="6">
        <f t="shared" si="22"/>
        <v>-30571591.75339048</v>
      </c>
      <c r="F363" s="6"/>
    </row>
    <row r="364" spans="1:6" ht="15.75" customHeight="1">
      <c r="A364" s="4">
        <f t="shared" si="19"/>
        <v>352</v>
      </c>
      <c r="B364" s="9">
        <f t="shared" si="18"/>
        <v>133225.94584715654</v>
      </c>
      <c r="C364" s="9">
        <f t="shared" si="20"/>
        <v>133225.94584715654</v>
      </c>
      <c r="D364" s="9">
        <f t="shared" si="21"/>
        <v>0</v>
      </c>
      <c r="E364" s="6">
        <f t="shared" si="22"/>
        <v>-30704817.699237637</v>
      </c>
      <c r="F364" s="6"/>
    </row>
    <row r="365" spans="1:6" ht="15.75" customHeight="1">
      <c r="A365" s="4">
        <f t="shared" si="19"/>
        <v>353</v>
      </c>
      <c r="B365" s="9">
        <f t="shared" si="18"/>
        <v>133225.94584715654</v>
      </c>
      <c r="C365" s="9">
        <f t="shared" si="20"/>
        <v>133225.94584715654</v>
      </c>
      <c r="D365" s="9">
        <f t="shared" si="21"/>
        <v>0</v>
      </c>
      <c r="E365" s="6">
        <f t="shared" si="22"/>
        <v>-30838043.645084795</v>
      </c>
      <c r="F365" s="6"/>
    </row>
    <row r="366" spans="1:6" ht="15.75" customHeight="1">
      <c r="A366" s="4">
        <f t="shared" si="19"/>
        <v>354</v>
      </c>
      <c r="B366" s="9">
        <f t="shared" si="18"/>
        <v>133225.94584715654</v>
      </c>
      <c r="C366" s="9">
        <f t="shared" si="20"/>
        <v>133225.94584715654</v>
      </c>
      <c r="D366" s="9">
        <f t="shared" si="21"/>
        <v>0</v>
      </c>
      <c r="E366" s="6">
        <f t="shared" si="22"/>
        <v>-30971269.590931952</v>
      </c>
      <c r="F366" s="6"/>
    </row>
    <row r="367" spans="1:6" ht="15.75" customHeight="1">
      <c r="A367" s="4">
        <f t="shared" si="19"/>
        <v>355</v>
      </c>
      <c r="B367" s="9">
        <f t="shared" si="18"/>
        <v>133225.94584715654</v>
      </c>
      <c r="C367" s="9">
        <f t="shared" si="20"/>
        <v>133225.94584715654</v>
      </c>
      <c r="D367" s="9">
        <f t="shared" si="21"/>
        <v>0</v>
      </c>
      <c r="E367" s="6">
        <f t="shared" si="22"/>
        <v>-31104495.536779109</v>
      </c>
      <c r="F367" s="6"/>
    </row>
    <row r="368" spans="1:6" ht="15.75" customHeight="1">
      <c r="A368" s="4">
        <f t="shared" si="19"/>
        <v>356</v>
      </c>
      <c r="B368" s="9">
        <f t="shared" si="18"/>
        <v>133225.94584715654</v>
      </c>
      <c r="C368" s="9">
        <f t="shared" si="20"/>
        <v>133225.94584715654</v>
      </c>
      <c r="D368" s="9">
        <f t="shared" si="21"/>
        <v>0</v>
      </c>
      <c r="E368" s="6">
        <f t="shared" si="22"/>
        <v>-31237721.482626267</v>
      </c>
      <c r="F368" s="6"/>
    </row>
    <row r="369" spans="1:6" ht="15.75" customHeight="1">
      <c r="A369" s="4">
        <f t="shared" si="19"/>
        <v>357</v>
      </c>
      <c r="B369" s="9">
        <f t="shared" si="18"/>
        <v>133225.94584715654</v>
      </c>
      <c r="C369" s="9">
        <f t="shared" si="20"/>
        <v>133225.94584715654</v>
      </c>
      <c r="D369" s="9">
        <f t="shared" si="21"/>
        <v>0</v>
      </c>
      <c r="E369" s="6">
        <f t="shared" si="22"/>
        <v>-31370947.428473424</v>
      </c>
      <c r="F369" s="6"/>
    </row>
    <row r="370" spans="1:6" ht="15.75" customHeight="1">
      <c r="A370" s="4">
        <f t="shared" si="19"/>
        <v>358</v>
      </c>
      <c r="B370" s="9">
        <f t="shared" si="18"/>
        <v>133225.94584715654</v>
      </c>
      <c r="C370" s="9">
        <f t="shared" si="20"/>
        <v>133225.94584715654</v>
      </c>
      <c r="D370" s="9">
        <f t="shared" si="21"/>
        <v>0</v>
      </c>
      <c r="E370" s="6">
        <f t="shared" si="22"/>
        <v>-31504173.374320582</v>
      </c>
      <c r="F370" s="6"/>
    </row>
    <row r="371" spans="1:6" ht="15.75" customHeight="1">
      <c r="A371" s="4">
        <f t="shared" si="19"/>
        <v>359</v>
      </c>
      <c r="B371" s="9">
        <f t="shared" si="18"/>
        <v>133225.94584715654</v>
      </c>
      <c r="C371" s="9">
        <f t="shared" si="20"/>
        <v>133225.94584715654</v>
      </c>
      <c r="D371" s="9">
        <f t="shared" si="21"/>
        <v>0</v>
      </c>
      <c r="E371" s="6">
        <f t="shared" si="22"/>
        <v>-31637399.320167739</v>
      </c>
      <c r="F371" s="6"/>
    </row>
    <row r="372" spans="1:6" ht="15.75" customHeight="1">
      <c r="A372" s="4">
        <f t="shared" si="19"/>
        <v>360</v>
      </c>
      <c r="B372" s="9">
        <f t="shared" si="18"/>
        <v>133225.94584715654</v>
      </c>
      <c r="C372" s="9">
        <f t="shared" si="20"/>
        <v>133225.94584715654</v>
      </c>
      <c r="D372" s="9">
        <f t="shared" si="21"/>
        <v>0</v>
      </c>
      <c r="E372" s="6">
        <f t="shared" si="22"/>
        <v>-31770625.266014896</v>
      </c>
      <c r="F372" s="6"/>
    </row>
    <row r="373" spans="1:6" ht="15.75" customHeight="1">
      <c r="F373" s="6"/>
    </row>
    <row r="374" spans="1:6" ht="15.75" customHeight="1">
      <c r="F374" s="6"/>
    </row>
    <row r="375" spans="1:6" ht="15.75" customHeight="1">
      <c r="F375" s="6"/>
    </row>
    <row r="376" spans="1:6" ht="15.75" customHeight="1">
      <c r="F376" s="6"/>
    </row>
    <row r="377" spans="1:6" ht="15.75" customHeight="1">
      <c r="F377" s="6"/>
    </row>
    <row r="378" spans="1:6" ht="15.75" customHeight="1">
      <c r="F378" s="6"/>
    </row>
    <row r="379" spans="1:6" ht="15.75" customHeight="1">
      <c r="F379" s="6"/>
    </row>
    <row r="380" spans="1:6" ht="15.75" customHeight="1">
      <c r="F380" s="6"/>
    </row>
    <row r="381" spans="1:6" ht="15.75" customHeight="1">
      <c r="F381" s="6"/>
    </row>
    <row r="382" spans="1:6" ht="15.75" customHeight="1">
      <c r="F382" s="6"/>
    </row>
    <row r="383" spans="1:6" ht="15.75" customHeight="1">
      <c r="F383" s="6"/>
    </row>
    <row r="384" spans="1:6" ht="15.75" customHeight="1">
      <c r="F384" s="6"/>
    </row>
    <row r="385" spans="6:6" ht="15.75" customHeight="1">
      <c r="F385" s="6"/>
    </row>
    <row r="386" spans="6:6" ht="15.75" customHeight="1">
      <c r="F386" s="6"/>
    </row>
    <row r="387" spans="6:6" ht="15.75" customHeight="1">
      <c r="F387" s="6"/>
    </row>
    <row r="388" spans="6:6" ht="15.75" customHeight="1">
      <c r="F388" s="6"/>
    </row>
    <row r="389" spans="6:6" ht="15.75" customHeight="1">
      <c r="F389" s="6"/>
    </row>
    <row r="390" spans="6:6" ht="15.75" customHeight="1">
      <c r="F390" s="6"/>
    </row>
    <row r="391" spans="6:6" ht="15.75" customHeight="1">
      <c r="F391" s="6"/>
    </row>
    <row r="392" spans="6:6" ht="15.75" customHeight="1">
      <c r="F392" s="6"/>
    </row>
    <row r="393" spans="6:6" ht="15.75" customHeight="1">
      <c r="F393" s="6"/>
    </row>
    <row r="394" spans="6:6" ht="15.75" customHeight="1">
      <c r="F394" s="6"/>
    </row>
    <row r="395" spans="6:6" ht="15.75" customHeight="1">
      <c r="F395" s="6"/>
    </row>
    <row r="396" spans="6:6" ht="15.75" customHeight="1">
      <c r="F396" s="6"/>
    </row>
    <row r="397" spans="6:6" ht="15.75" customHeight="1">
      <c r="F397" s="6"/>
    </row>
    <row r="398" spans="6:6" ht="15.75" customHeight="1">
      <c r="F398" s="6"/>
    </row>
    <row r="399" spans="6:6" ht="15.75" customHeight="1">
      <c r="F399" s="6"/>
    </row>
    <row r="400" spans="6:6" ht="15.75" customHeight="1">
      <c r="F400" s="6"/>
    </row>
    <row r="401" spans="6:6" ht="15.75" customHeight="1">
      <c r="F401" s="6"/>
    </row>
    <row r="402" spans="6:6" ht="15.75" customHeight="1">
      <c r="F402" s="6"/>
    </row>
    <row r="403" spans="6:6" ht="15.75" customHeight="1">
      <c r="F403" s="6"/>
    </row>
    <row r="404" spans="6:6" ht="15.75" customHeight="1">
      <c r="F404" s="6"/>
    </row>
    <row r="405" spans="6:6" ht="15.75" customHeight="1">
      <c r="F405" s="6"/>
    </row>
    <row r="406" spans="6:6" ht="15.75" customHeight="1">
      <c r="F406" s="6"/>
    </row>
    <row r="407" spans="6:6" ht="15.75" customHeight="1">
      <c r="F407" s="6"/>
    </row>
    <row r="408" spans="6:6" ht="15.75" customHeight="1">
      <c r="F408" s="6"/>
    </row>
    <row r="409" spans="6:6" ht="15.75" customHeight="1">
      <c r="F409" s="6"/>
    </row>
    <row r="410" spans="6:6" ht="15.75" customHeight="1">
      <c r="F410" s="6"/>
    </row>
    <row r="411" spans="6:6" ht="15.75" customHeight="1">
      <c r="F411" s="6"/>
    </row>
    <row r="412" spans="6:6" ht="15.75" customHeight="1">
      <c r="F412" s="6"/>
    </row>
    <row r="413" spans="6:6" ht="15.75" customHeight="1">
      <c r="F413" s="6"/>
    </row>
    <row r="414" spans="6:6" ht="15.75" customHeight="1">
      <c r="F414" s="6"/>
    </row>
    <row r="415" spans="6:6" ht="15.75" customHeight="1">
      <c r="F415" s="6"/>
    </row>
    <row r="416" spans="6:6" ht="15.75" customHeight="1">
      <c r="F416" s="6"/>
    </row>
    <row r="417" spans="6:6" ht="15.75" customHeight="1">
      <c r="F417" s="6"/>
    </row>
    <row r="418" spans="6:6" ht="15.75" customHeight="1">
      <c r="F418" s="6"/>
    </row>
    <row r="419" spans="6:6" ht="15.75" customHeight="1">
      <c r="F419" s="6"/>
    </row>
    <row r="420" spans="6:6" ht="15.75" customHeight="1">
      <c r="F420" s="6"/>
    </row>
    <row r="421" spans="6:6" ht="15.75" customHeight="1">
      <c r="F421" s="6"/>
    </row>
    <row r="422" spans="6:6" ht="15.75" customHeight="1">
      <c r="F422" s="6"/>
    </row>
    <row r="423" spans="6:6" ht="15.75" customHeight="1">
      <c r="F423" s="6"/>
    </row>
    <row r="424" spans="6:6" ht="15.75" customHeight="1">
      <c r="F424" s="6"/>
    </row>
    <row r="425" spans="6:6" ht="15.75" customHeight="1">
      <c r="F425" s="6"/>
    </row>
    <row r="426" spans="6:6" ht="15.75" customHeight="1">
      <c r="F426" s="6"/>
    </row>
    <row r="427" spans="6:6" ht="15.75" customHeight="1">
      <c r="F427" s="6"/>
    </row>
    <row r="428" spans="6:6" ht="15.75" customHeight="1">
      <c r="F428" s="6"/>
    </row>
    <row r="429" spans="6:6" ht="15.75" customHeight="1">
      <c r="F429" s="6"/>
    </row>
    <row r="430" spans="6:6" ht="15.75" customHeight="1">
      <c r="F430" s="6"/>
    </row>
    <row r="431" spans="6:6" ht="15.75" customHeight="1">
      <c r="F431" s="6"/>
    </row>
    <row r="432" spans="6:6" ht="15.75" customHeight="1">
      <c r="F432" s="6"/>
    </row>
    <row r="433" spans="6:6" ht="15.75" customHeight="1">
      <c r="F433" s="6"/>
    </row>
    <row r="434" spans="6:6" ht="15.75" customHeight="1">
      <c r="F434" s="6"/>
    </row>
    <row r="435" spans="6:6" ht="15.75" customHeight="1">
      <c r="F435" s="6"/>
    </row>
    <row r="436" spans="6:6" ht="15.75" customHeight="1">
      <c r="F436" s="6"/>
    </row>
    <row r="437" spans="6:6" ht="15.75" customHeight="1">
      <c r="F437" s="6"/>
    </row>
    <row r="438" spans="6:6" ht="15.75" customHeight="1">
      <c r="F438" s="6"/>
    </row>
    <row r="439" spans="6:6" ht="15.75" customHeight="1">
      <c r="F439" s="6"/>
    </row>
    <row r="440" spans="6:6" ht="15.75" customHeight="1">
      <c r="F440" s="6"/>
    </row>
    <row r="441" spans="6:6" ht="15.75" customHeight="1">
      <c r="F441" s="6"/>
    </row>
    <row r="442" spans="6:6" ht="15.75" customHeight="1">
      <c r="F442" s="6"/>
    </row>
    <row r="443" spans="6:6" ht="15.75" customHeight="1">
      <c r="F443" s="6"/>
    </row>
    <row r="444" spans="6:6" ht="15.75" customHeight="1">
      <c r="F444" s="6"/>
    </row>
    <row r="445" spans="6:6" ht="15.75" customHeight="1">
      <c r="F445" s="6"/>
    </row>
    <row r="446" spans="6:6" ht="15.75" customHeight="1">
      <c r="F446" s="6"/>
    </row>
    <row r="447" spans="6:6" ht="15.75" customHeight="1">
      <c r="F447" s="6"/>
    </row>
    <row r="448" spans="6:6" ht="15.75" customHeight="1">
      <c r="F448" s="6"/>
    </row>
    <row r="449" spans="6:6" ht="15.75" customHeight="1">
      <c r="F449" s="6"/>
    </row>
    <row r="450" spans="6:6" ht="15.75" customHeight="1">
      <c r="F450" s="6"/>
    </row>
    <row r="451" spans="6:6" ht="15.75" customHeight="1">
      <c r="F451" s="6"/>
    </row>
    <row r="452" spans="6:6" ht="15.75" customHeight="1">
      <c r="F452" s="6"/>
    </row>
    <row r="453" spans="6:6" ht="15.75" customHeight="1">
      <c r="F453" s="6"/>
    </row>
    <row r="454" spans="6:6" ht="15.75" customHeight="1">
      <c r="F454" s="6"/>
    </row>
    <row r="455" spans="6:6" ht="15.75" customHeight="1">
      <c r="F455" s="6"/>
    </row>
    <row r="456" spans="6:6" ht="15.75" customHeight="1">
      <c r="F456" s="6"/>
    </row>
    <row r="457" spans="6:6" ht="15.75" customHeight="1">
      <c r="F457" s="6"/>
    </row>
    <row r="458" spans="6:6" ht="15.75" customHeight="1">
      <c r="F458" s="6"/>
    </row>
    <row r="459" spans="6:6" ht="15.75" customHeight="1">
      <c r="F459" s="6"/>
    </row>
    <row r="460" spans="6:6" ht="15.75" customHeight="1">
      <c r="F460" s="6"/>
    </row>
    <row r="461" spans="6:6" ht="15.75" customHeight="1">
      <c r="F461" s="6"/>
    </row>
    <row r="462" spans="6:6" ht="15.75" customHeight="1">
      <c r="F462" s="6"/>
    </row>
    <row r="463" spans="6:6" ht="15.75" customHeight="1">
      <c r="F463" s="6"/>
    </row>
    <row r="464" spans="6:6" ht="15.75" customHeight="1">
      <c r="F464" s="6"/>
    </row>
    <row r="465" spans="6:6" ht="15.75" customHeight="1">
      <c r="F465" s="6"/>
    </row>
    <row r="466" spans="6:6" ht="15.75" customHeight="1">
      <c r="F466" s="6"/>
    </row>
    <row r="467" spans="6:6" ht="15.75" customHeight="1">
      <c r="F467" s="6"/>
    </row>
    <row r="468" spans="6:6" ht="15.75" customHeight="1">
      <c r="F468" s="6"/>
    </row>
    <row r="469" spans="6:6" ht="15.75" customHeight="1">
      <c r="F469" s="6"/>
    </row>
    <row r="470" spans="6:6" ht="15.75" customHeight="1">
      <c r="F470" s="6"/>
    </row>
    <row r="471" spans="6:6" ht="15.75" customHeight="1">
      <c r="F471" s="6"/>
    </row>
    <row r="472" spans="6:6" ht="15.75" customHeight="1">
      <c r="F472" s="6"/>
    </row>
    <row r="473" spans="6:6" ht="15.75" customHeight="1">
      <c r="F473" s="6"/>
    </row>
    <row r="474" spans="6:6" ht="15.75" customHeight="1">
      <c r="F474" s="6"/>
    </row>
    <row r="475" spans="6:6" ht="15.75" customHeight="1">
      <c r="F475" s="6"/>
    </row>
    <row r="476" spans="6:6" ht="15.75" customHeight="1">
      <c r="F476" s="6"/>
    </row>
    <row r="477" spans="6:6" ht="15.75" customHeight="1">
      <c r="F477" s="6"/>
    </row>
    <row r="478" spans="6:6" ht="15.75" customHeight="1">
      <c r="F478" s="6"/>
    </row>
    <row r="479" spans="6:6" ht="15.75" customHeight="1">
      <c r="F479" s="6"/>
    </row>
    <row r="480" spans="6:6" ht="15.75" customHeight="1">
      <c r="F480" s="6"/>
    </row>
    <row r="481" spans="6:6" ht="15.75" customHeight="1">
      <c r="F481" s="6"/>
    </row>
    <row r="482" spans="6:6" ht="15.75" customHeight="1">
      <c r="F482" s="6"/>
    </row>
    <row r="483" spans="6:6" ht="15.75" customHeight="1">
      <c r="F483" s="6"/>
    </row>
    <row r="484" spans="6:6" ht="15.75" customHeight="1">
      <c r="F484" s="6"/>
    </row>
    <row r="485" spans="6:6" ht="15.75" customHeight="1">
      <c r="F485" s="6"/>
    </row>
    <row r="486" spans="6:6" ht="15.75" customHeight="1">
      <c r="F486" s="6"/>
    </row>
    <row r="487" spans="6:6" ht="15.75" customHeight="1">
      <c r="F487" s="6"/>
    </row>
    <row r="488" spans="6:6" ht="15.75" customHeight="1">
      <c r="F488" s="6"/>
    </row>
    <row r="489" spans="6:6" ht="15.75" customHeight="1">
      <c r="F489" s="6"/>
    </row>
    <row r="490" spans="6:6" ht="15.75" customHeight="1">
      <c r="F490" s="6"/>
    </row>
    <row r="491" spans="6:6" ht="15.75" customHeight="1">
      <c r="F491" s="6"/>
    </row>
    <row r="492" spans="6:6" ht="15.75" customHeight="1">
      <c r="F492" s="6"/>
    </row>
    <row r="493" spans="6:6" ht="15.75" customHeight="1">
      <c r="F493" s="6"/>
    </row>
    <row r="494" spans="6:6" ht="15.75" customHeight="1">
      <c r="F494" s="6"/>
    </row>
    <row r="495" spans="6:6" ht="15.75" customHeight="1">
      <c r="F495" s="6"/>
    </row>
    <row r="496" spans="6:6" ht="15.75" customHeight="1">
      <c r="F496" s="6"/>
    </row>
    <row r="497" spans="6:6" ht="15.75" customHeight="1">
      <c r="F497" s="6"/>
    </row>
    <row r="498" spans="6:6" ht="15.75" customHeight="1">
      <c r="F498" s="6"/>
    </row>
    <row r="499" spans="6:6" ht="15.75" customHeight="1">
      <c r="F499" s="6"/>
    </row>
    <row r="500" spans="6:6" ht="15.75" customHeight="1">
      <c r="F500" s="6"/>
    </row>
    <row r="501" spans="6:6" ht="15.75" customHeight="1">
      <c r="F501" s="6"/>
    </row>
    <row r="502" spans="6:6" ht="15.75" customHeight="1">
      <c r="F502" s="6"/>
    </row>
    <row r="503" spans="6:6" ht="15.75" customHeight="1">
      <c r="F503" s="6"/>
    </row>
    <row r="504" spans="6:6" ht="15.75" customHeight="1">
      <c r="F504" s="6"/>
    </row>
    <row r="505" spans="6:6" ht="15.75" customHeight="1">
      <c r="F505" s="6"/>
    </row>
    <row r="506" spans="6:6" ht="15.75" customHeight="1">
      <c r="F506" s="6"/>
    </row>
    <row r="507" spans="6:6" ht="15.75" customHeight="1">
      <c r="F507" s="6"/>
    </row>
    <row r="508" spans="6:6" ht="15.75" customHeight="1">
      <c r="F508" s="6"/>
    </row>
    <row r="509" spans="6:6" ht="15.75" customHeight="1">
      <c r="F509" s="6"/>
    </row>
    <row r="510" spans="6:6" ht="15.75" customHeight="1">
      <c r="F510" s="6"/>
    </row>
    <row r="511" spans="6:6" ht="15.75" customHeight="1">
      <c r="F511" s="6"/>
    </row>
    <row r="512" spans="6:6" ht="15.75" customHeight="1">
      <c r="F512" s="6"/>
    </row>
    <row r="513" spans="6:6" ht="15.75" customHeight="1">
      <c r="F513" s="6"/>
    </row>
    <row r="514" spans="6:6" ht="15.75" customHeight="1">
      <c r="F514" s="6"/>
    </row>
    <row r="515" spans="6:6" ht="15.75" customHeight="1">
      <c r="F515" s="6"/>
    </row>
    <row r="516" spans="6:6" ht="15.75" customHeight="1">
      <c r="F516" s="6"/>
    </row>
    <row r="517" spans="6:6" ht="15.75" customHeight="1">
      <c r="F517" s="6"/>
    </row>
    <row r="518" spans="6:6" ht="15.75" customHeight="1">
      <c r="F518" s="6"/>
    </row>
    <row r="519" spans="6:6" ht="15.75" customHeight="1">
      <c r="F519" s="6"/>
    </row>
    <row r="520" spans="6:6" ht="15.75" customHeight="1">
      <c r="F520" s="6"/>
    </row>
    <row r="521" spans="6:6" ht="15.75" customHeight="1">
      <c r="F521" s="6"/>
    </row>
    <row r="522" spans="6:6" ht="15.75" customHeight="1">
      <c r="F522" s="6"/>
    </row>
    <row r="523" spans="6:6" ht="15.75" customHeight="1">
      <c r="F523" s="6"/>
    </row>
    <row r="524" spans="6:6" ht="15.75" customHeight="1">
      <c r="F524" s="6"/>
    </row>
    <row r="525" spans="6:6" ht="15.75" customHeight="1">
      <c r="F525" s="6"/>
    </row>
    <row r="526" spans="6:6" ht="15.75" customHeight="1">
      <c r="F526" s="6"/>
    </row>
    <row r="527" spans="6:6" ht="15.75" customHeight="1">
      <c r="F527" s="6"/>
    </row>
    <row r="528" spans="6:6" ht="15.75" customHeight="1">
      <c r="F528" s="6"/>
    </row>
    <row r="529" spans="6:6" ht="15.75" customHeight="1">
      <c r="F529" s="6"/>
    </row>
    <row r="530" spans="6:6" ht="15.75" customHeight="1">
      <c r="F530" s="6"/>
    </row>
    <row r="531" spans="6:6" ht="15.75" customHeight="1">
      <c r="F531" s="6"/>
    </row>
    <row r="532" spans="6:6" ht="15.75" customHeight="1">
      <c r="F532" s="6"/>
    </row>
    <row r="533" spans="6:6" ht="15.75" customHeight="1">
      <c r="F533" s="6"/>
    </row>
    <row r="534" spans="6:6" ht="15.75" customHeight="1">
      <c r="F534" s="6"/>
    </row>
    <row r="535" spans="6:6" ht="15.75" customHeight="1">
      <c r="F535" s="6"/>
    </row>
    <row r="536" spans="6:6" ht="15.75" customHeight="1">
      <c r="F536" s="6"/>
    </row>
    <row r="537" spans="6:6" ht="15.75" customHeight="1">
      <c r="F537" s="6"/>
    </row>
    <row r="538" spans="6:6" ht="15.75" customHeight="1">
      <c r="F538" s="6"/>
    </row>
    <row r="539" spans="6:6" ht="15.75" customHeight="1">
      <c r="F539" s="6"/>
    </row>
    <row r="540" spans="6:6" ht="15.75" customHeight="1">
      <c r="F540" s="6"/>
    </row>
    <row r="541" spans="6:6" ht="15.75" customHeight="1">
      <c r="F541" s="6"/>
    </row>
    <row r="542" spans="6:6" ht="15.75" customHeight="1">
      <c r="F542" s="6"/>
    </row>
    <row r="543" spans="6:6" ht="15.75" customHeight="1">
      <c r="F543" s="6"/>
    </row>
    <row r="544" spans="6:6" ht="15.75" customHeight="1">
      <c r="F544" s="6"/>
    </row>
    <row r="545" spans="6:6" ht="15.75" customHeight="1">
      <c r="F545" s="6"/>
    </row>
    <row r="546" spans="6:6" ht="15.75" customHeight="1">
      <c r="F546" s="6"/>
    </row>
    <row r="547" spans="6:6" ht="15.75" customHeight="1">
      <c r="F547" s="6"/>
    </row>
    <row r="548" spans="6:6" ht="15.75" customHeight="1">
      <c r="F548" s="6"/>
    </row>
    <row r="549" spans="6:6" ht="15.75" customHeight="1">
      <c r="F549" s="6"/>
    </row>
    <row r="550" spans="6:6" ht="15.75" customHeight="1">
      <c r="F550" s="6"/>
    </row>
    <row r="551" spans="6:6" ht="15.75" customHeight="1">
      <c r="F551" s="6"/>
    </row>
    <row r="552" spans="6:6" ht="15.75" customHeight="1">
      <c r="F552" s="6"/>
    </row>
    <row r="553" spans="6:6" ht="15.75" customHeight="1">
      <c r="F553" s="6"/>
    </row>
    <row r="554" spans="6:6" ht="15.75" customHeight="1">
      <c r="F554" s="6"/>
    </row>
    <row r="555" spans="6:6" ht="15.75" customHeight="1">
      <c r="F555" s="6"/>
    </row>
    <row r="556" spans="6:6" ht="15.75" customHeight="1">
      <c r="F556" s="6"/>
    </row>
    <row r="557" spans="6:6" ht="15.75" customHeight="1">
      <c r="F557" s="6"/>
    </row>
    <row r="558" spans="6:6" ht="15.75" customHeight="1">
      <c r="F558" s="6"/>
    </row>
    <row r="559" spans="6:6" ht="15.75" customHeight="1">
      <c r="F559" s="6"/>
    </row>
    <row r="560" spans="6:6" ht="15.75" customHeight="1">
      <c r="F560" s="6"/>
    </row>
    <row r="561" spans="6:6" ht="15.75" customHeight="1">
      <c r="F561" s="6"/>
    </row>
    <row r="562" spans="6:6" ht="15.75" customHeight="1">
      <c r="F562" s="6"/>
    </row>
    <row r="563" spans="6:6" ht="15.75" customHeight="1">
      <c r="F563" s="6"/>
    </row>
    <row r="564" spans="6:6" ht="15.75" customHeight="1">
      <c r="F564" s="6"/>
    </row>
    <row r="565" spans="6:6" ht="15.75" customHeight="1">
      <c r="F565" s="6"/>
    </row>
    <row r="566" spans="6:6" ht="15.75" customHeight="1">
      <c r="F566" s="6"/>
    </row>
    <row r="567" spans="6:6" ht="15.75" customHeight="1">
      <c r="F567" s="6"/>
    </row>
    <row r="568" spans="6:6" ht="15.75" customHeight="1">
      <c r="F568" s="6"/>
    </row>
    <row r="569" spans="6:6" ht="15.75" customHeight="1">
      <c r="F569" s="6"/>
    </row>
    <row r="570" spans="6:6" ht="15.75" customHeight="1">
      <c r="F570" s="6"/>
    </row>
    <row r="571" spans="6:6" ht="15.75" customHeight="1">
      <c r="F571" s="6"/>
    </row>
    <row r="572" spans="6:6" ht="15.75" customHeight="1">
      <c r="F572" s="6"/>
    </row>
    <row r="573" spans="6:6" ht="15.75" customHeight="1">
      <c r="F573" s="6"/>
    </row>
    <row r="574" spans="6:6" ht="15.75" customHeight="1">
      <c r="F574" s="6"/>
    </row>
    <row r="575" spans="6:6" ht="15.75" customHeight="1">
      <c r="F575" s="6"/>
    </row>
    <row r="576" spans="6:6" ht="15.75" customHeight="1">
      <c r="F576" s="6"/>
    </row>
    <row r="577" spans="6:6" ht="15.75" customHeight="1">
      <c r="F577" s="6"/>
    </row>
    <row r="578" spans="6:6" ht="15.75" customHeight="1">
      <c r="F578" s="6"/>
    </row>
    <row r="579" spans="6:6" ht="15.75" customHeight="1">
      <c r="F579" s="6"/>
    </row>
    <row r="580" spans="6:6" ht="15.75" customHeight="1">
      <c r="F580" s="6"/>
    </row>
    <row r="581" spans="6:6" ht="15.75" customHeight="1">
      <c r="F581" s="6"/>
    </row>
    <row r="582" spans="6:6" ht="15.75" customHeight="1">
      <c r="F582" s="6"/>
    </row>
    <row r="583" spans="6:6" ht="15.75" customHeight="1">
      <c r="F583" s="6"/>
    </row>
    <row r="584" spans="6:6" ht="15.75" customHeight="1">
      <c r="F584" s="6"/>
    </row>
    <row r="585" spans="6:6" ht="15.75" customHeight="1">
      <c r="F585" s="6"/>
    </row>
    <row r="586" spans="6:6" ht="15.75" customHeight="1">
      <c r="F586" s="6"/>
    </row>
    <row r="587" spans="6:6" ht="15.75" customHeight="1">
      <c r="F587" s="6"/>
    </row>
    <row r="588" spans="6:6" ht="15.75" customHeight="1">
      <c r="F588" s="6"/>
    </row>
    <row r="589" spans="6:6" ht="15.75" customHeight="1">
      <c r="F589" s="6"/>
    </row>
    <row r="590" spans="6:6" ht="15.75" customHeight="1">
      <c r="F590" s="6"/>
    </row>
    <row r="591" spans="6:6" ht="15.75" customHeight="1">
      <c r="F591" s="6"/>
    </row>
    <row r="592" spans="6:6" ht="15.75" customHeight="1">
      <c r="F592" s="6"/>
    </row>
    <row r="593" spans="6:6" ht="15.75" customHeight="1">
      <c r="F593" s="6"/>
    </row>
    <row r="594" spans="6:6" ht="15.75" customHeight="1">
      <c r="F594" s="6"/>
    </row>
    <row r="595" spans="6:6" ht="15.75" customHeight="1">
      <c r="F595" s="6"/>
    </row>
    <row r="596" spans="6:6" ht="15.75" customHeight="1">
      <c r="F596" s="6"/>
    </row>
    <row r="597" spans="6:6" ht="15.75" customHeight="1">
      <c r="F597" s="6"/>
    </row>
    <row r="598" spans="6:6" ht="15.75" customHeight="1">
      <c r="F598" s="6"/>
    </row>
    <row r="599" spans="6:6" ht="15.75" customHeight="1">
      <c r="F599" s="6"/>
    </row>
    <row r="600" spans="6:6" ht="15.75" customHeight="1">
      <c r="F600" s="6"/>
    </row>
    <row r="601" spans="6:6" ht="15.75" customHeight="1">
      <c r="F601" s="6"/>
    </row>
    <row r="602" spans="6:6" ht="15.75" customHeight="1">
      <c r="F602" s="6"/>
    </row>
    <row r="603" spans="6:6" ht="15.75" customHeight="1">
      <c r="F603" s="6"/>
    </row>
    <row r="604" spans="6:6" ht="15.75" customHeight="1">
      <c r="F604" s="6"/>
    </row>
    <row r="605" spans="6:6" ht="15.75" customHeight="1">
      <c r="F605" s="6"/>
    </row>
    <row r="606" spans="6:6" ht="15.75" customHeight="1">
      <c r="F606" s="6"/>
    </row>
    <row r="607" spans="6:6" ht="15.75" customHeight="1">
      <c r="F607" s="6"/>
    </row>
    <row r="608" spans="6:6" ht="15.75" customHeight="1">
      <c r="F608" s="6"/>
    </row>
    <row r="609" spans="6:6" ht="15.75" customHeight="1">
      <c r="F609" s="6"/>
    </row>
    <row r="610" spans="6:6" ht="15.75" customHeight="1">
      <c r="F610" s="6"/>
    </row>
    <row r="611" spans="6:6" ht="15.75" customHeight="1">
      <c r="F611" s="6"/>
    </row>
    <row r="612" spans="6:6" ht="15.75" customHeight="1">
      <c r="F612" s="6"/>
    </row>
    <row r="613" spans="6:6" ht="15.75" customHeight="1">
      <c r="F613" s="6"/>
    </row>
    <row r="614" spans="6:6" ht="15.75" customHeight="1">
      <c r="F614" s="6"/>
    </row>
    <row r="615" spans="6:6" ht="15.75" customHeight="1">
      <c r="F615" s="6"/>
    </row>
    <row r="616" spans="6:6" ht="15.75" customHeight="1">
      <c r="F616" s="6"/>
    </row>
    <row r="617" spans="6:6" ht="15.75" customHeight="1">
      <c r="F617" s="6"/>
    </row>
    <row r="618" spans="6:6" ht="15.75" customHeight="1">
      <c r="F618" s="6"/>
    </row>
    <row r="619" spans="6:6" ht="15.75" customHeight="1">
      <c r="F619" s="6"/>
    </row>
    <row r="620" spans="6:6" ht="15.75" customHeight="1">
      <c r="F620" s="6"/>
    </row>
    <row r="621" spans="6:6" ht="15.75" customHeight="1">
      <c r="F621" s="6"/>
    </row>
    <row r="622" spans="6:6" ht="15.75" customHeight="1">
      <c r="F622" s="6"/>
    </row>
    <row r="623" spans="6:6" ht="15.75" customHeight="1">
      <c r="F623" s="6"/>
    </row>
    <row r="624" spans="6:6" ht="15.75" customHeight="1">
      <c r="F624" s="6"/>
    </row>
    <row r="625" spans="6:6" ht="15.75" customHeight="1">
      <c r="F625" s="6"/>
    </row>
    <row r="626" spans="6:6" ht="15.75" customHeight="1">
      <c r="F626" s="6"/>
    </row>
    <row r="627" spans="6:6" ht="15.75" customHeight="1">
      <c r="F627" s="6"/>
    </row>
    <row r="628" spans="6:6" ht="15.75" customHeight="1">
      <c r="F628" s="6"/>
    </row>
    <row r="629" spans="6:6" ht="15.75" customHeight="1">
      <c r="F629" s="6"/>
    </row>
    <row r="630" spans="6:6" ht="15.75" customHeight="1">
      <c r="F630" s="6"/>
    </row>
    <row r="631" spans="6:6" ht="15.75" customHeight="1">
      <c r="F631" s="6"/>
    </row>
    <row r="632" spans="6:6" ht="15.75" customHeight="1">
      <c r="F632" s="6"/>
    </row>
    <row r="633" spans="6:6" ht="15.75" customHeight="1">
      <c r="F633" s="6"/>
    </row>
    <row r="634" spans="6:6" ht="15.75" customHeight="1">
      <c r="F634" s="6"/>
    </row>
    <row r="635" spans="6:6" ht="15.75" customHeight="1">
      <c r="F635" s="6"/>
    </row>
    <row r="636" spans="6:6" ht="15.75" customHeight="1">
      <c r="F636" s="6"/>
    </row>
    <row r="637" spans="6:6" ht="15.75" customHeight="1">
      <c r="F637" s="6"/>
    </row>
    <row r="638" spans="6:6" ht="15.75" customHeight="1">
      <c r="F638" s="6"/>
    </row>
    <row r="639" spans="6:6" ht="15.75" customHeight="1">
      <c r="F639" s="6"/>
    </row>
    <row r="640" spans="6:6" ht="15.75" customHeight="1">
      <c r="F640" s="6"/>
    </row>
    <row r="641" spans="6:6" ht="15.75" customHeight="1">
      <c r="F641" s="6"/>
    </row>
    <row r="642" spans="6:6" ht="15.75" customHeight="1">
      <c r="F642" s="6"/>
    </row>
    <row r="643" spans="6:6" ht="15.75" customHeight="1">
      <c r="F643" s="6"/>
    </row>
    <row r="644" spans="6:6" ht="15.75" customHeight="1">
      <c r="F644" s="6"/>
    </row>
    <row r="645" spans="6:6" ht="15.75" customHeight="1">
      <c r="F645" s="6"/>
    </row>
    <row r="646" spans="6:6" ht="15.75" customHeight="1">
      <c r="F646" s="6"/>
    </row>
    <row r="647" spans="6:6" ht="15.75" customHeight="1">
      <c r="F647" s="6"/>
    </row>
    <row r="648" spans="6:6" ht="15.75" customHeight="1">
      <c r="F648" s="6"/>
    </row>
    <row r="649" spans="6:6" ht="15.75" customHeight="1">
      <c r="F649" s="6"/>
    </row>
    <row r="650" spans="6:6" ht="15.75" customHeight="1">
      <c r="F650" s="6"/>
    </row>
    <row r="651" spans="6:6" ht="15.75" customHeight="1">
      <c r="F651" s="6"/>
    </row>
    <row r="652" spans="6:6" ht="15.75" customHeight="1">
      <c r="F652" s="6"/>
    </row>
    <row r="653" spans="6:6" ht="15.75" customHeight="1">
      <c r="F653" s="6"/>
    </row>
    <row r="654" spans="6:6" ht="15.75" customHeight="1">
      <c r="F654" s="6"/>
    </row>
    <row r="655" spans="6:6" ht="15.75" customHeight="1">
      <c r="F655" s="6"/>
    </row>
    <row r="656" spans="6:6" ht="15.75" customHeight="1">
      <c r="F656" s="6"/>
    </row>
    <row r="657" spans="6:6" ht="15.75" customHeight="1">
      <c r="F657" s="6"/>
    </row>
    <row r="658" spans="6:6" ht="15.75" customHeight="1">
      <c r="F658" s="6"/>
    </row>
    <row r="659" spans="6:6" ht="15.75" customHeight="1">
      <c r="F659" s="6"/>
    </row>
    <row r="660" spans="6:6" ht="15.75" customHeight="1">
      <c r="F660" s="6"/>
    </row>
    <row r="661" spans="6:6" ht="15.75" customHeight="1">
      <c r="F661" s="6"/>
    </row>
    <row r="662" spans="6:6" ht="15.75" customHeight="1">
      <c r="F662" s="6"/>
    </row>
    <row r="663" spans="6:6" ht="15.75" customHeight="1">
      <c r="F663" s="6"/>
    </row>
    <row r="664" spans="6:6" ht="15.75" customHeight="1">
      <c r="F664" s="6"/>
    </row>
    <row r="665" spans="6:6" ht="15.75" customHeight="1">
      <c r="F665" s="6"/>
    </row>
    <row r="666" spans="6:6" ht="15.75" customHeight="1">
      <c r="F666" s="6"/>
    </row>
    <row r="667" spans="6:6" ht="15.75" customHeight="1">
      <c r="F667" s="6"/>
    </row>
    <row r="668" spans="6:6" ht="15.75" customHeight="1">
      <c r="F668" s="6"/>
    </row>
    <row r="669" spans="6:6" ht="15.75" customHeight="1">
      <c r="F669" s="6"/>
    </row>
    <row r="670" spans="6:6" ht="15.75" customHeight="1">
      <c r="F670" s="6"/>
    </row>
    <row r="671" spans="6:6" ht="15.75" customHeight="1">
      <c r="F671" s="6"/>
    </row>
    <row r="672" spans="6:6" ht="15.75" customHeight="1">
      <c r="F672" s="6"/>
    </row>
    <row r="673" spans="6:6" ht="15.75" customHeight="1">
      <c r="F673" s="6"/>
    </row>
    <row r="674" spans="6:6" ht="15.75" customHeight="1">
      <c r="F674" s="6"/>
    </row>
    <row r="675" spans="6:6" ht="15.75" customHeight="1">
      <c r="F675" s="6"/>
    </row>
    <row r="676" spans="6:6" ht="15.75" customHeight="1">
      <c r="F676" s="6"/>
    </row>
    <row r="677" spans="6:6" ht="15.75" customHeight="1">
      <c r="F677" s="6"/>
    </row>
    <row r="678" spans="6:6" ht="15.75" customHeight="1">
      <c r="F678" s="6"/>
    </row>
    <row r="679" spans="6:6" ht="15.75" customHeight="1">
      <c r="F679" s="6"/>
    </row>
    <row r="680" spans="6:6" ht="15.75" customHeight="1">
      <c r="F680" s="6"/>
    </row>
    <row r="681" spans="6:6" ht="15.75" customHeight="1">
      <c r="F681" s="6"/>
    </row>
    <row r="682" spans="6:6" ht="15.75" customHeight="1">
      <c r="F682" s="6"/>
    </row>
    <row r="683" spans="6:6" ht="15.75" customHeight="1">
      <c r="F683" s="6"/>
    </row>
    <row r="684" spans="6:6" ht="15.75" customHeight="1">
      <c r="F684" s="6"/>
    </row>
    <row r="685" spans="6:6" ht="15.75" customHeight="1">
      <c r="F685" s="6"/>
    </row>
    <row r="686" spans="6:6" ht="15.75" customHeight="1">
      <c r="F686" s="6"/>
    </row>
    <row r="687" spans="6:6" ht="15.75" customHeight="1">
      <c r="F687" s="6"/>
    </row>
    <row r="688" spans="6:6" ht="15.75" customHeight="1">
      <c r="F688" s="6"/>
    </row>
    <row r="689" spans="6:6" ht="15.75" customHeight="1">
      <c r="F689" s="6"/>
    </row>
    <row r="690" spans="6:6" ht="15.75" customHeight="1">
      <c r="F690" s="6"/>
    </row>
    <row r="691" spans="6:6" ht="15.75" customHeight="1">
      <c r="F691" s="6"/>
    </row>
    <row r="692" spans="6:6" ht="15.75" customHeight="1">
      <c r="F692" s="6"/>
    </row>
    <row r="693" spans="6:6" ht="15.75" customHeight="1">
      <c r="F693" s="6"/>
    </row>
    <row r="694" spans="6:6" ht="15.75" customHeight="1">
      <c r="F694" s="6"/>
    </row>
    <row r="695" spans="6:6" ht="15.75" customHeight="1">
      <c r="F695" s="6"/>
    </row>
    <row r="696" spans="6:6" ht="15.75" customHeight="1">
      <c r="F696" s="6"/>
    </row>
    <row r="697" spans="6:6" ht="15.75" customHeight="1">
      <c r="F697" s="6"/>
    </row>
    <row r="698" spans="6:6" ht="15.75" customHeight="1">
      <c r="F698" s="6"/>
    </row>
    <row r="699" spans="6:6" ht="15.75" customHeight="1">
      <c r="F699" s="6"/>
    </row>
    <row r="700" spans="6:6" ht="15.75" customHeight="1">
      <c r="F700" s="6"/>
    </row>
    <row r="701" spans="6:6" ht="15.75" customHeight="1">
      <c r="F701" s="6"/>
    </row>
    <row r="702" spans="6:6" ht="15.75" customHeight="1">
      <c r="F702" s="6"/>
    </row>
    <row r="703" spans="6:6" ht="15.75" customHeight="1">
      <c r="F703" s="6"/>
    </row>
    <row r="704" spans="6:6" ht="15.75" customHeight="1">
      <c r="F704" s="6"/>
    </row>
    <row r="705" spans="6:6" ht="15.75" customHeight="1">
      <c r="F705" s="6"/>
    </row>
    <row r="706" spans="6:6" ht="15.75" customHeight="1">
      <c r="F706" s="6"/>
    </row>
    <row r="707" spans="6:6" ht="15.75" customHeight="1">
      <c r="F707" s="6"/>
    </row>
    <row r="708" spans="6:6" ht="15.75" customHeight="1">
      <c r="F708" s="6"/>
    </row>
    <row r="709" spans="6:6" ht="15.75" customHeight="1">
      <c r="F709" s="6"/>
    </row>
    <row r="710" spans="6:6" ht="15.75" customHeight="1">
      <c r="F710" s="6"/>
    </row>
    <row r="711" spans="6:6" ht="15.75" customHeight="1">
      <c r="F711" s="6"/>
    </row>
    <row r="712" spans="6:6" ht="15.75" customHeight="1">
      <c r="F712" s="6"/>
    </row>
    <row r="713" spans="6:6" ht="15.75" customHeight="1">
      <c r="F713" s="6"/>
    </row>
    <row r="714" spans="6:6" ht="15.75" customHeight="1">
      <c r="F714" s="6"/>
    </row>
    <row r="715" spans="6:6" ht="15.75" customHeight="1">
      <c r="F715" s="6"/>
    </row>
    <row r="716" spans="6:6" ht="15.75" customHeight="1">
      <c r="F716" s="6"/>
    </row>
    <row r="717" spans="6:6" ht="15.75" customHeight="1">
      <c r="F717" s="6"/>
    </row>
    <row r="718" spans="6:6" ht="15.75" customHeight="1">
      <c r="F718" s="6"/>
    </row>
    <row r="719" spans="6:6" ht="15.75" customHeight="1">
      <c r="F719" s="6"/>
    </row>
    <row r="720" spans="6:6" ht="15.75" customHeight="1">
      <c r="F720" s="6"/>
    </row>
    <row r="721" spans="6:6" ht="15.75" customHeight="1">
      <c r="F721" s="6"/>
    </row>
    <row r="722" spans="6:6" ht="15.75" customHeight="1">
      <c r="F722" s="6"/>
    </row>
    <row r="723" spans="6:6" ht="15.75" customHeight="1">
      <c r="F723" s="6"/>
    </row>
    <row r="724" spans="6:6" ht="15.75" customHeight="1">
      <c r="F724" s="6"/>
    </row>
    <row r="725" spans="6:6" ht="15.75" customHeight="1">
      <c r="F725" s="6"/>
    </row>
    <row r="726" spans="6:6" ht="15.75" customHeight="1">
      <c r="F726" s="6"/>
    </row>
    <row r="727" spans="6:6" ht="15.75" customHeight="1">
      <c r="F727" s="6"/>
    </row>
    <row r="728" spans="6:6" ht="15.75" customHeight="1">
      <c r="F728" s="6"/>
    </row>
    <row r="729" spans="6:6" ht="15.75" customHeight="1">
      <c r="F729" s="6"/>
    </row>
    <row r="730" spans="6:6" ht="15.75" customHeight="1">
      <c r="F730" s="6"/>
    </row>
    <row r="731" spans="6:6" ht="15.75" customHeight="1">
      <c r="F731" s="6"/>
    </row>
    <row r="732" spans="6:6" ht="15.75" customHeight="1">
      <c r="F732" s="6"/>
    </row>
    <row r="733" spans="6:6" ht="15.75" customHeight="1">
      <c r="F733" s="6"/>
    </row>
    <row r="734" spans="6:6" ht="15.75" customHeight="1">
      <c r="F734" s="6"/>
    </row>
    <row r="735" spans="6:6" ht="15.75" customHeight="1">
      <c r="F735" s="6"/>
    </row>
    <row r="736" spans="6:6" ht="15.75" customHeight="1">
      <c r="F736" s="6"/>
    </row>
    <row r="737" spans="6:6" ht="15.75" customHeight="1">
      <c r="F737" s="6"/>
    </row>
    <row r="738" spans="6:6" ht="15.75" customHeight="1">
      <c r="F738" s="6"/>
    </row>
    <row r="739" spans="6:6" ht="15.75" customHeight="1">
      <c r="F739" s="6"/>
    </row>
    <row r="740" spans="6:6" ht="15.75" customHeight="1">
      <c r="F740" s="6"/>
    </row>
    <row r="741" spans="6:6" ht="15.75" customHeight="1">
      <c r="F741" s="6"/>
    </row>
    <row r="742" spans="6:6" ht="15.75" customHeight="1">
      <c r="F742" s="6"/>
    </row>
    <row r="743" spans="6:6" ht="15.75" customHeight="1">
      <c r="F743" s="6"/>
    </row>
    <row r="744" spans="6:6" ht="15.75" customHeight="1">
      <c r="F744" s="6"/>
    </row>
    <row r="745" spans="6:6" ht="15.75" customHeight="1">
      <c r="F745" s="6"/>
    </row>
    <row r="746" spans="6:6" ht="15.75" customHeight="1">
      <c r="F746" s="6"/>
    </row>
    <row r="747" spans="6:6" ht="15.75" customHeight="1">
      <c r="F747" s="6"/>
    </row>
    <row r="748" spans="6:6" ht="15.75" customHeight="1">
      <c r="F748" s="6"/>
    </row>
    <row r="749" spans="6:6" ht="15.75" customHeight="1">
      <c r="F749" s="6"/>
    </row>
    <row r="750" spans="6:6" ht="15.75" customHeight="1">
      <c r="F750" s="6"/>
    </row>
    <row r="751" spans="6:6" ht="15.75" customHeight="1">
      <c r="F751" s="6"/>
    </row>
    <row r="752" spans="6:6" ht="15.75" customHeight="1">
      <c r="F752" s="6"/>
    </row>
    <row r="753" spans="6:6" ht="15.75" customHeight="1">
      <c r="F753" s="6"/>
    </row>
    <row r="754" spans="6:6" ht="15.75" customHeight="1">
      <c r="F754" s="6"/>
    </row>
    <row r="755" spans="6:6" ht="15.75" customHeight="1">
      <c r="F755" s="6"/>
    </row>
    <row r="756" spans="6:6" ht="15.75" customHeight="1">
      <c r="F756" s="6"/>
    </row>
    <row r="757" spans="6:6" ht="15.75" customHeight="1">
      <c r="F757" s="6"/>
    </row>
    <row r="758" spans="6:6" ht="15.75" customHeight="1">
      <c r="F758" s="6"/>
    </row>
    <row r="759" spans="6:6" ht="15.75" customHeight="1">
      <c r="F759" s="6"/>
    </row>
    <row r="760" spans="6:6" ht="15.75" customHeight="1">
      <c r="F760" s="6"/>
    </row>
    <row r="761" spans="6:6" ht="15.75" customHeight="1">
      <c r="F761" s="6"/>
    </row>
    <row r="762" spans="6:6" ht="15.75" customHeight="1">
      <c r="F762" s="6"/>
    </row>
    <row r="763" spans="6:6" ht="15.75" customHeight="1">
      <c r="F763" s="6"/>
    </row>
    <row r="764" spans="6:6" ht="15.75" customHeight="1">
      <c r="F764" s="6"/>
    </row>
    <row r="765" spans="6:6" ht="15.75" customHeight="1">
      <c r="F765" s="6"/>
    </row>
    <row r="766" spans="6:6" ht="15.75" customHeight="1">
      <c r="F766" s="6"/>
    </row>
    <row r="767" spans="6:6" ht="15.75" customHeight="1">
      <c r="F767" s="6"/>
    </row>
    <row r="768" spans="6:6" ht="15.75" customHeight="1">
      <c r="F768" s="6"/>
    </row>
    <row r="769" spans="6:6" ht="15.75" customHeight="1">
      <c r="F769" s="6"/>
    </row>
    <row r="770" spans="6:6" ht="15.75" customHeight="1">
      <c r="F770" s="6"/>
    </row>
    <row r="771" spans="6:6" ht="15.75" customHeight="1">
      <c r="F771" s="6"/>
    </row>
    <row r="772" spans="6:6" ht="15.75" customHeight="1">
      <c r="F772" s="6"/>
    </row>
    <row r="773" spans="6:6" ht="15.75" customHeight="1">
      <c r="F773" s="6"/>
    </row>
    <row r="774" spans="6:6" ht="15.75" customHeight="1">
      <c r="F774" s="6"/>
    </row>
    <row r="775" spans="6:6" ht="15.75" customHeight="1">
      <c r="F775" s="6"/>
    </row>
    <row r="776" spans="6:6" ht="15.75" customHeight="1">
      <c r="F776" s="6"/>
    </row>
    <row r="777" spans="6:6" ht="15.75" customHeight="1">
      <c r="F777" s="6"/>
    </row>
    <row r="778" spans="6:6" ht="15.75" customHeight="1">
      <c r="F778" s="6"/>
    </row>
    <row r="779" spans="6:6" ht="15.75" customHeight="1">
      <c r="F779" s="6"/>
    </row>
    <row r="780" spans="6:6" ht="15.75" customHeight="1">
      <c r="F780" s="6"/>
    </row>
    <row r="781" spans="6:6" ht="15.75" customHeight="1">
      <c r="F781" s="6"/>
    </row>
    <row r="782" spans="6:6" ht="15.75" customHeight="1">
      <c r="F782" s="6"/>
    </row>
    <row r="783" spans="6:6" ht="15.75" customHeight="1">
      <c r="F783" s="6"/>
    </row>
    <row r="784" spans="6:6" ht="15.75" customHeight="1">
      <c r="F784" s="6"/>
    </row>
    <row r="785" spans="6:6" ht="15.75" customHeight="1">
      <c r="F785" s="6"/>
    </row>
    <row r="786" spans="6:6" ht="15.75" customHeight="1">
      <c r="F786" s="6"/>
    </row>
    <row r="787" spans="6:6" ht="15.75" customHeight="1">
      <c r="F787" s="6"/>
    </row>
    <row r="788" spans="6:6" ht="15.75" customHeight="1">
      <c r="F788" s="6"/>
    </row>
    <row r="789" spans="6:6" ht="15.75" customHeight="1">
      <c r="F789" s="6"/>
    </row>
    <row r="790" spans="6:6" ht="15.75" customHeight="1">
      <c r="F790" s="6"/>
    </row>
    <row r="791" spans="6:6" ht="15.75" customHeight="1">
      <c r="F791" s="6"/>
    </row>
    <row r="792" spans="6:6" ht="15.75" customHeight="1">
      <c r="F792" s="6"/>
    </row>
    <row r="793" spans="6:6" ht="15.75" customHeight="1">
      <c r="F793" s="6"/>
    </row>
    <row r="794" spans="6:6" ht="15.75" customHeight="1">
      <c r="F794" s="6"/>
    </row>
    <row r="795" spans="6:6" ht="15.75" customHeight="1">
      <c r="F795" s="6"/>
    </row>
    <row r="796" spans="6:6" ht="15.75" customHeight="1">
      <c r="F796" s="6"/>
    </row>
    <row r="797" spans="6:6" ht="15.75" customHeight="1">
      <c r="F797" s="6"/>
    </row>
    <row r="798" spans="6:6" ht="15.75" customHeight="1">
      <c r="F798" s="6"/>
    </row>
    <row r="799" spans="6:6" ht="15.75" customHeight="1">
      <c r="F799" s="6"/>
    </row>
    <row r="800" spans="6:6" ht="15.75" customHeight="1">
      <c r="F800" s="6"/>
    </row>
    <row r="801" spans="6:6" ht="15.75" customHeight="1">
      <c r="F801" s="6"/>
    </row>
    <row r="802" spans="6:6" ht="15.75" customHeight="1">
      <c r="F802" s="6"/>
    </row>
    <row r="803" spans="6:6" ht="15.75" customHeight="1">
      <c r="F803" s="6"/>
    </row>
    <row r="804" spans="6:6" ht="15.75" customHeight="1">
      <c r="F804" s="6"/>
    </row>
    <row r="805" spans="6:6" ht="15.75" customHeight="1">
      <c r="F805" s="6"/>
    </row>
    <row r="806" spans="6:6" ht="15.75" customHeight="1">
      <c r="F806" s="6"/>
    </row>
    <row r="807" spans="6:6" ht="15.75" customHeight="1">
      <c r="F807" s="6"/>
    </row>
    <row r="808" spans="6:6" ht="15.75" customHeight="1">
      <c r="F808" s="6"/>
    </row>
    <row r="809" spans="6:6" ht="15.75" customHeight="1">
      <c r="F809" s="6"/>
    </row>
    <row r="810" spans="6:6" ht="15.75" customHeight="1">
      <c r="F810" s="6"/>
    </row>
    <row r="811" spans="6:6" ht="15.75" customHeight="1">
      <c r="F811" s="6"/>
    </row>
    <row r="812" spans="6:6" ht="15.75" customHeight="1">
      <c r="F812" s="6"/>
    </row>
    <row r="813" spans="6:6" ht="15.75" customHeight="1">
      <c r="F813" s="6"/>
    </row>
    <row r="814" spans="6:6" ht="15.75" customHeight="1">
      <c r="F814" s="6"/>
    </row>
    <row r="815" spans="6:6" ht="15.75" customHeight="1">
      <c r="F815" s="6"/>
    </row>
    <row r="816" spans="6:6" ht="15.75" customHeight="1">
      <c r="F816" s="6"/>
    </row>
    <row r="817" spans="6:6" ht="15.75" customHeight="1">
      <c r="F817" s="6"/>
    </row>
    <row r="818" spans="6:6" ht="15.75" customHeight="1">
      <c r="F818" s="6"/>
    </row>
    <row r="819" spans="6:6" ht="15.75" customHeight="1">
      <c r="F819" s="6"/>
    </row>
    <row r="820" spans="6:6" ht="15.75" customHeight="1">
      <c r="F820" s="6"/>
    </row>
    <row r="821" spans="6:6" ht="15.75" customHeight="1">
      <c r="F821" s="6"/>
    </row>
    <row r="822" spans="6:6" ht="15.75" customHeight="1">
      <c r="F822" s="6"/>
    </row>
    <row r="823" spans="6:6" ht="15.75" customHeight="1">
      <c r="F823" s="6"/>
    </row>
    <row r="824" spans="6:6" ht="15.75" customHeight="1">
      <c r="F824" s="6"/>
    </row>
    <row r="825" spans="6:6" ht="15.75" customHeight="1">
      <c r="F825" s="6"/>
    </row>
    <row r="826" spans="6:6" ht="15.75" customHeight="1">
      <c r="F826" s="6"/>
    </row>
    <row r="827" spans="6:6" ht="15.75" customHeight="1">
      <c r="F827" s="6"/>
    </row>
    <row r="828" spans="6:6" ht="15.75" customHeight="1">
      <c r="F828" s="6"/>
    </row>
    <row r="829" spans="6:6" ht="15.75" customHeight="1">
      <c r="F829" s="6"/>
    </row>
    <row r="830" spans="6:6" ht="15.75" customHeight="1">
      <c r="F830" s="6"/>
    </row>
    <row r="831" spans="6:6" ht="15.75" customHeight="1">
      <c r="F831" s="6"/>
    </row>
    <row r="832" spans="6:6" ht="15.75" customHeight="1">
      <c r="F832" s="6"/>
    </row>
    <row r="833" spans="6:6" ht="15.75" customHeight="1">
      <c r="F833" s="6"/>
    </row>
    <row r="834" spans="6:6" ht="15.75" customHeight="1">
      <c r="F834" s="6"/>
    </row>
    <row r="835" spans="6:6" ht="15.75" customHeight="1">
      <c r="F835" s="6"/>
    </row>
    <row r="836" spans="6:6" ht="15.75" customHeight="1">
      <c r="F836" s="6"/>
    </row>
    <row r="837" spans="6:6" ht="15.75" customHeight="1">
      <c r="F837" s="6"/>
    </row>
    <row r="838" spans="6:6" ht="15.75" customHeight="1">
      <c r="F838" s="6"/>
    </row>
    <row r="839" spans="6:6" ht="15.75" customHeight="1">
      <c r="F839" s="6"/>
    </row>
    <row r="840" spans="6:6" ht="15.75" customHeight="1">
      <c r="F840" s="6"/>
    </row>
    <row r="841" spans="6:6" ht="15.75" customHeight="1">
      <c r="F841" s="6"/>
    </row>
    <row r="842" spans="6:6" ht="15.75" customHeight="1">
      <c r="F842" s="6"/>
    </row>
    <row r="843" spans="6:6" ht="15.75" customHeight="1">
      <c r="F843" s="6"/>
    </row>
    <row r="844" spans="6:6" ht="15.75" customHeight="1">
      <c r="F844" s="6"/>
    </row>
    <row r="845" spans="6:6" ht="15.75" customHeight="1">
      <c r="F845" s="6"/>
    </row>
    <row r="846" spans="6:6" ht="15.75" customHeight="1">
      <c r="F846" s="6"/>
    </row>
    <row r="847" spans="6:6" ht="15.75" customHeight="1">
      <c r="F847" s="6"/>
    </row>
    <row r="848" spans="6:6" ht="15.75" customHeight="1">
      <c r="F848" s="6"/>
    </row>
    <row r="849" spans="6:6" ht="15.75" customHeight="1">
      <c r="F849" s="6"/>
    </row>
    <row r="850" spans="6:6" ht="15.75" customHeight="1">
      <c r="F850" s="6"/>
    </row>
    <row r="851" spans="6:6" ht="15.75" customHeight="1">
      <c r="F851" s="6"/>
    </row>
    <row r="852" spans="6:6" ht="15.75" customHeight="1">
      <c r="F852" s="6"/>
    </row>
    <row r="853" spans="6:6" ht="15.75" customHeight="1">
      <c r="F853" s="6"/>
    </row>
    <row r="854" spans="6:6" ht="15.75" customHeight="1">
      <c r="F854" s="6"/>
    </row>
    <row r="855" spans="6:6" ht="15.75" customHeight="1">
      <c r="F855" s="6"/>
    </row>
    <row r="856" spans="6:6" ht="15.75" customHeight="1">
      <c r="F856" s="6"/>
    </row>
    <row r="857" spans="6:6" ht="15.75" customHeight="1">
      <c r="F857" s="6"/>
    </row>
    <row r="858" spans="6:6" ht="15.75" customHeight="1">
      <c r="F858" s="6"/>
    </row>
    <row r="859" spans="6:6" ht="15.75" customHeight="1">
      <c r="F859" s="6"/>
    </row>
    <row r="860" spans="6:6" ht="15.75" customHeight="1">
      <c r="F860" s="6"/>
    </row>
    <row r="861" spans="6:6" ht="15.75" customHeight="1">
      <c r="F861" s="6"/>
    </row>
    <row r="862" spans="6:6" ht="15.75" customHeight="1">
      <c r="F862" s="6"/>
    </row>
    <row r="863" spans="6:6" ht="15.75" customHeight="1">
      <c r="F863" s="6"/>
    </row>
    <row r="864" spans="6:6" ht="15.75" customHeight="1">
      <c r="F864" s="6"/>
    </row>
    <row r="865" spans="6:6" ht="15.75" customHeight="1">
      <c r="F865" s="6"/>
    </row>
    <row r="866" spans="6:6" ht="15.75" customHeight="1">
      <c r="F866" s="6"/>
    </row>
    <row r="867" spans="6:6" ht="15.75" customHeight="1">
      <c r="F867" s="6"/>
    </row>
    <row r="868" spans="6:6" ht="15.75" customHeight="1">
      <c r="F868" s="6"/>
    </row>
    <row r="869" spans="6:6" ht="15.75" customHeight="1">
      <c r="F869" s="6"/>
    </row>
    <row r="870" spans="6:6" ht="15.75" customHeight="1">
      <c r="F870" s="6"/>
    </row>
    <row r="871" spans="6:6" ht="15.75" customHeight="1">
      <c r="F871" s="6"/>
    </row>
    <row r="872" spans="6:6" ht="15.75" customHeight="1">
      <c r="F872" s="6"/>
    </row>
    <row r="873" spans="6:6" ht="15.75" customHeight="1">
      <c r="F873" s="6"/>
    </row>
    <row r="874" spans="6:6" ht="15.75" customHeight="1">
      <c r="F874" s="6"/>
    </row>
    <row r="875" spans="6:6" ht="15.75" customHeight="1">
      <c r="F875" s="6"/>
    </row>
    <row r="876" spans="6:6" ht="15.75" customHeight="1">
      <c r="F876" s="6"/>
    </row>
    <row r="877" spans="6:6" ht="15.75" customHeight="1">
      <c r="F877" s="6"/>
    </row>
    <row r="878" spans="6:6" ht="15.75" customHeight="1">
      <c r="F878" s="6"/>
    </row>
    <row r="879" spans="6:6" ht="15.75" customHeight="1">
      <c r="F879" s="6"/>
    </row>
    <row r="880" spans="6:6" ht="15.75" customHeight="1">
      <c r="F880" s="6"/>
    </row>
    <row r="881" spans="6:6" ht="15.75" customHeight="1">
      <c r="F881" s="6"/>
    </row>
    <row r="882" spans="6:6" ht="15.75" customHeight="1">
      <c r="F882" s="6"/>
    </row>
    <row r="883" spans="6:6" ht="15.75" customHeight="1">
      <c r="F883" s="6"/>
    </row>
    <row r="884" spans="6:6" ht="15.75" customHeight="1">
      <c r="F884" s="6"/>
    </row>
    <row r="885" spans="6:6" ht="15.75" customHeight="1">
      <c r="F885" s="6"/>
    </row>
    <row r="886" spans="6:6" ht="15.75" customHeight="1">
      <c r="F886" s="6"/>
    </row>
    <row r="887" spans="6:6" ht="15.75" customHeight="1">
      <c r="F887" s="6"/>
    </row>
    <row r="888" spans="6:6" ht="15.75" customHeight="1">
      <c r="F888" s="6"/>
    </row>
    <row r="889" spans="6:6" ht="15.75" customHeight="1">
      <c r="F889" s="6"/>
    </row>
    <row r="890" spans="6:6" ht="15.75" customHeight="1">
      <c r="F890" s="6"/>
    </row>
    <row r="891" spans="6:6" ht="15.75" customHeight="1">
      <c r="F891" s="6"/>
    </row>
    <row r="892" spans="6:6" ht="15.75" customHeight="1">
      <c r="F892" s="6"/>
    </row>
    <row r="893" spans="6:6" ht="15.75" customHeight="1">
      <c r="F893" s="6"/>
    </row>
    <row r="894" spans="6:6" ht="15.75" customHeight="1">
      <c r="F894" s="6"/>
    </row>
    <row r="895" spans="6:6" ht="15.75" customHeight="1">
      <c r="F895" s="6"/>
    </row>
    <row r="896" spans="6:6" ht="15.75" customHeight="1">
      <c r="F896" s="6"/>
    </row>
    <row r="897" spans="6:6" ht="15.75" customHeight="1">
      <c r="F897" s="6"/>
    </row>
    <row r="898" spans="6:6" ht="15.75" customHeight="1">
      <c r="F898" s="6"/>
    </row>
    <row r="899" spans="6:6" ht="15.75" customHeight="1">
      <c r="F899" s="6"/>
    </row>
    <row r="900" spans="6:6" ht="15.75" customHeight="1">
      <c r="F900" s="6"/>
    </row>
    <row r="901" spans="6:6" ht="15.75" customHeight="1">
      <c r="F901" s="6"/>
    </row>
    <row r="902" spans="6:6" ht="15.75" customHeight="1">
      <c r="F902" s="6"/>
    </row>
    <row r="903" spans="6:6" ht="15.75" customHeight="1">
      <c r="F903" s="6"/>
    </row>
    <row r="904" spans="6:6" ht="15.75" customHeight="1">
      <c r="F904" s="6"/>
    </row>
    <row r="905" spans="6:6" ht="15.75" customHeight="1">
      <c r="F905" s="6"/>
    </row>
    <row r="906" spans="6:6" ht="15.75" customHeight="1">
      <c r="F906" s="6"/>
    </row>
    <row r="907" spans="6:6" ht="15.75" customHeight="1">
      <c r="F907" s="6"/>
    </row>
    <row r="908" spans="6:6" ht="15.75" customHeight="1">
      <c r="F908" s="6"/>
    </row>
    <row r="909" spans="6:6" ht="15.75" customHeight="1">
      <c r="F909" s="6"/>
    </row>
    <row r="910" spans="6:6" ht="15.75" customHeight="1">
      <c r="F910" s="6"/>
    </row>
    <row r="911" spans="6:6" ht="15.75" customHeight="1">
      <c r="F911" s="6"/>
    </row>
    <row r="912" spans="6:6" ht="15.75" customHeight="1">
      <c r="F912" s="6"/>
    </row>
    <row r="913" spans="6:6" ht="15.75" customHeight="1">
      <c r="F913" s="6"/>
    </row>
    <row r="914" spans="6:6" ht="15.75" customHeight="1">
      <c r="F914" s="6"/>
    </row>
    <row r="915" spans="6:6" ht="15.75" customHeight="1">
      <c r="F915" s="6"/>
    </row>
    <row r="916" spans="6:6" ht="15.75" customHeight="1">
      <c r="F916" s="6"/>
    </row>
    <row r="917" spans="6:6" ht="15.75" customHeight="1">
      <c r="F917" s="6"/>
    </row>
    <row r="918" spans="6:6" ht="15.75" customHeight="1">
      <c r="F918" s="6"/>
    </row>
    <row r="919" spans="6:6" ht="15.75" customHeight="1">
      <c r="F919" s="6"/>
    </row>
    <row r="920" spans="6:6" ht="15.75" customHeight="1">
      <c r="F920" s="6"/>
    </row>
    <row r="921" spans="6:6" ht="15.75" customHeight="1">
      <c r="F921" s="6"/>
    </row>
    <row r="922" spans="6:6" ht="15.75" customHeight="1">
      <c r="F922" s="6"/>
    </row>
    <row r="923" spans="6:6" ht="15.75" customHeight="1">
      <c r="F923" s="6"/>
    </row>
    <row r="924" spans="6:6" ht="15.75" customHeight="1">
      <c r="F924" s="6"/>
    </row>
    <row r="925" spans="6:6" ht="15.75" customHeight="1">
      <c r="F925" s="6"/>
    </row>
    <row r="926" spans="6:6" ht="15.75" customHeight="1">
      <c r="F926" s="6"/>
    </row>
    <row r="927" spans="6:6" ht="15.75" customHeight="1">
      <c r="F927" s="6"/>
    </row>
    <row r="928" spans="6:6" ht="15.75" customHeight="1">
      <c r="F928" s="6"/>
    </row>
    <row r="929" spans="6:6" ht="15.75" customHeight="1">
      <c r="F929" s="6"/>
    </row>
    <row r="930" spans="6:6" ht="15.75" customHeight="1">
      <c r="F930" s="6"/>
    </row>
    <row r="931" spans="6:6" ht="15.75" customHeight="1">
      <c r="F931" s="6"/>
    </row>
    <row r="932" spans="6:6" ht="15.75" customHeight="1">
      <c r="F932" s="6"/>
    </row>
    <row r="933" spans="6:6" ht="15.75" customHeight="1">
      <c r="F933" s="6"/>
    </row>
    <row r="934" spans="6:6" ht="15.75" customHeight="1">
      <c r="F934" s="6"/>
    </row>
    <row r="935" spans="6:6" ht="15.75" customHeight="1">
      <c r="F935" s="6"/>
    </row>
    <row r="936" spans="6:6" ht="15.75" customHeight="1">
      <c r="F936" s="6"/>
    </row>
    <row r="937" spans="6:6" ht="15.75" customHeight="1">
      <c r="F937" s="6"/>
    </row>
    <row r="938" spans="6:6" ht="15.75" customHeight="1">
      <c r="F938" s="6"/>
    </row>
    <row r="939" spans="6:6" ht="15.75" customHeight="1">
      <c r="F939" s="6"/>
    </row>
    <row r="940" spans="6:6" ht="15.75" customHeight="1">
      <c r="F940" s="6"/>
    </row>
    <row r="941" spans="6:6" ht="15.75" customHeight="1">
      <c r="F941" s="6"/>
    </row>
    <row r="942" spans="6:6" ht="15.75" customHeight="1">
      <c r="F942" s="6"/>
    </row>
    <row r="943" spans="6:6" ht="15.75" customHeight="1">
      <c r="F943" s="6"/>
    </row>
    <row r="944" spans="6:6" ht="15.75" customHeight="1">
      <c r="F944" s="6"/>
    </row>
    <row r="945" spans="6:6" ht="15.75" customHeight="1">
      <c r="F945" s="6"/>
    </row>
    <row r="946" spans="6:6" ht="15.75" customHeight="1">
      <c r="F946" s="6"/>
    </row>
    <row r="947" spans="6:6" ht="15.75" customHeight="1">
      <c r="F947" s="6"/>
    </row>
    <row r="948" spans="6:6" ht="15.75" customHeight="1">
      <c r="F948" s="6"/>
    </row>
    <row r="949" spans="6:6" ht="15.75" customHeight="1">
      <c r="F949" s="6"/>
    </row>
    <row r="950" spans="6:6" ht="15.75" customHeight="1">
      <c r="F950" s="6"/>
    </row>
    <row r="951" spans="6:6" ht="15.75" customHeight="1">
      <c r="F951" s="6"/>
    </row>
    <row r="952" spans="6:6" ht="15.75" customHeight="1">
      <c r="F952" s="6"/>
    </row>
    <row r="953" spans="6:6" ht="15.75" customHeight="1">
      <c r="F953" s="6"/>
    </row>
    <row r="954" spans="6:6" ht="15.75" customHeight="1">
      <c r="F954" s="6"/>
    </row>
    <row r="955" spans="6:6" ht="15.75" customHeight="1">
      <c r="F955" s="6"/>
    </row>
    <row r="956" spans="6:6" ht="15.75" customHeight="1">
      <c r="F956" s="6"/>
    </row>
    <row r="957" spans="6:6" ht="15.75" customHeight="1">
      <c r="F957" s="6"/>
    </row>
    <row r="958" spans="6:6" ht="15.75" customHeight="1">
      <c r="F958" s="6"/>
    </row>
    <row r="959" spans="6:6" ht="15.75" customHeight="1">
      <c r="F959" s="6"/>
    </row>
    <row r="960" spans="6:6" ht="15.75" customHeight="1">
      <c r="F960" s="6"/>
    </row>
    <row r="961" spans="6:6" ht="15.75" customHeight="1">
      <c r="F961" s="6"/>
    </row>
    <row r="962" spans="6:6" ht="15.75" customHeight="1">
      <c r="F962" s="6"/>
    </row>
    <row r="963" spans="6:6" ht="15.75" customHeight="1">
      <c r="F963" s="6"/>
    </row>
    <row r="964" spans="6:6" ht="15.75" customHeight="1">
      <c r="F964" s="6"/>
    </row>
    <row r="965" spans="6:6" ht="15.75" customHeight="1">
      <c r="F965" s="6"/>
    </row>
    <row r="966" spans="6:6" ht="15.75" customHeight="1">
      <c r="F966" s="6"/>
    </row>
    <row r="967" spans="6:6" ht="15.75" customHeight="1">
      <c r="F967" s="6"/>
    </row>
    <row r="968" spans="6:6" ht="15.75" customHeight="1">
      <c r="F968" s="6"/>
    </row>
    <row r="969" spans="6:6" ht="15.75" customHeight="1">
      <c r="F969" s="6"/>
    </row>
    <row r="970" spans="6:6" ht="15.75" customHeight="1">
      <c r="F970" s="6"/>
    </row>
    <row r="971" spans="6:6" ht="15.75" customHeight="1">
      <c r="F971" s="6"/>
    </row>
    <row r="972" spans="6:6" ht="15.75" customHeight="1">
      <c r="F972" s="6"/>
    </row>
    <row r="973" spans="6:6" ht="15.75" customHeight="1">
      <c r="F973" s="6"/>
    </row>
    <row r="974" spans="6:6" ht="15.75" customHeight="1">
      <c r="F974" s="6"/>
    </row>
    <row r="975" spans="6:6" ht="15.75" customHeight="1">
      <c r="F975" s="6"/>
    </row>
    <row r="976" spans="6:6" ht="15.75" customHeight="1">
      <c r="F976" s="6"/>
    </row>
    <row r="977" spans="6:6" ht="15.75" customHeight="1">
      <c r="F977" s="6"/>
    </row>
    <row r="978" spans="6:6" ht="15.75" customHeight="1">
      <c r="F978" s="6"/>
    </row>
    <row r="979" spans="6:6" ht="15.75" customHeight="1">
      <c r="F979" s="6"/>
    </row>
    <row r="980" spans="6:6" ht="15.75" customHeight="1">
      <c r="F980" s="6"/>
    </row>
    <row r="981" spans="6:6" ht="15.75" customHeight="1">
      <c r="F981" s="6"/>
    </row>
    <row r="982" spans="6:6" ht="15.75" customHeight="1">
      <c r="F982" s="6"/>
    </row>
    <row r="983" spans="6:6" ht="15.75" customHeight="1">
      <c r="F983" s="6"/>
    </row>
    <row r="984" spans="6:6" ht="15.75" customHeight="1">
      <c r="F984" s="6"/>
    </row>
    <row r="985" spans="6:6" ht="15.75" customHeight="1">
      <c r="F985" s="6"/>
    </row>
    <row r="986" spans="6:6" ht="15.75" customHeight="1">
      <c r="F986" s="6"/>
    </row>
    <row r="987" spans="6:6" ht="15.75" customHeight="1">
      <c r="F987" s="6"/>
    </row>
    <row r="988" spans="6:6" ht="15.75" customHeight="1">
      <c r="F988" s="6"/>
    </row>
    <row r="989" spans="6:6" ht="15.75" customHeight="1">
      <c r="F989" s="6"/>
    </row>
    <row r="990" spans="6:6" ht="15.75" customHeight="1">
      <c r="F990" s="6"/>
    </row>
    <row r="991" spans="6:6" ht="15.75" customHeight="1">
      <c r="F991" s="6"/>
    </row>
    <row r="992" spans="6:6" ht="15.75" customHeight="1">
      <c r="F992" s="6"/>
    </row>
    <row r="993" spans="6:6" ht="15.75" customHeight="1">
      <c r="F993" s="6"/>
    </row>
    <row r="994" spans="6:6" ht="15.75" customHeight="1">
      <c r="F994" s="6"/>
    </row>
    <row r="995" spans="6:6" ht="15.75" customHeight="1">
      <c r="F995" s="6"/>
    </row>
    <row r="996" spans="6:6" ht="15.75" customHeight="1">
      <c r="F996" s="6"/>
    </row>
    <row r="997" spans="6:6" ht="15.75" customHeight="1">
      <c r="F997" s="6"/>
    </row>
    <row r="998" spans="6:6" ht="15.75" customHeight="1">
      <c r="F998" s="6"/>
    </row>
    <row r="999" spans="6:6" ht="15.75" customHeight="1">
      <c r="F999" s="6"/>
    </row>
    <row r="1000" spans="6:6" ht="15.75" customHeight="1">
      <c r="F1000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Shaurya Shikhar</cp:lastModifiedBy>
  <cp:revision/>
  <dcterms:created xsi:type="dcterms:W3CDTF">2021-06-29T08:38:48Z</dcterms:created>
  <dcterms:modified xsi:type="dcterms:W3CDTF">2022-08-21T17:49:35Z</dcterms:modified>
  <cp:category/>
  <cp:contentStatus/>
</cp:coreProperties>
</file>