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16"/>
  <workbookPr/>
  <xr:revisionPtr revIDLastSave="0" documentId="8_{CA39339A-59E6-49C0-A004-86A5DBD3614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w to use" sheetId="1" r:id="rId1"/>
    <sheet name="Pay off vs Invest" sheetId="2" r:id="rId2"/>
    <sheet name="Calculations" sheetId="3" state="hidden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7" roundtripDataSignature="AMtx7mg8kEYiaRUt7YF4yfZ4AfV4xxD5qw=="/>
    </ext>
  </extLst>
</workbook>
</file>

<file path=xl/calcChain.xml><?xml version="1.0" encoding="utf-8"?>
<calcChain xmlns="http://schemas.openxmlformats.org/spreadsheetml/2006/main">
  <c r="A3" i="3" l="1"/>
  <c r="H2" i="3"/>
  <c r="I2" i="3" s="1"/>
  <c r="C2" i="3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12" i="2"/>
  <c r="B11" i="2"/>
  <c r="B10" i="2"/>
  <c r="B13" i="2" l="1"/>
  <c r="B14" i="2" s="1"/>
  <c r="E2" i="3"/>
  <c r="F2" i="3" s="1"/>
  <c r="A4" i="3"/>
  <c r="C3" i="3"/>
  <c r="E3" i="3" l="1"/>
  <c r="A5" i="3"/>
  <c r="C4" i="3"/>
  <c r="E4" i="3" l="1"/>
  <c r="A6" i="3"/>
  <c r="C5" i="3"/>
  <c r="E5" i="3" l="1"/>
  <c r="A7" i="3"/>
  <c r="C6" i="3"/>
  <c r="E6" i="3" l="1"/>
  <c r="A8" i="3"/>
  <c r="C7" i="3"/>
  <c r="E7" i="3" l="1"/>
  <c r="A9" i="3"/>
  <c r="C8" i="3"/>
  <c r="E8" i="3" l="1"/>
  <c r="A10" i="3"/>
  <c r="C9" i="3"/>
  <c r="E9" i="3" l="1"/>
  <c r="A11" i="3"/>
  <c r="C10" i="3"/>
  <c r="E10" i="3" l="1"/>
  <c r="A12" i="3"/>
  <c r="C11" i="3"/>
  <c r="E11" i="3" l="1"/>
  <c r="A13" i="3"/>
  <c r="C12" i="3"/>
  <c r="E12" i="3" l="1"/>
  <c r="A14" i="3"/>
  <c r="C13" i="3"/>
  <c r="E13" i="3" l="1"/>
  <c r="A15" i="3"/>
  <c r="C14" i="3"/>
  <c r="E14" i="3" l="1"/>
  <c r="A16" i="3"/>
  <c r="C15" i="3"/>
  <c r="E15" i="3" l="1"/>
  <c r="A17" i="3"/>
  <c r="C16" i="3"/>
  <c r="E16" i="3" l="1"/>
  <c r="A18" i="3"/>
  <c r="C17" i="3"/>
  <c r="E17" i="3" l="1"/>
  <c r="A19" i="3"/>
  <c r="C18" i="3"/>
  <c r="E18" i="3" l="1"/>
  <c r="A20" i="3"/>
  <c r="C19" i="3"/>
  <c r="E19" i="3" l="1"/>
  <c r="A21" i="3"/>
  <c r="C20" i="3"/>
  <c r="E20" i="3" l="1"/>
  <c r="A22" i="3"/>
  <c r="C21" i="3"/>
  <c r="E21" i="3" l="1"/>
  <c r="A23" i="3"/>
  <c r="C22" i="3"/>
  <c r="E22" i="3" l="1"/>
  <c r="A24" i="3"/>
  <c r="C23" i="3"/>
  <c r="E23" i="3" l="1"/>
  <c r="A25" i="3"/>
  <c r="C24" i="3"/>
  <c r="E24" i="3" l="1"/>
  <c r="A26" i="3"/>
  <c r="C25" i="3"/>
  <c r="E25" i="3" l="1"/>
  <c r="A27" i="3"/>
  <c r="C26" i="3"/>
  <c r="E26" i="3" l="1"/>
  <c r="A28" i="3"/>
  <c r="C27" i="3"/>
  <c r="E27" i="3" l="1"/>
  <c r="A29" i="3"/>
  <c r="C28" i="3"/>
  <c r="E28" i="3" l="1"/>
  <c r="A30" i="3"/>
  <c r="C29" i="3"/>
  <c r="E29" i="3" l="1"/>
  <c r="A31" i="3"/>
  <c r="C30" i="3"/>
  <c r="E30" i="3" l="1"/>
  <c r="A32" i="3"/>
  <c r="C31" i="3"/>
  <c r="E31" i="3" l="1"/>
  <c r="A33" i="3"/>
  <c r="C32" i="3"/>
  <c r="E32" i="3" l="1"/>
  <c r="A34" i="3"/>
  <c r="C33" i="3"/>
  <c r="E33" i="3" l="1"/>
  <c r="A35" i="3"/>
  <c r="C34" i="3"/>
  <c r="E34" i="3" l="1"/>
  <c r="A36" i="3"/>
  <c r="C35" i="3"/>
  <c r="E35" i="3" l="1"/>
  <c r="A37" i="3"/>
  <c r="C36" i="3"/>
  <c r="E36" i="3" l="1"/>
  <c r="A38" i="3"/>
  <c r="C37" i="3"/>
  <c r="E37" i="3" l="1"/>
  <c r="A39" i="3"/>
  <c r="C38" i="3"/>
  <c r="E38" i="3" l="1"/>
  <c r="A40" i="3"/>
  <c r="C39" i="3"/>
  <c r="E39" i="3" l="1"/>
  <c r="A41" i="3"/>
  <c r="C40" i="3"/>
  <c r="E40" i="3" l="1"/>
  <c r="A42" i="3"/>
  <c r="C41" i="3"/>
  <c r="E41" i="3" l="1"/>
  <c r="A43" i="3"/>
  <c r="C42" i="3"/>
  <c r="E42" i="3" l="1"/>
  <c r="A44" i="3"/>
  <c r="C43" i="3"/>
  <c r="E43" i="3" l="1"/>
  <c r="A45" i="3"/>
  <c r="C44" i="3"/>
  <c r="E44" i="3" l="1"/>
  <c r="A46" i="3"/>
  <c r="C45" i="3"/>
  <c r="E45" i="3" l="1"/>
  <c r="A47" i="3"/>
  <c r="C46" i="3"/>
  <c r="E46" i="3" l="1"/>
  <c r="A48" i="3"/>
  <c r="C47" i="3"/>
  <c r="E47" i="3" l="1"/>
  <c r="A49" i="3"/>
  <c r="C48" i="3"/>
  <c r="E48" i="3" l="1"/>
  <c r="A50" i="3"/>
  <c r="C49" i="3"/>
  <c r="E49" i="3" l="1"/>
  <c r="A51" i="3"/>
  <c r="C50" i="3"/>
  <c r="E50" i="3" l="1"/>
  <c r="A52" i="3"/>
  <c r="C51" i="3"/>
  <c r="E51" i="3" l="1"/>
  <c r="A53" i="3"/>
  <c r="C52" i="3"/>
  <c r="E52" i="3" l="1"/>
  <c r="A54" i="3"/>
  <c r="C53" i="3"/>
  <c r="E53" i="3" l="1"/>
  <c r="A55" i="3"/>
  <c r="C54" i="3"/>
  <c r="E54" i="3" l="1"/>
  <c r="A56" i="3"/>
  <c r="C55" i="3"/>
  <c r="E55" i="3" l="1"/>
  <c r="A57" i="3"/>
  <c r="C56" i="3"/>
  <c r="E56" i="3" l="1"/>
  <c r="A58" i="3"/>
  <c r="C57" i="3"/>
  <c r="E57" i="3" l="1"/>
  <c r="A59" i="3"/>
  <c r="C58" i="3"/>
  <c r="E58" i="3" l="1"/>
  <c r="A60" i="3"/>
  <c r="C59" i="3"/>
  <c r="E59" i="3" l="1"/>
  <c r="A61" i="3"/>
  <c r="C60" i="3"/>
  <c r="E60" i="3" l="1"/>
  <c r="A62" i="3"/>
  <c r="C61" i="3"/>
  <c r="E61" i="3" l="1"/>
  <c r="A63" i="3"/>
  <c r="C62" i="3"/>
  <c r="E62" i="3" l="1"/>
  <c r="A64" i="3"/>
  <c r="C63" i="3"/>
  <c r="E63" i="3" l="1"/>
  <c r="A65" i="3"/>
  <c r="C64" i="3"/>
  <c r="E64" i="3" l="1"/>
  <c r="A66" i="3"/>
  <c r="C65" i="3"/>
  <c r="E65" i="3" l="1"/>
  <c r="A67" i="3"/>
  <c r="C66" i="3"/>
  <c r="E66" i="3" l="1"/>
  <c r="A68" i="3"/>
  <c r="C67" i="3"/>
  <c r="E67" i="3" l="1"/>
  <c r="A69" i="3"/>
  <c r="C68" i="3"/>
  <c r="E68" i="3" l="1"/>
  <c r="A70" i="3"/>
  <c r="C69" i="3"/>
  <c r="E69" i="3" l="1"/>
  <c r="A71" i="3"/>
  <c r="C70" i="3"/>
  <c r="E70" i="3" l="1"/>
  <c r="A72" i="3"/>
  <c r="C71" i="3"/>
  <c r="E71" i="3" l="1"/>
  <c r="A73" i="3"/>
  <c r="C72" i="3"/>
  <c r="E72" i="3" l="1"/>
  <c r="A74" i="3"/>
  <c r="C73" i="3"/>
  <c r="E73" i="3" l="1"/>
  <c r="A75" i="3"/>
  <c r="C74" i="3"/>
  <c r="E74" i="3" l="1"/>
  <c r="A76" i="3"/>
  <c r="C75" i="3"/>
  <c r="E75" i="3" l="1"/>
  <c r="A77" i="3"/>
  <c r="C76" i="3"/>
  <c r="E76" i="3" l="1"/>
  <c r="A78" i="3"/>
  <c r="C77" i="3"/>
  <c r="E77" i="3" l="1"/>
  <c r="A79" i="3"/>
  <c r="C78" i="3"/>
  <c r="E78" i="3" l="1"/>
  <c r="A80" i="3"/>
  <c r="C79" i="3"/>
  <c r="E79" i="3" l="1"/>
  <c r="A81" i="3"/>
  <c r="C80" i="3"/>
  <c r="E80" i="3" l="1"/>
  <c r="A82" i="3"/>
  <c r="C81" i="3"/>
  <c r="E81" i="3" l="1"/>
  <c r="A83" i="3"/>
  <c r="C82" i="3"/>
  <c r="E82" i="3" l="1"/>
  <c r="A84" i="3"/>
  <c r="C83" i="3"/>
  <c r="E83" i="3" l="1"/>
  <c r="A85" i="3"/>
  <c r="C84" i="3"/>
  <c r="E84" i="3" l="1"/>
  <c r="A86" i="3"/>
  <c r="C85" i="3"/>
  <c r="E85" i="3" l="1"/>
  <c r="A87" i="3"/>
  <c r="C86" i="3"/>
  <c r="E86" i="3" l="1"/>
  <c r="A88" i="3"/>
  <c r="C87" i="3"/>
  <c r="E87" i="3" l="1"/>
  <c r="A89" i="3"/>
  <c r="C88" i="3"/>
  <c r="E88" i="3" l="1"/>
  <c r="A90" i="3"/>
  <c r="C89" i="3"/>
  <c r="E89" i="3" l="1"/>
  <c r="A91" i="3"/>
  <c r="C90" i="3"/>
  <c r="E90" i="3" l="1"/>
  <c r="A92" i="3"/>
  <c r="C91" i="3"/>
  <c r="E91" i="3" l="1"/>
  <c r="A93" i="3"/>
  <c r="C92" i="3"/>
  <c r="E92" i="3" l="1"/>
  <c r="A94" i="3"/>
  <c r="C93" i="3"/>
  <c r="E93" i="3" l="1"/>
  <c r="A95" i="3"/>
  <c r="C94" i="3"/>
  <c r="E94" i="3" l="1"/>
  <c r="A96" i="3"/>
  <c r="C95" i="3"/>
  <c r="E95" i="3" l="1"/>
  <c r="A97" i="3"/>
  <c r="C96" i="3"/>
  <c r="E96" i="3" l="1"/>
  <c r="A98" i="3"/>
  <c r="C97" i="3"/>
  <c r="E97" i="3" l="1"/>
  <c r="A99" i="3"/>
  <c r="C98" i="3"/>
  <c r="E98" i="3" l="1"/>
  <c r="A100" i="3"/>
  <c r="C99" i="3"/>
  <c r="E99" i="3" l="1"/>
  <c r="A101" i="3"/>
  <c r="C100" i="3"/>
  <c r="E100" i="3" l="1"/>
  <c r="A102" i="3"/>
  <c r="C101" i="3"/>
  <c r="E101" i="3" l="1"/>
  <c r="A103" i="3"/>
  <c r="C102" i="3"/>
  <c r="E102" i="3" l="1"/>
  <c r="A104" i="3"/>
  <c r="C103" i="3"/>
  <c r="E103" i="3" l="1"/>
  <c r="A105" i="3"/>
  <c r="C104" i="3"/>
  <c r="E104" i="3" l="1"/>
  <c r="A106" i="3"/>
  <c r="C105" i="3"/>
  <c r="E105" i="3" l="1"/>
  <c r="A107" i="3"/>
  <c r="C106" i="3"/>
  <c r="E106" i="3" l="1"/>
  <c r="A108" i="3"/>
  <c r="C107" i="3"/>
  <c r="E107" i="3" l="1"/>
  <c r="A109" i="3"/>
  <c r="C108" i="3"/>
  <c r="E108" i="3" l="1"/>
  <c r="A110" i="3"/>
  <c r="C109" i="3"/>
  <c r="E109" i="3" l="1"/>
  <c r="A111" i="3"/>
  <c r="C110" i="3"/>
  <c r="E110" i="3" l="1"/>
  <c r="A112" i="3"/>
  <c r="C111" i="3"/>
  <c r="E111" i="3" l="1"/>
  <c r="A113" i="3"/>
  <c r="C112" i="3"/>
  <c r="E112" i="3" l="1"/>
  <c r="A114" i="3"/>
  <c r="C113" i="3"/>
  <c r="E113" i="3" l="1"/>
  <c r="A115" i="3"/>
  <c r="C114" i="3"/>
  <c r="E114" i="3" l="1"/>
  <c r="A116" i="3"/>
  <c r="C115" i="3"/>
  <c r="E115" i="3" l="1"/>
  <c r="A117" i="3"/>
  <c r="C116" i="3"/>
  <c r="E116" i="3" l="1"/>
  <c r="A118" i="3"/>
  <c r="C117" i="3"/>
  <c r="E117" i="3" l="1"/>
  <c r="A119" i="3"/>
  <c r="C118" i="3"/>
  <c r="E118" i="3" l="1"/>
  <c r="A120" i="3"/>
  <c r="C119" i="3"/>
  <c r="E119" i="3" l="1"/>
  <c r="A121" i="3"/>
  <c r="C120" i="3"/>
  <c r="E120" i="3" l="1"/>
  <c r="A122" i="3"/>
  <c r="C121" i="3"/>
  <c r="E121" i="3" l="1"/>
  <c r="A123" i="3"/>
  <c r="C122" i="3"/>
  <c r="E122" i="3" l="1"/>
  <c r="A124" i="3"/>
  <c r="C123" i="3"/>
  <c r="E123" i="3" l="1"/>
  <c r="A125" i="3"/>
  <c r="C124" i="3"/>
  <c r="E124" i="3" l="1"/>
  <c r="A126" i="3"/>
  <c r="C125" i="3"/>
  <c r="E125" i="3" l="1"/>
  <c r="A127" i="3"/>
  <c r="C126" i="3"/>
  <c r="E126" i="3" l="1"/>
  <c r="A128" i="3"/>
  <c r="C127" i="3"/>
  <c r="E127" i="3" l="1"/>
  <c r="A129" i="3"/>
  <c r="C128" i="3"/>
  <c r="E128" i="3" l="1"/>
  <c r="A130" i="3"/>
  <c r="C129" i="3"/>
  <c r="E129" i="3" l="1"/>
  <c r="A131" i="3"/>
  <c r="C130" i="3"/>
  <c r="E130" i="3" l="1"/>
  <c r="A132" i="3"/>
  <c r="C131" i="3"/>
  <c r="E131" i="3" l="1"/>
  <c r="A133" i="3"/>
  <c r="C132" i="3"/>
  <c r="E132" i="3" l="1"/>
  <c r="A134" i="3"/>
  <c r="C133" i="3"/>
  <c r="E133" i="3" l="1"/>
  <c r="A135" i="3"/>
  <c r="C134" i="3"/>
  <c r="E134" i="3" l="1"/>
  <c r="A136" i="3"/>
  <c r="C135" i="3"/>
  <c r="E135" i="3" l="1"/>
  <c r="A137" i="3"/>
  <c r="C136" i="3"/>
  <c r="E136" i="3" l="1"/>
  <c r="A138" i="3"/>
  <c r="C137" i="3"/>
  <c r="E137" i="3" l="1"/>
  <c r="A139" i="3"/>
  <c r="C138" i="3"/>
  <c r="E138" i="3" l="1"/>
  <c r="A140" i="3"/>
  <c r="C139" i="3"/>
  <c r="E139" i="3" l="1"/>
  <c r="A141" i="3"/>
  <c r="C140" i="3"/>
  <c r="E140" i="3" l="1"/>
  <c r="A142" i="3"/>
  <c r="C141" i="3"/>
  <c r="E141" i="3" l="1"/>
  <c r="A143" i="3"/>
  <c r="C142" i="3"/>
  <c r="E142" i="3" l="1"/>
  <c r="A144" i="3"/>
  <c r="C143" i="3"/>
  <c r="E143" i="3" l="1"/>
  <c r="A145" i="3"/>
  <c r="C144" i="3"/>
  <c r="E144" i="3" l="1"/>
  <c r="A146" i="3"/>
  <c r="C145" i="3"/>
  <c r="E145" i="3" l="1"/>
  <c r="A147" i="3"/>
  <c r="C146" i="3"/>
  <c r="E146" i="3" l="1"/>
  <c r="A148" i="3"/>
  <c r="C147" i="3"/>
  <c r="E147" i="3" l="1"/>
  <c r="A149" i="3"/>
  <c r="C148" i="3"/>
  <c r="E148" i="3" l="1"/>
  <c r="A150" i="3"/>
  <c r="C149" i="3"/>
  <c r="E149" i="3" l="1"/>
  <c r="A151" i="3"/>
  <c r="C150" i="3"/>
  <c r="E150" i="3" l="1"/>
  <c r="A152" i="3"/>
  <c r="C151" i="3"/>
  <c r="E151" i="3" l="1"/>
  <c r="A153" i="3"/>
  <c r="C152" i="3"/>
  <c r="E152" i="3" l="1"/>
  <c r="A154" i="3"/>
  <c r="C153" i="3"/>
  <c r="E153" i="3" l="1"/>
  <c r="A155" i="3"/>
  <c r="C154" i="3"/>
  <c r="E154" i="3" l="1"/>
  <c r="A156" i="3"/>
  <c r="C155" i="3"/>
  <c r="E155" i="3" l="1"/>
  <c r="A157" i="3"/>
  <c r="C156" i="3"/>
  <c r="E156" i="3" l="1"/>
  <c r="A158" i="3"/>
  <c r="C157" i="3"/>
  <c r="E157" i="3" l="1"/>
  <c r="A159" i="3"/>
  <c r="C158" i="3"/>
  <c r="E158" i="3" l="1"/>
  <c r="A160" i="3"/>
  <c r="C159" i="3"/>
  <c r="E159" i="3" l="1"/>
  <c r="A161" i="3"/>
  <c r="C160" i="3"/>
  <c r="E160" i="3" l="1"/>
  <c r="A162" i="3"/>
  <c r="C161" i="3"/>
  <c r="E161" i="3" l="1"/>
  <c r="A163" i="3"/>
  <c r="C162" i="3"/>
  <c r="E162" i="3" l="1"/>
  <c r="A164" i="3"/>
  <c r="C163" i="3"/>
  <c r="E163" i="3" l="1"/>
  <c r="A165" i="3"/>
  <c r="C164" i="3"/>
  <c r="E164" i="3" l="1"/>
  <c r="A166" i="3"/>
  <c r="C165" i="3"/>
  <c r="E165" i="3" l="1"/>
  <c r="A167" i="3"/>
  <c r="C166" i="3"/>
  <c r="E166" i="3" l="1"/>
  <c r="A168" i="3"/>
  <c r="C167" i="3"/>
  <c r="E167" i="3" l="1"/>
  <c r="A169" i="3"/>
  <c r="C168" i="3"/>
  <c r="E168" i="3" l="1"/>
  <c r="A170" i="3"/>
  <c r="C169" i="3"/>
  <c r="E169" i="3" l="1"/>
  <c r="A171" i="3"/>
  <c r="C170" i="3"/>
  <c r="E170" i="3" l="1"/>
  <c r="A172" i="3"/>
  <c r="C171" i="3"/>
  <c r="E171" i="3" l="1"/>
  <c r="A173" i="3"/>
  <c r="C172" i="3"/>
  <c r="E172" i="3" l="1"/>
  <c r="A174" i="3"/>
  <c r="C173" i="3"/>
  <c r="E173" i="3" l="1"/>
  <c r="A175" i="3"/>
  <c r="C174" i="3"/>
  <c r="E174" i="3" l="1"/>
  <c r="A176" i="3"/>
  <c r="C175" i="3"/>
  <c r="E175" i="3" l="1"/>
  <c r="A177" i="3"/>
  <c r="C176" i="3"/>
  <c r="E176" i="3" l="1"/>
  <c r="A178" i="3"/>
  <c r="C177" i="3"/>
  <c r="E177" i="3" l="1"/>
  <c r="A179" i="3"/>
  <c r="C178" i="3"/>
  <c r="E178" i="3" l="1"/>
  <c r="A180" i="3"/>
  <c r="C179" i="3"/>
  <c r="E179" i="3" l="1"/>
  <c r="A181" i="3"/>
  <c r="C180" i="3"/>
  <c r="E180" i="3" l="1"/>
  <c r="A182" i="3"/>
  <c r="C181" i="3"/>
  <c r="E181" i="3" l="1"/>
  <c r="A183" i="3"/>
  <c r="C182" i="3"/>
  <c r="E182" i="3" l="1"/>
  <c r="A184" i="3"/>
  <c r="C183" i="3"/>
  <c r="E183" i="3" l="1"/>
  <c r="A185" i="3"/>
  <c r="C184" i="3"/>
  <c r="E184" i="3" l="1"/>
  <c r="A186" i="3"/>
  <c r="C185" i="3"/>
  <c r="E185" i="3" l="1"/>
  <c r="A187" i="3"/>
  <c r="C186" i="3"/>
  <c r="E186" i="3" l="1"/>
  <c r="A188" i="3"/>
  <c r="C187" i="3"/>
  <c r="E187" i="3" l="1"/>
  <c r="A189" i="3"/>
  <c r="C188" i="3"/>
  <c r="E188" i="3" l="1"/>
  <c r="A190" i="3"/>
  <c r="C189" i="3"/>
  <c r="E189" i="3" l="1"/>
  <c r="A191" i="3"/>
  <c r="C190" i="3"/>
  <c r="E190" i="3" l="1"/>
  <c r="A192" i="3"/>
  <c r="C191" i="3"/>
  <c r="E191" i="3" l="1"/>
  <c r="A193" i="3"/>
  <c r="C192" i="3"/>
  <c r="E192" i="3" l="1"/>
  <c r="A194" i="3"/>
  <c r="C193" i="3"/>
  <c r="E193" i="3" l="1"/>
  <c r="A195" i="3"/>
  <c r="C194" i="3"/>
  <c r="E194" i="3" l="1"/>
  <c r="A196" i="3"/>
  <c r="C195" i="3"/>
  <c r="E195" i="3" l="1"/>
  <c r="A197" i="3"/>
  <c r="C196" i="3"/>
  <c r="E196" i="3" l="1"/>
  <c r="A198" i="3"/>
  <c r="C197" i="3"/>
  <c r="E197" i="3" l="1"/>
  <c r="A199" i="3"/>
  <c r="C198" i="3"/>
  <c r="E198" i="3" l="1"/>
  <c r="A200" i="3"/>
  <c r="C199" i="3"/>
  <c r="E199" i="3" l="1"/>
  <c r="A201" i="3"/>
  <c r="C200" i="3"/>
  <c r="E200" i="3" l="1"/>
  <c r="A202" i="3"/>
  <c r="C201" i="3"/>
  <c r="E201" i="3" l="1"/>
  <c r="A203" i="3"/>
  <c r="C202" i="3"/>
  <c r="E202" i="3" l="1"/>
  <c r="A204" i="3"/>
  <c r="C203" i="3"/>
  <c r="E203" i="3" l="1"/>
  <c r="A205" i="3"/>
  <c r="C204" i="3"/>
  <c r="E204" i="3" l="1"/>
  <c r="A206" i="3"/>
  <c r="C205" i="3"/>
  <c r="E205" i="3" l="1"/>
  <c r="A207" i="3"/>
  <c r="C206" i="3"/>
  <c r="E206" i="3" l="1"/>
  <c r="A208" i="3"/>
  <c r="C207" i="3"/>
  <c r="E207" i="3" l="1"/>
  <c r="A209" i="3"/>
  <c r="C208" i="3"/>
  <c r="E208" i="3" l="1"/>
  <c r="A210" i="3"/>
  <c r="C209" i="3"/>
  <c r="E209" i="3" l="1"/>
  <c r="A211" i="3"/>
  <c r="C210" i="3"/>
  <c r="E210" i="3" l="1"/>
  <c r="A212" i="3"/>
  <c r="C211" i="3"/>
  <c r="E211" i="3" l="1"/>
  <c r="A213" i="3"/>
  <c r="C212" i="3"/>
  <c r="E212" i="3" l="1"/>
  <c r="A214" i="3"/>
  <c r="C213" i="3"/>
  <c r="E213" i="3" l="1"/>
  <c r="A215" i="3"/>
  <c r="C214" i="3"/>
  <c r="E214" i="3" l="1"/>
  <c r="A216" i="3"/>
  <c r="C215" i="3"/>
  <c r="E215" i="3" l="1"/>
  <c r="A217" i="3"/>
  <c r="C216" i="3"/>
  <c r="E216" i="3" l="1"/>
  <c r="A218" i="3"/>
  <c r="C217" i="3"/>
  <c r="E217" i="3" l="1"/>
  <c r="A219" i="3"/>
  <c r="C218" i="3"/>
  <c r="E218" i="3" l="1"/>
  <c r="A220" i="3"/>
  <c r="C219" i="3"/>
  <c r="E219" i="3" l="1"/>
  <c r="A221" i="3"/>
  <c r="C220" i="3"/>
  <c r="E220" i="3" l="1"/>
  <c r="A222" i="3"/>
  <c r="C221" i="3"/>
  <c r="E221" i="3" l="1"/>
  <c r="A223" i="3"/>
  <c r="C222" i="3"/>
  <c r="E222" i="3" l="1"/>
  <c r="A224" i="3"/>
  <c r="C223" i="3"/>
  <c r="E223" i="3" l="1"/>
  <c r="A225" i="3"/>
  <c r="C224" i="3"/>
  <c r="E224" i="3" l="1"/>
  <c r="A226" i="3"/>
  <c r="C225" i="3"/>
  <c r="E225" i="3" l="1"/>
  <c r="A227" i="3"/>
  <c r="C226" i="3"/>
  <c r="E226" i="3" l="1"/>
  <c r="A228" i="3"/>
  <c r="C227" i="3"/>
  <c r="E227" i="3" l="1"/>
  <c r="A229" i="3"/>
  <c r="C228" i="3"/>
  <c r="E228" i="3" l="1"/>
  <c r="A230" i="3"/>
  <c r="C229" i="3"/>
  <c r="E229" i="3" l="1"/>
  <c r="A231" i="3"/>
  <c r="C230" i="3"/>
  <c r="E230" i="3" l="1"/>
  <c r="A232" i="3"/>
  <c r="C231" i="3"/>
  <c r="E231" i="3" l="1"/>
  <c r="A233" i="3"/>
  <c r="C232" i="3"/>
  <c r="E232" i="3" l="1"/>
  <c r="A234" i="3"/>
  <c r="C233" i="3"/>
  <c r="E233" i="3" l="1"/>
  <c r="A235" i="3"/>
  <c r="C234" i="3"/>
  <c r="E234" i="3" l="1"/>
  <c r="A236" i="3"/>
  <c r="C235" i="3"/>
  <c r="E235" i="3" l="1"/>
  <c r="A237" i="3"/>
  <c r="C236" i="3"/>
  <c r="E236" i="3" l="1"/>
  <c r="A238" i="3"/>
  <c r="C237" i="3"/>
  <c r="E237" i="3" l="1"/>
  <c r="A239" i="3"/>
  <c r="C238" i="3"/>
  <c r="E238" i="3" l="1"/>
  <c r="A240" i="3"/>
  <c r="C239" i="3"/>
  <c r="E239" i="3" l="1"/>
  <c r="A241" i="3"/>
  <c r="C240" i="3"/>
  <c r="E240" i="3" l="1"/>
  <c r="A242" i="3"/>
  <c r="C241" i="3"/>
  <c r="E241" i="3" l="1"/>
  <c r="A243" i="3"/>
  <c r="C242" i="3"/>
  <c r="E242" i="3" l="1"/>
  <c r="A244" i="3"/>
  <c r="C243" i="3"/>
  <c r="E243" i="3" l="1"/>
  <c r="A245" i="3"/>
  <c r="C244" i="3"/>
  <c r="E244" i="3" l="1"/>
  <c r="A246" i="3"/>
  <c r="C245" i="3"/>
  <c r="E245" i="3" l="1"/>
  <c r="A247" i="3"/>
  <c r="C246" i="3"/>
  <c r="E246" i="3" l="1"/>
  <c r="A248" i="3"/>
  <c r="C247" i="3"/>
  <c r="E247" i="3" l="1"/>
  <c r="A249" i="3"/>
  <c r="C248" i="3"/>
  <c r="E248" i="3" l="1"/>
  <c r="A250" i="3"/>
  <c r="C249" i="3"/>
  <c r="E249" i="3" l="1"/>
  <c r="A251" i="3"/>
  <c r="C250" i="3"/>
  <c r="E250" i="3" l="1"/>
  <c r="A252" i="3"/>
  <c r="C251" i="3"/>
  <c r="E251" i="3" l="1"/>
  <c r="A253" i="3"/>
  <c r="C252" i="3"/>
  <c r="E252" i="3" l="1"/>
  <c r="A254" i="3"/>
  <c r="C253" i="3"/>
  <c r="E253" i="3" l="1"/>
  <c r="A255" i="3"/>
  <c r="C254" i="3"/>
  <c r="E254" i="3" l="1"/>
  <c r="A256" i="3"/>
  <c r="C255" i="3"/>
  <c r="E255" i="3" l="1"/>
  <c r="A257" i="3"/>
  <c r="C256" i="3"/>
  <c r="E256" i="3" l="1"/>
  <c r="A258" i="3"/>
  <c r="C257" i="3"/>
  <c r="E257" i="3" l="1"/>
  <c r="A259" i="3"/>
  <c r="C258" i="3"/>
  <c r="E258" i="3" l="1"/>
  <c r="A260" i="3"/>
  <c r="C259" i="3"/>
  <c r="E259" i="3" l="1"/>
  <c r="A261" i="3"/>
  <c r="C260" i="3"/>
  <c r="E260" i="3" l="1"/>
  <c r="A262" i="3"/>
  <c r="C261" i="3"/>
  <c r="E261" i="3" l="1"/>
  <c r="A263" i="3"/>
  <c r="C262" i="3"/>
  <c r="E262" i="3" l="1"/>
  <c r="A264" i="3"/>
  <c r="C263" i="3"/>
  <c r="E263" i="3" l="1"/>
  <c r="A265" i="3"/>
  <c r="C264" i="3"/>
  <c r="E264" i="3" l="1"/>
  <c r="A266" i="3"/>
  <c r="C265" i="3"/>
  <c r="E265" i="3" l="1"/>
  <c r="A267" i="3"/>
  <c r="C266" i="3"/>
  <c r="E266" i="3" l="1"/>
  <c r="A268" i="3"/>
  <c r="C267" i="3"/>
  <c r="E267" i="3" l="1"/>
  <c r="A269" i="3"/>
  <c r="C268" i="3"/>
  <c r="E268" i="3" l="1"/>
  <c r="A270" i="3"/>
  <c r="C269" i="3"/>
  <c r="E269" i="3" l="1"/>
  <c r="A271" i="3"/>
  <c r="C270" i="3"/>
  <c r="E270" i="3" l="1"/>
  <c r="A272" i="3"/>
  <c r="C271" i="3"/>
  <c r="E271" i="3" l="1"/>
  <c r="A273" i="3"/>
  <c r="C272" i="3"/>
  <c r="E272" i="3" l="1"/>
  <c r="A274" i="3"/>
  <c r="C273" i="3"/>
  <c r="E273" i="3" l="1"/>
  <c r="A275" i="3"/>
  <c r="C274" i="3"/>
  <c r="E274" i="3" l="1"/>
  <c r="A276" i="3"/>
  <c r="C275" i="3"/>
  <c r="E275" i="3" l="1"/>
  <c r="A277" i="3"/>
  <c r="C276" i="3"/>
  <c r="E276" i="3" l="1"/>
  <c r="A278" i="3"/>
  <c r="C277" i="3"/>
  <c r="E277" i="3" l="1"/>
  <c r="A279" i="3"/>
  <c r="C278" i="3"/>
  <c r="E278" i="3" l="1"/>
  <c r="A280" i="3"/>
  <c r="C279" i="3"/>
  <c r="E279" i="3" l="1"/>
  <c r="A281" i="3"/>
  <c r="C280" i="3"/>
  <c r="E280" i="3" l="1"/>
  <c r="A282" i="3"/>
  <c r="C281" i="3"/>
  <c r="E281" i="3" l="1"/>
  <c r="A283" i="3"/>
  <c r="C282" i="3"/>
  <c r="E282" i="3" l="1"/>
  <c r="A284" i="3"/>
  <c r="C283" i="3"/>
  <c r="E283" i="3" l="1"/>
  <c r="A285" i="3"/>
  <c r="C284" i="3"/>
  <c r="E284" i="3" l="1"/>
  <c r="A286" i="3"/>
  <c r="C285" i="3"/>
  <c r="E285" i="3" l="1"/>
  <c r="A287" i="3"/>
  <c r="C286" i="3"/>
  <c r="E286" i="3" l="1"/>
  <c r="A288" i="3"/>
  <c r="C287" i="3"/>
  <c r="E287" i="3" l="1"/>
  <c r="A289" i="3"/>
  <c r="C288" i="3"/>
  <c r="E288" i="3" l="1"/>
  <c r="A290" i="3"/>
  <c r="C289" i="3"/>
  <c r="E289" i="3" l="1"/>
  <c r="A291" i="3"/>
  <c r="C290" i="3"/>
  <c r="E290" i="3" l="1"/>
  <c r="A292" i="3"/>
  <c r="C291" i="3"/>
  <c r="E291" i="3" l="1"/>
  <c r="A293" i="3"/>
  <c r="C292" i="3"/>
  <c r="E292" i="3" l="1"/>
  <c r="A294" i="3"/>
  <c r="C293" i="3"/>
  <c r="E293" i="3" l="1"/>
  <c r="A295" i="3"/>
  <c r="C294" i="3"/>
  <c r="E294" i="3" l="1"/>
  <c r="A296" i="3"/>
  <c r="C295" i="3"/>
  <c r="E295" i="3" l="1"/>
  <c r="A297" i="3"/>
  <c r="C296" i="3"/>
  <c r="E296" i="3" l="1"/>
  <c r="A298" i="3"/>
  <c r="C297" i="3"/>
  <c r="E297" i="3" l="1"/>
  <c r="A299" i="3"/>
  <c r="C298" i="3"/>
  <c r="E298" i="3" l="1"/>
  <c r="A300" i="3"/>
  <c r="C299" i="3"/>
  <c r="E299" i="3" l="1"/>
  <c r="A301" i="3"/>
  <c r="C300" i="3"/>
  <c r="E300" i="3" l="1"/>
  <c r="A302" i="3"/>
  <c r="C301" i="3"/>
  <c r="E301" i="3" l="1"/>
  <c r="A303" i="3"/>
  <c r="C302" i="3"/>
  <c r="E302" i="3" l="1"/>
  <c r="A304" i="3"/>
  <c r="C303" i="3"/>
  <c r="E303" i="3" l="1"/>
  <c r="A305" i="3"/>
  <c r="C304" i="3"/>
  <c r="E304" i="3" l="1"/>
  <c r="A306" i="3"/>
  <c r="C305" i="3"/>
  <c r="E305" i="3" l="1"/>
  <c r="A307" i="3"/>
  <c r="C306" i="3"/>
  <c r="E306" i="3" l="1"/>
  <c r="A308" i="3"/>
  <c r="C307" i="3"/>
  <c r="E307" i="3" l="1"/>
  <c r="A309" i="3"/>
  <c r="C308" i="3"/>
  <c r="E308" i="3" l="1"/>
  <c r="A310" i="3"/>
  <c r="C309" i="3"/>
  <c r="E309" i="3" l="1"/>
  <c r="A311" i="3"/>
  <c r="C310" i="3"/>
  <c r="E310" i="3" l="1"/>
  <c r="A312" i="3"/>
  <c r="C311" i="3"/>
  <c r="E311" i="3" l="1"/>
  <c r="A313" i="3"/>
  <c r="C312" i="3"/>
  <c r="E312" i="3" l="1"/>
  <c r="A314" i="3"/>
  <c r="C313" i="3"/>
  <c r="E313" i="3" l="1"/>
  <c r="A315" i="3"/>
  <c r="C314" i="3"/>
  <c r="E314" i="3" l="1"/>
  <c r="A316" i="3"/>
  <c r="C315" i="3"/>
  <c r="E315" i="3" l="1"/>
  <c r="A317" i="3"/>
  <c r="C316" i="3"/>
  <c r="E316" i="3" l="1"/>
  <c r="A318" i="3"/>
  <c r="C317" i="3"/>
  <c r="E317" i="3" l="1"/>
  <c r="A319" i="3"/>
  <c r="C318" i="3"/>
  <c r="E318" i="3" l="1"/>
  <c r="A320" i="3"/>
  <c r="C319" i="3"/>
  <c r="E319" i="3" l="1"/>
  <c r="A321" i="3"/>
  <c r="C320" i="3"/>
  <c r="E320" i="3" l="1"/>
  <c r="A322" i="3"/>
  <c r="C321" i="3"/>
  <c r="E321" i="3" l="1"/>
  <c r="A323" i="3"/>
  <c r="C322" i="3"/>
  <c r="E322" i="3" l="1"/>
  <c r="A324" i="3"/>
  <c r="C323" i="3"/>
  <c r="E323" i="3" l="1"/>
  <c r="A325" i="3"/>
  <c r="C324" i="3"/>
  <c r="E324" i="3" l="1"/>
  <c r="A326" i="3"/>
  <c r="C325" i="3"/>
  <c r="E325" i="3" l="1"/>
  <c r="A327" i="3"/>
  <c r="C326" i="3"/>
  <c r="E326" i="3" l="1"/>
  <c r="A328" i="3"/>
  <c r="C327" i="3"/>
  <c r="E327" i="3" l="1"/>
  <c r="A329" i="3"/>
  <c r="C328" i="3"/>
  <c r="E328" i="3" l="1"/>
  <c r="A330" i="3"/>
  <c r="C329" i="3"/>
  <c r="E329" i="3" l="1"/>
  <c r="A331" i="3"/>
  <c r="C330" i="3"/>
  <c r="E330" i="3" l="1"/>
  <c r="A332" i="3"/>
  <c r="C331" i="3"/>
  <c r="E331" i="3" l="1"/>
  <c r="A333" i="3"/>
  <c r="C332" i="3"/>
  <c r="E332" i="3" l="1"/>
  <c r="A334" i="3"/>
  <c r="C333" i="3"/>
  <c r="E333" i="3" l="1"/>
  <c r="A335" i="3"/>
  <c r="C334" i="3"/>
  <c r="E334" i="3" l="1"/>
  <c r="A336" i="3"/>
  <c r="C335" i="3"/>
  <c r="E335" i="3" l="1"/>
  <c r="A337" i="3"/>
  <c r="C336" i="3"/>
  <c r="E336" i="3" l="1"/>
  <c r="A338" i="3"/>
  <c r="C337" i="3"/>
  <c r="E337" i="3" l="1"/>
  <c r="A339" i="3"/>
  <c r="C338" i="3"/>
  <c r="E338" i="3" l="1"/>
  <c r="A340" i="3"/>
  <c r="C339" i="3"/>
  <c r="E339" i="3" l="1"/>
  <c r="A341" i="3"/>
  <c r="C340" i="3"/>
  <c r="E340" i="3" l="1"/>
  <c r="A342" i="3"/>
  <c r="C341" i="3"/>
  <c r="E341" i="3" l="1"/>
  <c r="A343" i="3"/>
  <c r="C342" i="3"/>
  <c r="E342" i="3" l="1"/>
  <c r="A344" i="3"/>
  <c r="C343" i="3"/>
  <c r="E343" i="3" l="1"/>
  <c r="A345" i="3"/>
  <c r="C344" i="3"/>
  <c r="E344" i="3" l="1"/>
  <c r="A346" i="3"/>
  <c r="C345" i="3"/>
  <c r="E345" i="3" l="1"/>
  <c r="A347" i="3"/>
  <c r="C346" i="3"/>
  <c r="E346" i="3" l="1"/>
  <c r="A348" i="3"/>
  <c r="C347" i="3"/>
  <c r="E347" i="3" l="1"/>
  <c r="A349" i="3"/>
  <c r="C348" i="3"/>
  <c r="E348" i="3" l="1"/>
  <c r="A350" i="3"/>
  <c r="C349" i="3"/>
  <c r="E349" i="3" l="1"/>
  <c r="A351" i="3"/>
  <c r="C350" i="3"/>
  <c r="E350" i="3" l="1"/>
  <c r="A352" i="3"/>
  <c r="C351" i="3"/>
  <c r="E351" i="3" l="1"/>
  <c r="A353" i="3"/>
  <c r="C352" i="3"/>
  <c r="E352" i="3" l="1"/>
  <c r="A354" i="3"/>
  <c r="C353" i="3"/>
  <c r="E353" i="3" l="1"/>
  <c r="A355" i="3"/>
  <c r="C354" i="3"/>
  <c r="E354" i="3" l="1"/>
  <c r="A356" i="3"/>
  <c r="C355" i="3"/>
  <c r="E355" i="3" l="1"/>
  <c r="A357" i="3"/>
  <c r="C356" i="3"/>
  <c r="E356" i="3" l="1"/>
  <c r="A358" i="3"/>
  <c r="C357" i="3"/>
  <c r="E357" i="3" l="1"/>
  <c r="A359" i="3"/>
  <c r="C358" i="3"/>
  <c r="E358" i="3" l="1"/>
  <c r="A360" i="3"/>
  <c r="C359" i="3"/>
  <c r="E359" i="3" l="1"/>
  <c r="A361" i="3"/>
  <c r="C360" i="3"/>
  <c r="E360" i="3" l="1"/>
  <c r="A362" i="3"/>
  <c r="C361" i="3"/>
  <c r="E361" i="3" l="1"/>
  <c r="A363" i="3"/>
  <c r="C362" i="3"/>
  <c r="E362" i="3" l="1"/>
  <c r="A364" i="3"/>
  <c r="C363" i="3"/>
  <c r="E363" i="3" l="1"/>
  <c r="A365" i="3"/>
  <c r="C364" i="3"/>
  <c r="E364" i="3" l="1"/>
  <c r="A366" i="3"/>
  <c r="C365" i="3"/>
  <c r="E365" i="3" l="1"/>
  <c r="A367" i="3"/>
  <c r="C366" i="3"/>
  <c r="E366" i="3" l="1"/>
  <c r="A368" i="3"/>
  <c r="C367" i="3"/>
  <c r="E367" i="3" l="1"/>
  <c r="A369" i="3"/>
  <c r="C368" i="3"/>
  <c r="E368" i="3" l="1"/>
  <c r="A370" i="3"/>
  <c r="C369" i="3"/>
  <c r="E369" i="3" l="1"/>
  <c r="A371" i="3"/>
  <c r="C370" i="3"/>
  <c r="E370" i="3" l="1"/>
  <c r="A372" i="3"/>
  <c r="C371" i="3"/>
  <c r="E371" i="3" l="1"/>
  <c r="A373" i="3"/>
  <c r="C372" i="3"/>
  <c r="E372" i="3" l="1"/>
  <c r="A374" i="3"/>
  <c r="C373" i="3"/>
  <c r="E373" i="3" l="1"/>
  <c r="A375" i="3"/>
  <c r="C374" i="3"/>
  <c r="E374" i="3" l="1"/>
  <c r="A376" i="3"/>
  <c r="C375" i="3"/>
  <c r="E375" i="3" l="1"/>
  <c r="A377" i="3"/>
  <c r="C376" i="3"/>
  <c r="E376" i="3" l="1"/>
  <c r="A378" i="3"/>
  <c r="C377" i="3"/>
  <c r="E377" i="3" l="1"/>
  <c r="A379" i="3"/>
  <c r="C378" i="3"/>
  <c r="E378" i="3" l="1"/>
  <c r="A380" i="3"/>
  <c r="C379" i="3"/>
  <c r="E379" i="3" l="1"/>
  <c r="A381" i="3"/>
  <c r="C380" i="3"/>
  <c r="E380" i="3" l="1"/>
  <c r="A382" i="3"/>
  <c r="C381" i="3"/>
  <c r="E381" i="3" l="1"/>
  <c r="A383" i="3"/>
  <c r="C382" i="3"/>
  <c r="E382" i="3" l="1"/>
  <c r="A384" i="3"/>
  <c r="C383" i="3"/>
  <c r="E383" i="3" l="1"/>
  <c r="A385" i="3"/>
  <c r="C384" i="3"/>
  <c r="E384" i="3" l="1"/>
  <c r="A386" i="3"/>
  <c r="C385" i="3"/>
  <c r="E385" i="3" l="1"/>
  <c r="A387" i="3"/>
  <c r="C386" i="3"/>
  <c r="E386" i="3" l="1"/>
  <c r="A388" i="3"/>
  <c r="C387" i="3"/>
  <c r="E387" i="3" l="1"/>
  <c r="A389" i="3"/>
  <c r="C388" i="3"/>
  <c r="E388" i="3" l="1"/>
  <c r="A390" i="3"/>
  <c r="C389" i="3"/>
  <c r="E389" i="3" l="1"/>
  <c r="A391" i="3"/>
  <c r="C390" i="3"/>
  <c r="E390" i="3" l="1"/>
  <c r="A392" i="3"/>
  <c r="C391" i="3"/>
  <c r="E391" i="3" l="1"/>
  <c r="A393" i="3"/>
  <c r="C392" i="3"/>
  <c r="E392" i="3" l="1"/>
  <c r="A394" i="3"/>
  <c r="C393" i="3"/>
  <c r="E393" i="3" l="1"/>
  <c r="A395" i="3"/>
  <c r="C394" i="3"/>
  <c r="E394" i="3" l="1"/>
  <c r="A396" i="3"/>
  <c r="C395" i="3"/>
  <c r="E395" i="3" l="1"/>
  <c r="A397" i="3"/>
  <c r="C396" i="3"/>
  <c r="E396" i="3" l="1"/>
  <c r="A398" i="3"/>
  <c r="C397" i="3"/>
  <c r="E397" i="3" l="1"/>
  <c r="A399" i="3"/>
  <c r="C398" i="3"/>
  <c r="E398" i="3" l="1"/>
  <c r="A400" i="3"/>
  <c r="C399" i="3"/>
  <c r="E399" i="3" l="1"/>
  <c r="A401" i="3"/>
  <c r="C400" i="3"/>
  <c r="E400" i="3" l="1"/>
  <c r="A402" i="3"/>
  <c r="C401" i="3"/>
  <c r="E401" i="3" l="1"/>
  <c r="A403" i="3"/>
  <c r="C402" i="3"/>
  <c r="E402" i="3" l="1"/>
  <c r="A404" i="3"/>
  <c r="C403" i="3"/>
  <c r="E403" i="3" l="1"/>
  <c r="A405" i="3"/>
  <c r="C404" i="3"/>
  <c r="E404" i="3" l="1"/>
  <c r="A406" i="3"/>
  <c r="C405" i="3"/>
  <c r="E405" i="3" l="1"/>
  <c r="A407" i="3"/>
  <c r="C406" i="3"/>
  <c r="E406" i="3" l="1"/>
  <c r="A408" i="3"/>
  <c r="C407" i="3"/>
  <c r="E407" i="3" l="1"/>
  <c r="A409" i="3"/>
  <c r="C408" i="3"/>
  <c r="E408" i="3" l="1"/>
  <c r="A410" i="3"/>
  <c r="C409" i="3"/>
  <c r="E409" i="3" l="1"/>
  <c r="A411" i="3"/>
  <c r="C410" i="3"/>
  <c r="E410" i="3" l="1"/>
  <c r="A412" i="3"/>
  <c r="C411" i="3"/>
  <c r="E411" i="3" l="1"/>
  <c r="A413" i="3"/>
  <c r="C412" i="3"/>
  <c r="E412" i="3" l="1"/>
  <c r="A414" i="3"/>
  <c r="C413" i="3"/>
  <c r="E413" i="3" l="1"/>
  <c r="A415" i="3"/>
  <c r="C414" i="3"/>
  <c r="E414" i="3" l="1"/>
  <c r="A416" i="3"/>
  <c r="C415" i="3"/>
  <c r="E415" i="3" l="1"/>
  <c r="A417" i="3"/>
  <c r="C416" i="3"/>
  <c r="E416" i="3" l="1"/>
  <c r="A418" i="3"/>
  <c r="C417" i="3"/>
  <c r="E417" i="3" l="1"/>
  <c r="A419" i="3"/>
  <c r="C418" i="3"/>
  <c r="E418" i="3" l="1"/>
  <c r="A420" i="3"/>
  <c r="C419" i="3"/>
  <c r="E419" i="3" l="1"/>
  <c r="A421" i="3"/>
  <c r="C420" i="3"/>
  <c r="E420" i="3" l="1"/>
  <c r="A422" i="3"/>
  <c r="C421" i="3"/>
  <c r="E421" i="3" l="1"/>
  <c r="A423" i="3"/>
  <c r="C422" i="3"/>
  <c r="E422" i="3" l="1"/>
  <c r="A424" i="3"/>
  <c r="C423" i="3"/>
  <c r="E423" i="3" l="1"/>
  <c r="A425" i="3"/>
  <c r="C424" i="3"/>
  <c r="E424" i="3" l="1"/>
  <c r="A426" i="3"/>
  <c r="C425" i="3"/>
  <c r="E425" i="3" l="1"/>
  <c r="A427" i="3"/>
  <c r="C426" i="3"/>
  <c r="E426" i="3" l="1"/>
  <c r="A428" i="3"/>
  <c r="C427" i="3"/>
  <c r="E427" i="3" l="1"/>
  <c r="A429" i="3"/>
  <c r="C428" i="3"/>
  <c r="E428" i="3" l="1"/>
  <c r="A430" i="3"/>
  <c r="C429" i="3"/>
  <c r="E429" i="3" l="1"/>
  <c r="A431" i="3"/>
  <c r="C430" i="3"/>
  <c r="E430" i="3" l="1"/>
  <c r="A432" i="3"/>
  <c r="C431" i="3"/>
  <c r="E431" i="3" l="1"/>
  <c r="A433" i="3"/>
  <c r="C432" i="3"/>
  <c r="E432" i="3" l="1"/>
  <c r="A434" i="3"/>
  <c r="C433" i="3"/>
  <c r="E433" i="3" l="1"/>
  <c r="A435" i="3"/>
  <c r="C434" i="3"/>
  <c r="E434" i="3" l="1"/>
  <c r="A436" i="3"/>
  <c r="C435" i="3"/>
  <c r="E435" i="3" l="1"/>
  <c r="A437" i="3"/>
  <c r="C436" i="3"/>
  <c r="E436" i="3" l="1"/>
  <c r="A438" i="3"/>
  <c r="C437" i="3"/>
  <c r="E437" i="3" l="1"/>
  <c r="A439" i="3"/>
  <c r="C438" i="3"/>
  <c r="E438" i="3" l="1"/>
  <c r="A440" i="3"/>
  <c r="C439" i="3"/>
  <c r="E439" i="3" l="1"/>
  <c r="A441" i="3"/>
  <c r="C440" i="3"/>
  <c r="E440" i="3" l="1"/>
  <c r="A442" i="3"/>
  <c r="C441" i="3"/>
  <c r="E441" i="3" l="1"/>
  <c r="A443" i="3"/>
  <c r="C442" i="3"/>
  <c r="E442" i="3" l="1"/>
  <c r="A444" i="3"/>
  <c r="C443" i="3"/>
  <c r="E443" i="3" l="1"/>
  <c r="A445" i="3"/>
  <c r="C444" i="3"/>
  <c r="E444" i="3" l="1"/>
  <c r="A446" i="3"/>
  <c r="C445" i="3"/>
  <c r="E445" i="3" l="1"/>
  <c r="A447" i="3"/>
  <c r="C446" i="3"/>
  <c r="E446" i="3" l="1"/>
  <c r="A448" i="3"/>
  <c r="C447" i="3"/>
  <c r="E447" i="3" l="1"/>
  <c r="A449" i="3"/>
  <c r="C448" i="3"/>
  <c r="E448" i="3" l="1"/>
  <c r="A450" i="3"/>
  <c r="C449" i="3"/>
  <c r="E449" i="3" l="1"/>
  <c r="A451" i="3"/>
  <c r="C450" i="3"/>
  <c r="E450" i="3" l="1"/>
  <c r="A452" i="3"/>
  <c r="C451" i="3"/>
  <c r="E451" i="3" l="1"/>
  <c r="A453" i="3"/>
  <c r="C452" i="3"/>
  <c r="E452" i="3" l="1"/>
  <c r="A454" i="3"/>
  <c r="C453" i="3"/>
  <c r="E453" i="3" l="1"/>
  <c r="A455" i="3"/>
  <c r="C454" i="3"/>
  <c r="E454" i="3" l="1"/>
  <c r="A456" i="3"/>
  <c r="C455" i="3"/>
  <c r="E455" i="3" l="1"/>
  <c r="A457" i="3"/>
  <c r="C456" i="3"/>
  <c r="E456" i="3" l="1"/>
  <c r="A458" i="3"/>
  <c r="C457" i="3"/>
  <c r="E457" i="3" l="1"/>
  <c r="A459" i="3"/>
  <c r="C458" i="3"/>
  <c r="E458" i="3" l="1"/>
  <c r="A460" i="3"/>
  <c r="C459" i="3"/>
  <c r="E459" i="3" l="1"/>
  <c r="A461" i="3"/>
  <c r="C460" i="3"/>
  <c r="E460" i="3" l="1"/>
  <c r="A462" i="3"/>
  <c r="C461" i="3"/>
  <c r="E461" i="3" l="1"/>
  <c r="A463" i="3"/>
  <c r="C462" i="3"/>
  <c r="E462" i="3" l="1"/>
  <c r="A464" i="3"/>
  <c r="C463" i="3"/>
  <c r="E463" i="3" l="1"/>
  <c r="A465" i="3"/>
  <c r="C464" i="3"/>
  <c r="E464" i="3" l="1"/>
  <c r="A466" i="3"/>
  <c r="C465" i="3"/>
  <c r="E465" i="3" l="1"/>
  <c r="A467" i="3"/>
  <c r="C466" i="3"/>
  <c r="E466" i="3" l="1"/>
  <c r="A468" i="3"/>
  <c r="C467" i="3"/>
  <c r="E467" i="3" l="1"/>
  <c r="A469" i="3"/>
  <c r="C468" i="3"/>
  <c r="E468" i="3" l="1"/>
  <c r="A470" i="3"/>
  <c r="C469" i="3"/>
  <c r="E469" i="3" l="1"/>
  <c r="A471" i="3"/>
  <c r="C470" i="3"/>
  <c r="E470" i="3" l="1"/>
  <c r="A472" i="3"/>
  <c r="C471" i="3"/>
  <c r="E471" i="3" l="1"/>
  <c r="A473" i="3"/>
  <c r="C472" i="3"/>
  <c r="E472" i="3" l="1"/>
  <c r="A474" i="3"/>
  <c r="C473" i="3"/>
  <c r="E473" i="3" l="1"/>
  <c r="A475" i="3"/>
  <c r="C474" i="3"/>
  <c r="E474" i="3" l="1"/>
  <c r="A476" i="3"/>
  <c r="C475" i="3"/>
  <c r="E475" i="3" l="1"/>
  <c r="A477" i="3"/>
  <c r="C476" i="3"/>
  <c r="E476" i="3" l="1"/>
  <c r="A478" i="3"/>
  <c r="C477" i="3"/>
  <c r="E477" i="3" l="1"/>
  <c r="A479" i="3"/>
  <c r="C478" i="3"/>
  <c r="E478" i="3" l="1"/>
  <c r="A480" i="3"/>
  <c r="C479" i="3"/>
  <c r="E479" i="3" l="1"/>
  <c r="A481" i="3"/>
  <c r="C481" i="3" s="1"/>
  <c r="E481" i="3" s="1"/>
  <c r="C480" i="3"/>
  <c r="E480" i="3" l="1"/>
  <c r="D2" i="3"/>
</calcChain>
</file>

<file path=xl/sharedStrings.xml><?xml version="1.0" encoding="utf-8"?>
<sst xmlns="http://schemas.openxmlformats.org/spreadsheetml/2006/main" count="30" uniqueCount="28">
  <si>
    <t xml:space="preserve">THIS IS A VIEW-ONLY EXCEL SHEET. </t>
  </si>
  <si>
    <t>DOWNLOAD THIS SHEET (FILE -&gt; DOWNLOAD AS XLSX) AND THEN USE IT ON YOUR OWN</t>
  </si>
  <si>
    <t>This sheet has been prepared by Ankur Warikoo, who is NOT a financial advisor :)</t>
  </si>
  <si>
    <t>So use this sheet with your judgement and not like "this is my final decision"</t>
  </si>
  <si>
    <t xml:space="preserve">All cells in green are input cells, which means you have to put in the number </t>
  </si>
  <si>
    <t>All other cells - ideally you should not touch them. But I have kept them open, so that you can see the formula and how it works</t>
  </si>
  <si>
    <t>NOTE:</t>
  </si>
  <si>
    <t>Since I am not a financial advisor, there could be some errors in the sheet. If there are, send me an email and I will fix them. Simple :)</t>
  </si>
  <si>
    <t xml:space="preserve">Hope you find this useful. </t>
  </si>
  <si>
    <t>Loan Amount remaining</t>
  </si>
  <si>
    <t>Loan Interest Rate</t>
  </si>
  <si>
    <t>Current month of the loan</t>
  </si>
  <si>
    <t>Months remaining for the loan</t>
  </si>
  <si>
    <t>Lumpsum amount you have?</t>
  </si>
  <si>
    <t>Amount you can invest every month?</t>
  </si>
  <si>
    <t>Return you can generate every year?</t>
  </si>
  <si>
    <t>Over the tenure of your loan</t>
  </si>
  <si>
    <t>You will pay interest of:</t>
  </si>
  <si>
    <t>You would have invested:</t>
  </si>
  <si>
    <t>Your investment would have grown to:</t>
  </si>
  <si>
    <t>Which means you made an excess of:</t>
  </si>
  <si>
    <t xml:space="preserve">This means you should </t>
  </si>
  <si>
    <t>Month</t>
  </si>
  <si>
    <t>Amount</t>
  </si>
  <si>
    <t>Return</t>
  </si>
  <si>
    <t>Total Amount</t>
  </si>
  <si>
    <t>Inflation adjusted</t>
  </si>
  <si>
    <t>Lumpsum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</si>
</sst>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5">
    <font>
      <sz val="11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Calibri"/>
    </font>
    <font>
      <i/>
      <sz val="11"/>
      <color theme="1"/>
      <name val="Calibri"/>
    </font>
    <font>
      <b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3" borderId="0" xfId="0" applyFont="1" applyFill="1"/>
    <xf numFmtId="164" fontId="2" fillId="4" borderId="1" xfId="0" applyNumberFormat="1" applyFont="1" applyFill="1" applyBorder="1"/>
    <xf numFmtId="9" fontId="2" fillId="4" borderId="1" xfId="0" applyNumberFormat="1" applyFont="1" applyFill="1" applyBorder="1"/>
    <xf numFmtId="0" fontId="3" fillId="0" borderId="0" xfId="0" applyFont="1"/>
    <xf numFmtId="9" fontId="2" fillId="0" borderId="0" xfId="0" applyNumberFormat="1" applyFont="1"/>
    <xf numFmtId="0" fontId="4" fillId="2" borderId="0" xfId="0" applyFont="1" applyFill="1" applyAlignment="1">
      <alignment horizontal="center"/>
    </xf>
    <xf numFmtId="164" fontId="2" fillId="0" borderId="0" xfId="0" applyNumberFormat="1" applyFon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2"/>
  <sheetViews>
    <sheetView tabSelected="1" workbookViewId="0"/>
  </sheetViews>
  <sheetFormatPr defaultColWidth="12.625" defaultRowHeight="15" customHeight="1"/>
  <cols>
    <col min="1" max="26" width="7.625" customWidth="1"/>
  </cols>
  <sheetData>
    <row r="1" spans="1:2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4" spans="1:26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/>
    <row r="15" spans="1:26" ht="15.75" customHeight="1"/>
    <row r="16" spans="1:2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4"/>
  <sheetViews>
    <sheetView workbookViewId="0"/>
  </sheetViews>
  <sheetFormatPr defaultColWidth="12.625" defaultRowHeight="15" customHeight="1"/>
  <cols>
    <col min="1" max="1" width="32" customWidth="1"/>
    <col min="2" max="2" width="17.5" customWidth="1"/>
    <col min="3" max="3" width="23.125" customWidth="1"/>
    <col min="4" max="4" width="16.875" customWidth="1"/>
    <col min="5" max="26" width="7.625" customWidth="1"/>
  </cols>
  <sheetData>
    <row r="1" spans="1:26">
      <c r="A1" s="9" t="s">
        <v>9</v>
      </c>
      <c r="B1" s="3">
        <v>1000000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9" t="s">
        <v>10</v>
      </c>
      <c r="B2" s="4">
        <v>0.08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>
      <c r="A3" s="9" t="s">
        <v>11</v>
      </c>
      <c r="B3" s="3">
        <v>15</v>
      </c>
      <c r="C3" s="5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9" t="s">
        <v>12</v>
      </c>
      <c r="B4" s="3">
        <v>60</v>
      </c>
      <c r="C4" s="5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9" t="s">
        <v>13</v>
      </c>
      <c r="B5" s="3">
        <v>100000</v>
      </c>
      <c r="C5" s="5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9" t="s">
        <v>14</v>
      </c>
      <c r="B6" s="3">
        <v>7000</v>
      </c>
      <c r="C6" s="5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9" t="s">
        <v>15</v>
      </c>
      <c r="B7" s="4">
        <v>0.1</v>
      </c>
      <c r="C7" s="5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9"/>
      <c r="B8" s="6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75" customHeight="1">
      <c r="A9" s="9" t="s">
        <v>16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75" customHeight="1">
      <c r="A10" s="9" t="s">
        <v>17</v>
      </c>
      <c r="B10" s="10">
        <f>-CUMIPMT(B2/12,(B3+B4),B1,B3,B4,1)</f>
        <v>172862.51079805545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.75" customHeight="1">
      <c r="A11" s="9" t="s">
        <v>18</v>
      </c>
      <c r="B11" s="8">
        <f>B5+B6*B4</f>
        <v>520000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.75" customHeight="1">
      <c r="A12" s="9" t="s">
        <v>19</v>
      </c>
      <c r="B12" s="10">
        <f>-FV(B7/12,B4,B6,B5)</f>
        <v>706590.39869186969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.75" customHeight="1">
      <c r="A13" s="9" t="s">
        <v>20</v>
      </c>
      <c r="B13" s="10">
        <f>B12-B11</f>
        <v>186590.39869186969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.75" customHeight="1">
      <c r="A14" s="9" t="s">
        <v>21</v>
      </c>
      <c r="B14" s="7" t="str">
        <f>IF(B13&lt;B10,"PAY OFF THE LOAN", "INVEST THE AMOUNT")</f>
        <v>INVEST THE AMOUNT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1" max="1" width="7.625" customWidth="1"/>
    <col min="2" max="2" width="12" customWidth="1"/>
    <col min="3" max="4" width="7.625" customWidth="1"/>
    <col min="5" max="5" width="14.75" customWidth="1"/>
    <col min="6" max="26" width="7.625" customWidth="1"/>
  </cols>
  <sheetData>
    <row r="1" spans="1:9">
      <c r="A1" s="9" t="s">
        <v>22</v>
      </c>
      <c r="B1" s="8" t="s">
        <v>23</v>
      </c>
      <c r="C1" s="9" t="s">
        <v>24</v>
      </c>
      <c r="D1" s="9" t="s">
        <v>25</v>
      </c>
      <c r="E1" s="9" t="s">
        <v>26</v>
      </c>
      <c r="F1" s="9" t="s">
        <v>25</v>
      </c>
      <c r="H1" s="9" t="s">
        <v>27</v>
      </c>
      <c r="I1" s="9" t="s">
        <v>26</v>
      </c>
    </row>
    <row r="2" spans="1:9">
      <c r="A2" s="9">
        <v>1</v>
      </c>
      <c r="B2" s="8">
        <f>'Pay off vs Invest'!B6</f>
        <v>7000</v>
      </c>
      <c r="C2" s="9">
        <f>IF(A2&lt;=('Pay off vs Invest'!$B$2-'Pay off vs Invest'!$B$1)*12,Calculations!B2*(1+#REF!/12)^(('Pay off vs Invest'!$B$2-'Pay off vs Invest'!$B$1)*12-A2),0)</f>
        <v>0</v>
      </c>
      <c r="D2" s="9">
        <f>SUM(C2:C481)</f>
        <v>0</v>
      </c>
      <c r="E2" s="9" t="e">
        <f>C2/((1+#REF!/12)^((('Pay off vs Invest'!$B$2-'Pay off vs Invest'!$B$1)*12)-Calculations!A2))</f>
        <v>#REF!</v>
      </c>
      <c r="F2" s="9" t="e">
        <f>SUM(E2:E481)</f>
        <v>#REF!</v>
      </c>
      <c r="H2" s="9" t="e">
        <f>'Pay off vs Invest'!B4*(1+#REF!)^(('Pay off vs Invest'!B2-'Pay off vs Invest'!B1))</f>
        <v>#REF!</v>
      </c>
      <c r="I2" s="9" t="e">
        <f>H2/(1+#REF!)^('Pay off vs Invest'!B2-'Pay off vs Invest'!B1)</f>
        <v>#REF!</v>
      </c>
    </row>
    <row r="3" spans="1:9">
      <c r="A3" s="9">
        <f t="shared" ref="A3:A481" si="0">A2+1</f>
        <v>2</v>
      </c>
      <c r="B3" s="8">
        <f t="shared" ref="B3:B13" si="1">B2</f>
        <v>7000</v>
      </c>
      <c r="C3" s="9">
        <f>IF(A3&lt;=('Pay off vs Invest'!$B$2-'Pay off vs Invest'!$B$1)*12,Calculations!B3*(1+#REF!/12)^(('Pay off vs Invest'!$B$2-'Pay off vs Invest'!$B$1)*12-A3),0)</f>
        <v>0</v>
      </c>
      <c r="E3" s="9" t="e">
        <f>C3/((1+#REF!/12)^((('Pay off vs Invest'!$B$2-'Pay off vs Invest'!$B$1)*12)-Calculations!A3))</f>
        <v>#REF!</v>
      </c>
    </row>
    <row r="4" spans="1:9">
      <c r="A4" s="9">
        <f t="shared" si="0"/>
        <v>3</v>
      </c>
      <c r="B4" s="8">
        <f t="shared" si="1"/>
        <v>7000</v>
      </c>
      <c r="C4" s="9">
        <f>IF(A4&lt;=('Pay off vs Invest'!$B$2-'Pay off vs Invest'!$B$1)*12,Calculations!B4*(1+#REF!/12)^(('Pay off vs Invest'!$B$2-'Pay off vs Invest'!$B$1)*12-A4),0)</f>
        <v>0</v>
      </c>
      <c r="E4" s="9" t="e">
        <f>C4/((1+#REF!/12)^((('Pay off vs Invest'!$B$2-'Pay off vs Invest'!$B$1)*12)-Calculations!A4))</f>
        <v>#REF!</v>
      </c>
    </row>
    <row r="5" spans="1:9">
      <c r="A5" s="9">
        <f t="shared" si="0"/>
        <v>4</v>
      </c>
      <c r="B5" s="8">
        <f t="shared" si="1"/>
        <v>7000</v>
      </c>
      <c r="C5" s="9">
        <f>IF(A5&lt;=('Pay off vs Invest'!$B$2-'Pay off vs Invest'!$B$1)*12,Calculations!B5*(1+#REF!/12)^(('Pay off vs Invest'!$B$2-'Pay off vs Invest'!$B$1)*12-A5),0)</f>
        <v>0</v>
      </c>
      <c r="E5" s="9" t="e">
        <f>C5/((1+#REF!/12)^((('Pay off vs Invest'!$B$2-'Pay off vs Invest'!$B$1)*12)-Calculations!A5))</f>
        <v>#REF!</v>
      </c>
    </row>
    <row r="6" spans="1:9">
      <c r="A6" s="9">
        <f t="shared" si="0"/>
        <v>5</v>
      </c>
      <c r="B6" s="8">
        <f t="shared" si="1"/>
        <v>7000</v>
      </c>
      <c r="C6" s="9">
        <f>IF(A6&lt;=('Pay off vs Invest'!$B$2-'Pay off vs Invest'!$B$1)*12,Calculations!B6*(1+#REF!/12)^(('Pay off vs Invest'!$B$2-'Pay off vs Invest'!$B$1)*12-A6),0)</f>
        <v>0</v>
      </c>
      <c r="E6" s="9" t="e">
        <f>C6/((1+#REF!/12)^((('Pay off vs Invest'!$B$2-'Pay off vs Invest'!$B$1)*12)-Calculations!A6))</f>
        <v>#REF!</v>
      </c>
    </row>
    <row r="7" spans="1:9">
      <c r="A7" s="9">
        <f t="shared" si="0"/>
        <v>6</v>
      </c>
      <c r="B7" s="8">
        <f t="shared" si="1"/>
        <v>7000</v>
      </c>
      <c r="C7" s="9">
        <f>IF(A7&lt;=('Pay off vs Invest'!$B$2-'Pay off vs Invest'!$B$1)*12,Calculations!B7*(1+#REF!/12)^(('Pay off vs Invest'!$B$2-'Pay off vs Invest'!$B$1)*12-A7),0)</f>
        <v>0</v>
      </c>
      <c r="E7" s="9" t="e">
        <f>C7/((1+#REF!/12)^((('Pay off vs Invest'!$B$2-'Pay off vs Invest'!$B$1)*12)-Calculations!A7))</f>
        <v>#REF!</v>
      </c>
    </row>
    <row r="8" spans="1:9">
      <c r="A8" s="9">
        <f t="shared" si="0"/>
        <v>7</v>
      </c>
      <c r="B8" s="8">
        <f t="shared" si="1"/>
        <v>7000</v>
      </c>
      <c r="C8" s="9">
        <f>IF(A8&lt;=('Pay off vs Invest'!$B$2-'Pay off vs Invest'!$B$1)*12,Calculations!B8*(1+#REF!/12)^(('Pay off vs Invest'!$B$2-'Pay off vs Invest'!$B$1)*12-A8),0)</f>
        <v>0</v>
      </c>
      <c r="E8" s="9" t="e">
        <f>C8/((1+#REF!/12)^((('Pay off vs Invest'!$B$2-'Pay off vs Invest'!$B$1)*12)-Calculations!A8))</f>
        <v>#REF!</v>
      </c>
    </row>
    <row r="9" spans="1:9">
      <c r="A9" s="9">
        <f t="shared" si="0"/>
        <v>8</v>
      </c>
      <c r="B9" s="8">
        <f t="shared" si="1"/>
        <v>7000</v>
      </c>
      <c r="C9" s="9">
        <f>IF(A9&lt;=('Pay off vs Invest'!$B$2-'Pay off vs Invest'!$B$1)*12,Calculations!B9*(1+#REF!/12)^(('Pay off vs Invest'!$B$2-'Pay off vs Invest'!$B$1)*12-A9),0)</f>
        <v>0</v>
      </c>
      <c r="E9" s="9" t="e">
        <f>C9/((1+#REF!/12)^((('Pay off vs Invest'!$B$2-'Pay off vs Invest'!$B$1)*12)-Calculations!A9))</f>
        <v>#REF!</v>
      </c>
    </row>
    <row r="10" spans="1:9">
      <c r="A10" s="9">
        <f t="shared" si="0"/>
        <v>9</v>
      </c>
      <c r="B10" s="8">
        <f t="shared" si="1"/>
        <v>7000</v>
      </c>
      <c r="C10" s="9">
        <f>IF(A10&lt;=('Pay off vs Invest'!$B$2-'Pay off vs Invest'!$B$1)*12,Calculations!B10*(1+#REF!/12)^(('Pay off vs Invest'!$B$2-'Pay off vs Invest'!$B$1)*12-A10),0)</f>
        <v>0</v>
      </c>
      <c r="E10" s="9" t="e">
        <f>C10/((1+#REF!/12)^((('Pay off vs Invest'!$B$2-'Pay off vs Invest'!$B$1)*12)-Calculations!A10))</f>
        <v>#REF!</v>
      </c>
    </row>
    <row r="11" spans="1:9">
      <c r="A11" s="9">
        <f t="shared" si="0"/>
        <v>10</v>
      </c>
      <c r="B11" s="8">
        <f t="shared" si="1"/>
        <v>7000</v>
      </c>
      <c r="C11" s="9">
        <f>IF(A11&lt;=('Pay off vs Invest'!$B$2-'Pay off vs Invest'!$B$1)*12,Calculations!B11*(1+#REF!/12)^(('Pay off vs Invest'!$B$2-'Pay off vs Invest'!$B$1)*12-A11),0)</f>
        <v>0</v>
      </c>
      <c r="E11" s="9" t="e">
        <f>C11/((1+#REF!/12)^((('Pay off vs Invest'!$B$2-'Pay off vs Invest'!$B$1)*12)-Calculations!A11))</f>
        <v>#REF!</v>
      </c>
    </row>
    <row r="12" spans="1:9">
      <c r="A12" s="9">
        <f t="shared" si="0"/>
        <v>11</v>
      </c>
      <c r="B12" s="8">
        <f t="shared" si="1"/>
        <v>7000</v>
      </c>
      <c r="C12" s="9">
        <f>IF(A12&lt;=('Pay off vs Invest'!$B$2-'Pay off vs Invest'!$B$1)*12,Calculations!B12*(1+#REF!/12)^(('Pay off vs Invest'!$B$2-'Pay off vs Invest'!$B$1)*12-A12),0)</f>
        <v>0</v>
      </c>
      <c r="E12" s="9" t="e">
        <f>C12/((1+#REF!/12)^((('Pay off vs Invest'!$B$2-'Pay off vs Invest'!$B$1)*12)-Calculations!A12))</f>
        <v>#REF!</v>
      </c>
    </row>
    <row r="13" spans="1:9">
      <c r="A13" s="9">
        <f t="shared" si="0"/>
        <v>12</v>
      </c>
      <c r="B13" s="8">
        <f t="shared" si="1"/>
        <v>7000</v>
      </c>
      <c r="C13" s="9">
        <f>IF(A13&lt;=('Pay off vs Invest'!$B$2-'Pay off vs Invest'!$B$1)*12,Calculations!B13*(1+#REF!/12)^(('Pay off vs Invest'!$B$2-'Pay off vs Invest'!$B$1)*12-A13),0)</f>
        <v>0</v>
      </c>
      <c r="E13" s="9" t="e">
        <f>C13/((1+#REF!/12)^((('Pay off vs Invest'!$B$2-'Pay off vs Invest'!$B$1)*12)-Calculations!A13))</f>
        <v>#REF!</v>
      </c>
    </row>
    <row r="14" spans="1:9">
      <c r="A14" s="9">
        <f t="shared" si="0"/>
        <v>13</v>
      </c>
      <c r="B14" s="8">
        <f>B13*(1+'Pay off vs Invest'!$B$7)</f>
        <v>7700.0000000000009</v>
      </c>
      <c r="C14" s="9">
        <f>IF(A14&lt;=('Pay off vs Invest'!$B$2-'Pay off vs Invest'!$B$1)*12,Calculations!B14*(1+#REF!/12)^(('Pay off vs Invest'!$B$2-'Pay off vs Invest'!$B$1)*12-A14),0)</f>
        <v>0</v>
      </c>
      <c r="E14" s="9" t="e">
        <f>C14/((1+#REF!/12)^((('Pay off vs Invest'!$B$2-'Pay off vs Invest'!$B$1)*12)-Calculations!A14))</f>
        <v>#REF!</v>
      </c>
    </row>
    <row r="15" spans="1:9">
      <c r="A15" s="9">
        <f t="shared" si="0"/>
        <v>14</v>
      </c>
      <c r="B15" s="8">
        <f t="shared" ref="B15:B25" si="2">B14</f>
        <v>7700.0000000000009</v>
      </c>
      <c r="C15" s="9">
        <f>IF(A15&lt;=('Pay off vs Invest'!$B$2-'Pay off vs Invest'!$B$1)*12,Calculations!B15*(1+#REF!/12)^(('Pay off vs Invest'!$B$2-'Pay off vs Invest'!$B$1)*12-A15),0)</f>
        <v>0</v>
      </c>
      <c r="E15" s="9" t="e">
        <f>C15/((1+#REF!/12)^((('Pay off vs Invest'!$B$2-'Pay off vs Invest'!$B$1)*12)-Calculations!A15))</f>
        <v>#REF!</v>
      </c>
    </row>
    <row r="16" spans="1:9">
      <c r="A16" s="9">
        <f t="shared" si="0"/>
        <v>15</v>
      </c>
      <c r="B16" s="8">
        <f t="shared" si="2"/>
        <v>7700.0000000000009</v>
      </c>
      <c r="C16" s="9">
        <f>IF(A16&lt;=('Pay off vs Invest'!$B$2-'Pay off vs Invest'!$B$1)*12,Calculations!B16*(1+#REF!/12)^(('Pay off vs Invest'!$B$2-'Pay off vs Invest'!$B$1)*12-A16),0)</f>
        <v>0</v>
      </c>
      <c r="E16" s="9" t="e">
        <f>C16/((1+#REF!/12)^((('Pay off vs Invest'!$B$2-'Pay off vs Invest'!$B$1)*12)-Calculations!A16))</f>
        <v>#REF!</v>
      </c>
    </row>
    <row r="17" spans="1:5">
      <c r="A17" s="9">
        <f t="shared" si="0"/>
        <v>16</v>
      </c>
      <c r="B17" s="8">
        <f t="shared" si="2"/>
        <v>7700.0000000000009</v>
      </c>
      <c r="C17" s="9">
        <f>IF(A17&lt;=('Pay off vs Invest'!$B$2-'Pay off vs Invest'!$B$1)*12,Calculations!B17*(1+#REF!/12)^(('Pay off vs Invest'!$B$2-'Pay off vs Invest'!$B$1)*12-A17),0)</f>
        <v>0</v>
      </c>
      <c r="E17" s="9" t="e">
        <f>C17/((1+#REF!/12)^((('Pay off vs Invest'!$B$2-'Pay off vs Invest'!$B$1)*12)-Calculations!A17))</f>
        <v>#REF!</v>
      </c>
    </row>
    <row r="18" spans="1:5">
      <c r="A18" s="9">
        <f t="shared" si="0"/>
        <v>17</v>
      </c>
      <c r="B18" s="8">
        <f t="shared" si="2"/>
        <v>7700.0000000000009</v>
      </c>
      <c r="C18" s="9">
        <f>IF(A18&lt;=('Pay off vs Invest'!$B$2-'Pay off vs Invest'!$B$1)*12,Calculations!B18*(1+#REF!/12)^(('Pay off vs Invest'!$B$2-'Pay off vs Invest'!$B$1)*12-A18),0)</f>
        <v>0</v>
      </c>
      <c r="E18" s="9" t="e">
        <f>C18/((1+#REF!/12)^((('Pay off vs Invest'!$B$2-'Pay off vs Invest'!$B$1)*12)-Calculations!A18))</f>
        <v>#REF!</v>
      </c>
    </row>
    <row r="19" spans="1:5">
      <c r="A19" s="9">
        <f t="shared" si="0"/>
        <v>18</v>
      </c>
      <c r="B19" s="8">
        <f t="shared" si="2"/>
        <v>7700.0000000000009</v>
      </c>
      <c r="C19" s="9">
        <f>IF(A19&lt;=('Pay off vs Invest'!$B$2-'Pay off vs Invest'!$B$1)*12,Calculations!B19*(1+#REF!/12)^(('Pay off vs Invest'!$B$2-'Pay off vs Invest'!$B$1)*12-A19),0)</f>
        <v>0</v>
      </c>
      <c r="E19" s="9" t="e">
        <f>C19/((1+#REF!/12)^((('Pay off vs Invest'!$B$2-'Pay off vs Invest'!$B$1)*12)-Calculations!A19))</f>
        <v>#REF!</v>
      </c>
    </row>
    <row r="20" spans="1:5">
      <c r="A20" s="9">
        <f t="shared" si="0"/>
        <v>19</v>
      </c>
      <c r="B20" s="8">
        <f t="shared" si="2"/>
        <v>7700.0000000000009</v>
      </c>
      <c r="C20" s="9">
        <f>IF(A20&lt;=('Pay off vs Invest'!$B$2-'Pay off vs Invest'!$B$1)*12,Calculations!B20*(1+#REF!/12)^(('Pay off vs Invest'!$B$2-'Pay off vs Invest'!$B$1)*12-A20),0)</f>
        <v>0</v>
      </c>
      <c r="E20" s="9" t="e">
        <f>C20/((1+#REF!/12)^((('Pay off vs Invest'!$B$2-'Pay off vs Invest'!$B$1)*12)-Calculations!A20))</f>
        <v>#REF!</v>
      </c>
    </row>
    <row r="21" spans="1:5" ht="15.75" customHeight="1">
      <c r="A21" s="9">
        <f t="shared" si="0"/>
        <v>20</v>
      </c>
      <c r="B21" s="8">
        <f t="shared" si="2"/>
        <v>7700.0000000000009</v>
      </c>
      <c r="C21" s="9">
        <f>IF(A21&lt;=('Pay off vs Invest'!$B$2-'Pay off vs Invest'!$B$1)*12,Calculations!B21*(1+#REF!/12)^(('Pay off vs Invest'!$B$2-'Pay off vs Invest'!$B$1)*12-A21),0)</f>
        <v>0</v>
      </c>
      <c r="E21" s="9" t="e">
        <f>C21/((1+#REF!/12)^((('Pay off vs Invest'!$B$2-'Pay off vs Invest'!$B$1)*12)-Calculations!A21))</f>
        <v>#REF!</v>
      </c>
    </row>
    <row r="22" spans="1:5" ht="15.75" customHeight="1">
      <c r="A22" s="9">
        <f t="shared" si="0"/>
        <v>21</v>
      </c>
      <c r="B22" s="8">
        <f t="shared" si="2"/>
        <v>7700.0000000000009</v>
      </c>
      <c r="C22" s="9">
        <f>IF(A22&lt;=('Pay off vs Invest'!$B$2-'Pay off vs Invest'!$B$1)*12,Calculations!B22*(1+#REF!/12)^(('Pay off vs Invest'!$B$2-'Pay off vs Invest'!$B$1)*12-A22),0)</f>
        <v>0</v>
      </c>
      <c r="E22" s="9" t="e">
        <f>C22/((1+#REF!/12)^((('Pay off vs Invest'!$B$2-'Pay off vs Invest'!$B$1)*12)-Calculations!A22))</f>
        <v>#REF!</v>
      </c>
    </row>
    <row r="23" spans="1:5" ht="15.75" customHeight="1">
      <c r="A23" s="9">
        <f t="shared" si="0"/>
        <v>22</v>
      </c>
      <c r="B23" s="8">
        <f t="shared" si="2"/>
        <v>7700.0000000000009</v>
      </c>
      <c r="C23" s="9">
        <f>IF(A23&lt;=('Pay off vs Invest'!$B$2-'Pay off vs Invest'!$B$1)*12,Calculations!B23*(1+#REF!/12)^(('Pay off vs Invest'!$B$2-'Pay off vs Invest'!$B$1)*12-A23),0)</f>
        <v>0</v>
      </c>
      <c r="E23" s="9" t="e">
        <f>C23/((1+#REF!/12)^((('Pay off vs Invest'!$B$2-'Pay off vs Invest'!$B$1)*12)-Calculations!A23))</f>
        <v>#REF!</v>
      </c>
    </row>
    <row r="24" spans="1:5" ht="15.75" customHeight="1">
      <c r="A24" s="9">
        <f t="shared" si="0"/>
        <v>23</v>
      </c>
      <c r="B24" s="8">
        <f t="shared" si="2"/>
        <v>7700.0000000000009</v>
      </c>
      <c r="C24" s="9">
        <f>IF(A24&lt;=('Pay off vs Invest'!$B$2-'Pay off vs Invest'!$B$1)*12,Calculations!B24*(1+#REF!/12)^(('Pay off vs Invest'!$B$2-'Pay off vs Invest'!$B$1)*12-A24),0)</f>
        <v>0</v>
      </c>
      <c r="E24" s="9" t="e">
        <f>C24/((1+#REF!/12)^((('Pay off vs Invest'!$B$2-'Pay off vs Invest'!$B$1)*12)-Calculations!A24))</f>
        <v>#REF!</v>
      </c>
    </row>
    <row r="25" spans="1:5" ht="15.75" customHeight="1">
      <c r="A25" s="9">
        <f t="shared" si="0"/>
        <v>24</v>
      </c>
      <c r="B25" s="8">
        <f t="shared" si="2"/>
        <v>7700.0000000000009</v>
      </c>
      <c r="C25" s="9">
        <f>IF(A25&lt;=('Pay off vs Invest'!$B$2-'Pay off vs Invest'!$B$1)*12,Calculations!B25*(1+#REF!/12)^(('Pay off vs Invest'!$B$2-'Pay off vs Invest'!$B$1)*12-A25),0)</f>
        <v>0</v>
      </c>
      <c r="E25" s="9" t="e">
        <f>C25/((1+#REF!/12)^((('Pay off vs Invest'!$B$2-'Pay off vs Invest'!$B$1)*12)-Calculations!A25))</f>
        <v>#REF!</v>
      </c>
    </row>
    <row r="26" spans="1:5" ht="15.75" customHeight="1">
      <c r="A26" s="9">
        <f t="shared" si="0"/>
        <v>25</v>
      </c>
      <c r="B26" s="8">
        <f>B25*(1+'Pay off vs Invest'!$B$7)</f>
        <v>8470.0000000000018</v>
      </c>
      <c r="C26" s="9">
        <f>IF(A26&lt;=('Pay off vs Invest'!$B$2-'Pay off vs Invest'!$B$1)*12,Calculations!B26*(1+#REF!/12)^(('Pay off vs Invest'!$B$2-'Pay off vs Invest'!$B$1)*12-A26),0)</f>
        <v>0</v>
      </c>
      <c r="E26" s="9" t="e">
        <f>C26/((1+#REF!/12)^((('Pay off vs Invest'!$B$2-'Pay off vs Invest'!$B$1)*12)-Calculations!A26))</f>
        <v>#REF!</v>
      </c>
    </row>
    <row r="27" spans="1:5" ht="15.75" customHeight="1">
      <c r="A27" s="9">
        <f t="shared" si="0"/>
        <v>26</v>
      </c>
      <c r="B27" s="8">
        <f t="shared" ref="B27:B37" si="3">B26</f>
        <v>8470.0000000000018</v>
      </c>
      <c r="C27" s="9">
        <f>IF(A27&lt;=('Pay off vs Invest'!$B$2-'Pay off vs Invest'!$B$1)*12,Calculations!B27*(1+#REF!/12)^(('Pay off vs Invest'!$B$2-'Pay off vs Invest'!$B$1)*12-A27),0)</f>
        <v>0</v>
      </c>
      <c r="E27" s="9" t="e">
        <f>C27/((1+#REF!/12)^((('Pay off vs Invest'!$B$2-'Pay off vs Invest'!$B$1)*12)-Calculations!A27))</f>
        <v>#REF!</v>
      </c>
    </row>
    <row r="28" spans="1:5" ht="15.75" customHeight="1">
      <c r="A28" s="9">
        <f t="shared" si="0"/>
        <v>27</v>
      </c>
      <c r="B28" s="8">
        <f t="shared" si="3"/>
        <v>8470.0000000000018</v>
      </c>
      <c r="C28" s="9">
        <f>IF(A28&lt;=('Pay off vs Invest'!$B$2-'Pay off vs Invest'!$B$1)*12,Calculations!B28*(1+#REF!/12)^(('Pay off vs Invest'!$B$2-'Pay off vs Invest'!$B$1)*12-A28),0)</f>
        <v>0</v>
      </c>
      <c r="E28" s="9" t="e">
        <f>C28/((1+#REF!/12)^((('Pay off vs Invest'!$B$2-'Pay off vs Invest'!$B$1)*12)-Calculations!A28))</f>
        <v>#REF!</v>
      </c>
    </row>
    <row r="29" spans="1:5" ht="15.75" customHeight="1">
      <c r="A29" s="9">
        <f t="shared" si="0"/>
        <v>28</v>
      </c>
      <c r="B29" s="8">
        <f t="shared" si="3"/>
        <v>8470.0000000000018</v>
      </c>
      <c r="C29" s="9">
        <f>IF(A29&lt;=('Pay off vs Invest'!$B$2-'Pay off vs Invest'!$B$1)*12,Calculations!B29*(1+#REF!/12)^(('Pay off vs Invest'!$B$2-'Pay off vs Invest'!$B$1)*12-A29),0)</f>
        <v>0</v>
      </c>
      <c r="E29" s="9" t="e">
        <f>C29/((1+#REF!/12)^((('Pay off vs Invest'!$B$2-'Pay off vs Invest'!$B$1)*12)-Calculations!A29))</f>
        <v>#REF!</v>
      </c>
    </row>
    <row r="30" spans="1:5" ht="15.75" customHeight="1">
      <c r="A30" s="9">
        <f t="shared" si="0"/>
        <v>29</v>
      </c>
      <c r="B30" s="8">
        <f t="shared" si="3"/>
        <v>8470.0000000000018</v>
      </c>
      <c r="C30" s="9">
        <f>IF(A30&lt;=('Pay off vs Invest'!$B$2-'Pay off vs Invest'!$B$1)*12,Calculations!B30*(1+#REF!/12)^(('Pay off vs Invest'!$B$2-'Pay off vs Invest'!$B$1)*12-A30),0)</f>
        <v>0</v>
      </c>
      <c r="E30" s="9" t="e">
        <f>C30/((1+#REF!/12)^((('Pay off vs Invest'!$B$2-'Pay off vs Invest'!$B$1)*12)-Calculations!A30))</f>
        <v>#REF!</v>
      </c>
    </row>
    <row r="31" spans="1:5" ht="15.75" customHeight="1">
      <c r="A31" s="9">
        <f t="shared" si="0"/>
        <v>30</v>
      </c>
      <c r="B31" s="8">
        <f t="shared" si="3"/>
        <v>8470.0000000000018</v>
      </c>
      <c r="C31" s="9">
        <f>IF(A31&lt;=('Pay off vs Invest'!$B$2-'Pay off vs Invest'!$B$1)*12,Calculations!B31*(1+#REF!/12)^(('Pay off vs Invest'!$B$2-'Pay off vs Invest'!$B$1)*12-A31),0)</f>
        <v>0</v>
      </c>
      <c r="E31" s="9" t="e">
        <f>C31/((1+#REF!/12)^((('Pay off vs Invest'!$B$2-'Pay off vs Invest'!$B$1)*12)-Calculations!A31))</f>
        <v>#REF!</v>
      </c>
    </row>
    <row r="32" spans="1:5" ht="15.75" customHeight="1">
      <c r="A32" s="9">
        <f t="shared" si="0"/>
        <v>31</v>
      </c>
      <c r="B32" s="8">
        <f t="shared" si="3"/>
        <v>8470.0000000000018</v>
      </c>
      <c r="C32" s="9">
        <f>IF(A32&lt;=('Pay off vs Invest'!$B$2-'Pay off vs Invest'!$B$1)*12,Calculations!B32*(1+#REF!/12)^(('Pay off vs Invest'!$B$2-'Pay off vs Invest'!$B$1)*12-A32),0)</f>
        <v>0</v>
      </c>
      <c r="E32" s="9" t="e">
        <f>C32/((1+#REF!/12)^((('Pay off vs Invest'!$B$2-'Pay off vs Invest'!$B$1)*12)-Calculations!A32))</f>
        <v>#REF!</v>
      </c>
    </row>
    <row r="33" spans="1:5" ht="15.75" customHeight="1">
      <c r="A33" s="9">
        <f t="shared" si="0"/>
        <v>32</v>
      </c>
      <c r="B33" s="8">
        <f t="shared" si="3"/>
        <v>8470.0000000000018</v>
      </c>
      <c r="C33" s="9">
        <f>IF(A33&lt;=('Pay off vs Invest'!$B$2-'Pay off vs Invest'!$B$1)*12,Calculations!B33*(1+#REF!/12)^(('Pay off vs Invest'!$B$2-'Pay off vs Invest'!$B$1)*12-A33),0)</f>
        <v>0</v>
      </c>
      <c r="E33" s="9" t="e">
        <f>C33/((1+#REF!/12)^((('Pay off vs Invest'!$B$2-'Pay off vs Invest'!$B$1)*12)-Calculations!A33))</f>
        <v>#REF!</v>
      </c>
    </row>
    <row r="34" spans="1:5" ht="15.75" customHeight="1">
      <c r="A34" s="9">
        <f t="shared" si="0"/>
        <v>33</v>
      </c>
      <c r="B34" s="8">
        <f t="shared" si="3"/>
        <v>8470.0000000000018</v>
      </c>
      <c r="C34" s="9">
        <f>IF(A34&lt;=('Pay off vs Invest'!$B$2-'Pay off vs Invest'!$B$1)*12,Calculations!B34*(1+#REF!/12)^(('Pay off vs Invest'!$B$2-'Pay off vs Invest'!$B$1)*12-A34),0)</f>
        <v>0</v>
      </c>
      <c r="E34" s="9" t="e">
        <f>C34/((1+#REF!/12)^((('Pay off vs Invest'!$B$2-'Pay off vs Invest'!$B$1)*12)-Calculations!A34))</f>
        <v>#REF!</v>
      </c>
    </row>
    <row r="35" spans="1:5" ht="15.75" customHeight="1">
      <c r="A35" s="9">
        <f t="shared" si="0"/>
        <v>34</v>
      </c>
      <c r="B35" s="8">
        <f t="shared" si="3"/>
        <v>8470.0000000000018</v>
      </c>
      <c r="C35" s="9">
        <f>IF(A35&lt;=('Pay off vs Invest'!$B$2-'Pay off vs Invest'!$B$1)*12,Calculations!B35*(1+#REF!/12)^(('Pay off vs Invest'!$B$2-'Pay off vs Invest'!$B$1)*12-A35),0)</f>
        <v>0</v>
      </c>
      <c r="E35" s="9" t="e">
        <f>C35/((1+#REF!/12)^((('Pay off vs Invest'!$B$2-'Pay off vs Invest'!$B$1)*12)-Calculations!A35))</f>
        <v>#REF!</v>
      </c>
    </row>
    <row r="36" spans="1:5" ht="15.75" customHeight="1">
      <c r="A36" s="9">
        <f t="shared" si="0"/>
        <v>35</v>
      </c>
      <c r="B36" s="8">
        <f t="shared" si="3"/>
        <v>8470.0000000000018</v>
      </c>
      <c r="C36" s="9">
        <f>IF(A36&lt;=('Pay off vs Invest'!$B$2-'Pay off vs Invest'!$B$1)*12,Calculations!B36*(1+#REF!/12)^(('Pay off vs Invest'!$B$2-'Pay off vs Invest'!$B$1)*12-A36),0)</f>
        <v>0</v>
      </c>
      <c r="E36" s="9" t="e">
        <f>C36/((1+#REF!/12)^((('Pay off vs Invest'!$B$2-'Pay off vs Invest'!$B$1)*12)-Calculations!A36))</f>
        <v>#REF!</v>
      </c>
    </row>
    <row r="37" spans="1:5" ht="15.75" customHeight="1">
      <c r="A37" s="9">
        <f t="shared" si="0"/>
        <v>36</v>
      </c>
      <c r="B37" s="8">
        <f t="shared" si="3"/>
        <v>8470.0000000000018</v>
      </c>
      <c r="C37" s="9">
        <f>IF(A37&lt;=('Pay off vs Invest'!$B$2-'Pay off vs Invest'!$B$1)*12,Calculations!B37*(1+#REF!/12)^(('Pay off vs Invest'!$B$2-'Pay off vs Invest'!$B$1)*12-A37),0)</f>
        <v>0</v>
      </c>
      <c r="E37" s="9" t="e">
        <f>C37/((1+#REF!/12)^((('Pay off vs Invest'!$B$2-'Pay off vs Invest'!$B$1)*12)-Calculations!A37))</f>
        <v>#REF!</v>
      </c>
    </row>
    <row r="38" spans="1:5" ht="15.75" customHeight="1">
      <c r="A38" s="9">
        <f t="shared" si="0"/>
        <v>37</v>
      </c>
      <c r="B38" s="8">
        <f>B37*(1+'Pay off vs Invest'!$B$7)</f>
        <v>9317.0000000000036</v>
      </c>
      <c r="C38" s="9">
        <f>IF(A38&lt;=('Pay off vs Invest'!$B$2-'Pay off vs Invest'!$B$1)*12,Calculations!B38*(1+#REF!/12)^(('Pay off vs Invest'!$B$2-'Pay off vs Invest'!$B$1)*12-A38),0)</f>
        <v>0</v>
      </c>
      <c r="E38" s="9" t="e">
        <f>C38/((1+#REF!/12)^((('Pay off vs Invest'!$B$2-'Pay off vs Invest'!$B$1)*12)-Calculations!A38))</f>
        <v>#REF!</v>
      </c>
    </row>
    <row r="39" spans="1:5" ht="15.75" customHeight="1">
      <c r="A39" s="9">
        <f t="shared" si="0"/>
        <v>38</v>
      </c>
      <c r="B39" s="8">
        <f t="shared" ref="B39:B49" si="4">B38</f>
        <v>9317.0000000000036</v>
      </c>
      <c r="C39" s="9">
        <f>IF(A39&lt;=('Pay off vs Invest'!$B$2-'Pay off vs Invest'!$B$1)*12,Calculations!B39*(1+#REF!/12)^(('Pay off vs Invest'!$B$2-'Pay off vs Invest'!$B$1)*12-A39),0)</f>
        <v>0</v>
      </c>
      <c r="E39" s="9" t="e">
        <f>C39/((1+#REF!/12)^((('Pay off vs Invest'!$B$2-'Pay off vs Invest'!$B$1)*12)-Calculations!A39))</f>
        <v>#REF!</v>
      </c>
    </row>
    <row r="40" spans="1:5" ht="15.75" customHeight="1">
      <c r="A40" s="9">
        <f t="shared" si="0"/>
        <v>39</v>
      </c>
      <c r="B40" s="8">
        <f t="shared" si="4"/>
        <v>9317.0000000000036</v>
      </c>
      <c r="C40" s="9">
        <f>IF(A40&lt;=('Pay off vs Invest'!$B$2-'Pay off vs Invest'!$B$1)*12,Calculations!B40*(1+#REF!/12)^(('Pay off vs Invest'!$B$2-'Pay off vs Invest'!$B$1)*12-A40),0)</f>
        <v>0</v>
      </c>
      <c r="E40" s="9" t="e">
        <f>C40/((1+#REF!/12)^((('Pay off vs Invest'!$B$2-'Pay off vs Invest'!$B$1)*12)-Calculations!A40))</f>
        <v>#REF!</v>
      </c>
    </row>
    <row r="41" spans="1:5" ht="15.75" customHeight="1">
      <c r="A41" s="9">
        <f t="shared" si="0"/>
        <v>40</v>
      </c>
      <c r="B41" s="8">
        <f t="shared" si="4"/>
        <v>9317.0000000000036</v>
      </c>
      <c r="C41" s="9">
        <f>IF(A41&lt;=('Pay off vs Invest'!$B$2-'Pay off vs Invest'!$B$1)*12,Calculations!B41*(1+#REF!/12)^(('Pay off vs Invest'!$B$2-'Pay off vs Invest'!$B$1)*12-A41),0)</f>
        <v>0</v>
      </c>
      <c r="E41" s="9" t="e">
        <f>C41/((1+#REF!/12)^((('Pay off vs Invest'!$B$2-'Pay off vs Invest'!$B$1)*12)-Calculations!A41))</f>
        <v>#REF!</v>
      </c>
    </row>
    <row r="42" spans="1:5" ht="15.75" customHeight="1">
      <c r="A42" s="9">
        <f t="shared" si="0"/>
        <v>41</v>
      </c>
      <c r="B42" s="8">
        <f t="shared" si="4"/>
        <v>9317.0000000000036</v>
      </c>
      <c r="C42" s="9">
        <f>IF(A42&lt;=('Pay off vs Invest'!$B$2-'Pay off vs Invest'!$B$1)*12,Calculations!B42*(1+#REF!/12)^(('Pay off vs Invest'!$B$2-'Pay off vs Invest'!$B$1)*12-A42),0)</f>
        <v>0</v>
      </c>
      <c r="E42" s="9" t="e">
        <f>C42/((1+#REF!/12)^((('Pay off vs Invest'!$B$2-'Pay off vs Invest'!$B$1)*12)-Calculations!A42))</f>
        <v>#REF!</v>
      </c>
    </row>
    <row r="43" spans="1:5" ht="15.75" customHeight="1">
      <c r="A43" s="9">
        <f t="shared" si="0"/>
        <v>42</v>
      </c>
      <c r="B43" s="8">
        <f t="shared" si="4"/>
        <v>9317.0000000000036</v>
      </c>
      <c r="C43" s="9">
        <f>IF(A43&lt;=('Pay off vs Invest'!$B$2-'Pay off vs Invest'!$B$1)*12,Calculations!B43*(1+#REF!/12)^(('Pay off vs Invest'!$B$2-'Pay off vs Invest'!$B$1)*12-A43),0)</f>
        <v>0</v>
      </c>
      <c r="E43" s="9" t="e">
        <f>C43/((1+#REF!/12)^((('Pay off vs Invest'!$B$2-'Pay off vs Invest'!$B$1)*12)-Calculations!A43))</f>
        <v>#REF!</v>
      </c>
    </row>
    <row r="44" spans="1:5" ht="15.75" customHeight="1">
      <c r="A44" s="9">
        <f t="shared" si="0"/>
        <v>43</v>
      </c>
      <c r="B44" s="8">
        <f t="shared" si="4"/>
        <v>9317.0000000000036</v>
      </c>
      <c r="C44" s="9">
        <f>IF(A44&lt;=('Pay off vs Invest'!$B$2-'Pay off vs Invest'!$B$1)*12,Calculations!B44*(1+#REF!/12)^(('Pay off vs Invest'!$B$2-'Pay off vs Invest'!$B$1)*12-A44),0)</f>
        <v>0</v>
      </c>
      <c r="E44" s="9" t="e">
        <f>C44/((1+#REF!/12)^((('Pay off vs Invest'!$B$2-'Pay off vs Invest'!$B$1)*12)-Calculations!A44))</f>
        <v>#REF!</v>
      </c>
    </row>
    <row r="45" spans="1:5" ht="15.75" customHeight="1">
      <c r="A45" s="9">
        <f t="shared" si="0"/>
        <v>44</v>
      </c>
      <c r="B45" s="8">
        <f t="shared" si="4"/>
        <v>9317.0000000000036</v>
      </c>
      <c r="C45" s="9">
        <f>IF(A45&lt;=('Pay off vs Invest'!$B$2-'Pay off vs Invest'!$B$1)*12,Calculations!B45*(1+#REF!/12)^(('Pay off vs Invest'!$B$2-'Pay off vs Invest'!$B$1)*12-A45),0)</f>
        <v>0</v>
      </c>
      <c r="E45" s="9" t="e">
        <f>C45/((1+#REF!/12)^((('Pay off vs Invest'!$B$2-'Pay off vs Invest'!$B$1)*12)-Calculations!A45))</f>
        <v>#REF!</v>
      </c>
    </row>
    <row r="46" spans="1:5" ht="15.75" customHeight="1">
      <c r="A46" s="9">
        <f t="shared" si="0"/>
        <v>45</v>
      </c>
      <c r="B46" s="8">
        <f t="shared" si="4"/>
        <v>9317.0000000000036</v>
      </c>
      <c r="C46" s="9">
        <f>IF(A46&lt;=('Pay off vs Invest'!$B$2-'Pay off vs Invest'!$B$1)*12,Calculations!B46*(1+#REF!/12)^(('Pay off vs Invest'!$B$2-'Pay off vs Invest'!$B$1)*12-A46),0)</f>
        <v>0</v>
      </c>
      <c r="E46" s="9" t="e">
        <f>C46/((1+#REF!/12)^((('Pay off vs Invest'!$B$2-'Pay off vs Invest'!$B$1)*12)-Calculations!A46))</f>
        <v>#REF!</v>
      </c>
    </row>
    <row r="47" spans="1:5" ht="15.75" customHeight="1">
      <c r="A47" s="9">
        <f t="shared" si="0"/>
        <v>46</v>
      </c>
      <c r="B47" s="8">
        <f t="shared" si="4"/>
        <v>9317.0000000000036</v>
      </c>
      <c r="C47" s="9">
        <f>IF(A47&lt;=('Pay off vs Invest'!$B$2-'Pay off vs Invest'!$B$1)*12,Calculations!B47*(1+#REF!/12)^(('Pay off vs Invest'!$B$2-'Pay off vs Invest'!$B$1)*12-A47),0)</f>
        <v>0</v>
      </c>
      <c r="E47" s="9" t="e">
        <f>C47/((1+#REF!/12)^((('Pay off vs Invest'!$B$2-'Pay off vs Invest'!$B$1)*12)-Calculations!A47))</f>
        <v>#REF!</v>
      </c>
    </row>
    <row r="48" spans="1:5" ht="15.75" customHeight="1">
      <c r="A48" s="9">
        <f t="shared" si="0"/>
        <v>47</v>
      </c>
      <c r="B48" s="8">
        <f t="shared" si="4"/>
        <v>9317.0000000000036</v>
      </c>
      <c r="C48" s="9">
        <f>IF(A48&lt;=('Pay off vs Invest'!$B$2-'Pay off vs Invest'!$B$1)*12,Calculations!B48*(1+#REF!/12)^(('Pay off vs Invest'!$B$2-'Pay off vs Invest'!$B$1)*12-A48),0)</f>
        <v>0</v>
      </c>
      <c r="E48" s="9" t="e">
        <f>C48/((1+#REF!/12)^((('Pay off vs Invest'!$B$2-'Pay off vs Invest'!$B$1)*12)-Calculations!A48))</f>
        <v>#REF!</v>
      </c>
    </row>
    <row r="49" spans="1:5" ht="15.75" customHeight="1">
      <c r="A49" s="9">
        <f t="shared" si="0"/>
        <v>48</v>
      </c>
      <c r="B49" s="8">
        <f t="shared" si="4"/>
        <v>9317.0000000000036</v>
      </c>
      <c r="C49" s="9">
        <f>IF(A49&lt;=('Pay off vs Invest'!$B$2-'Pay off vs Invest'!$B$1)*12,Calculations!B49*(1+#REF!/12)^(('Pay off vs Invest'!$B$2-'Pay off vs Invest'!$B$1)*12-A49),0)</f>
        <v>0</v>
      </c>
      <c r="E49" s="9" t="e">
        <f>C49/((1+#REF!/12)^((('Pay off vs Invest'!$B$2-'Pay off vs Invest'!$B$1)*12)-Calculations!A49))</f>
        <v>#REF!</v>
      </c>
    </row>
    <row r="50" spans="1:5" ht="15.75" customHeight="1">
      <c r="A50" s="9">
        <f t="shared" si="0"/>
        <v>49</v>
      </c>
      <c r="B50" s="8">
        <f>B49*(1+'Pay off vs Invest'!$B$7)</f>
        <v>10248.700000000004</v>
      </c>
      <c r="C50" s="9">
        <f>IF(A50&lt;=('Pay off vs Invest'!$B$2-'Pay off vs Invest'!$B$1)*12,Calculations!B50*(1+#REF!/12)^(('Pay off vs Invest'!$B$2-'Pay off vs Invest'!$B$1)*12-A50),0)</f>
        <v>0</v>
      </c>
      <c r="E50" s="9" t="e">
        <f>C50/((1+#REF!/12)^((('Pay off vs Invest'!$B$2-'Pay off vs Invest'!$B$1)*12)-Calculations!A50))</f>
        <v>#REF!</v>
      </c>
    </row>
    <row r="51" spans="1:5" ht="15.75" customHeight="1">
      <c r="A51" s="9">
        <f t="shared" si="0"/>
        <v>50</v>
      </c>
      <c r="B51" s="8">
        <f t="shared" ref="B51:B61" si="5">B50</f>
        <v>10248.700000000004</v>
      </c>
      <c r="C51" s="9">
        <f>IF(A51&lt;=('Pay off vs Invest'!$B$2-'Pay off vs Invest'!$B$1)*12,Calculations!B51*(1+#REF!/12)^(('Pay off vs Invest'!$B$2-'Pay off vs Invest'!$B$1)*12-A51),0)</f>
        <v>0</v>
      </c>
      <c r="E51" s="9" t="e">
        <f>C51/((1+#REF!/12)^((('Pay off vs Invest'!$B$2-'Pay off vs Invest'!$B$1)*12)-Calculations!A51))</f>
        <v>#REF!</v>
      </c>
    </row>
    <row r="52" spans="1:5" ht="15.75" customHeight="1">
      <c r="A52" s="9">
        <f t="shared" si="0"/>
        <v>51</v>
      </c>
      <c r="B52" s="8">
        <f t="shared" si="5"/>
        <v>10248.700000000004</v>
      </c>
      <c r="C52" s="9">
        <f>IF(A52&lt;=('Pay off vs Invest'!$B$2-'Pay off vs Invest'!$B$1)*12,Calculations!B52*(1+#REF!/12)^(('Pay off vs Invest'!$B$2-'Pay off vs Invest'!$B$1)*12-A52),0)</f>
        <v>0</v>
      </c>
      <c r="E52" s="9" t="e">
        <f>C52/((1+#REF!/12)^((('Pay off vs Invest'!$B$2-'Pay off vs Invest'!$B$1)*12)-Calculations!A52))</f>
        <v>#REF!</v>
      </c>
    </row>
    <row r="53" spans="1:5" ht="15.75" customHeight="1">
      <c r="A53" s="9">
        <f t="shared" si="0"/>
        <v>52</v>
      </c>
      <c r="B53" s="8">
        <f t="shared" si="5"/>
        <v>10248.700000000004</v>
      </c>
      <c r="C53" s="9">
        <f>IF(A53&lt;=('Pay off vs Invest'!$B$2-'Pay off vs Invest'!$B$1)*12,Calculations!B53*(1+#REF!/12)^(('Pay off vs Invest'!$B$2-'Pay off vs Invest'!$B$1)*12-A53),0)</f>
        <v>0</v>
      </c>
      <c r="E53" s="9" t="e">
        <f>C53/((1+#REF!/12)^((('Pay off vs Invest'!$B$2-'Pay off vs Invest'!$B$1)*12)-Calculations!A53))</f>
        <v>#REF!</v>
      </c>
    </row>
    <row r="54" spans="1:5" ht="15.75" customHeight="1">
      <c r="A54" s="9">
        <f t="shared" si="0"/>
        <v>53</v>
      </c>
      <c r="B54" s="8">
        <f t="shared" si="5"/>
        <v>10248.700000000004</v>
      </c>
      <c r="C54" s="9">
        <f>IF(A54&lt;=('Pay off vs Invest'!$B$2-'Pay off vs Invest'!$B$1)*12,Calculations!B54*(1+#REF!/12)^(('Pay off vs Invest'!$B$2-'Pay off vs Invest'!$B$1)*12-A54),0)</f>
        <v>0</v>
      </c>
      <c r="E54" s="9" t="e">
        <f>C54/((1+#REF!/12)^((('Pay off vs Invest'!$B$2-'Pay off vs Invest'!$B$1)*12)-Calculations!A54))</f>
        <v>#REF!</v>
      </c>
    </row>
    <row r="55" spans="1:5" ht="15.75" customHeight="1">
      <c r="A55" s="9">
        <f t="shared" si="0"/>
        <v>54</v>
      </c>
      <c r="B55" s="8">
        <f t="shared" si="5"/>
        <v>10248.700000000004</v>
      </c>
      <c r="C55" s="9">
        <f>IF(A55&lt;=('Pay off vs Invest'!$B$2-'Pay off vs Invest'!$B$1)*12,Calculations!B55*(1+#REF!/12)^(('Pay off vs Invest'!$B$2-'Pay off vs Invest'!$B$1)*12-A55),0)</f>
        <v>0</v>
      </c>
      <c r="E55" s="9" t="e">
        <f>C55/((1+#REF!/12)^((('Pay off vs Invest'!$B$2-'Pay off vs Invest'!$B$1)*12)-Calculations!A55))</f>
        <v>#REF!</v>
      </c>
    </row>
    <row r="56" spans="1:5" ht="15.75" customHeight="1">
      <c r="A56" s="9">
        <f t="shared" si="0"/>
        <v>55</v>
      </c>
      <c r="B56" s="8">
        <f t="shared" si="5"/>
        <v>10248.700000000004</v>
      </c>
      <c r="C56" s="9">
        <f>IF(A56&lt;=('Pay off vs Invest'!$B$2-'Pay off vs Invest'!$B$1)*12,Calculations!B56*(1+#REF!/12)^(('Pay off vs Invest'!$B$2-'Pay off vs Invest'!$B$1)*12-A56),0)</f>
        <v>0</v>
      </c>
      <c r="E56" s="9" t="e">
        <f>C56/((1+#REF!/12)^((('Pay off vs Invest'!$B$2-'Pay off vs Invest'!$B$1)*12)-Calculations!A56))</f>
        <v>#REF!</v>
      </c>
    </row>
    <row r="57" spans="1:5" ht="15.75" customHeight="1">
      <c r="A57" s="9">
        <f t="shared" si="0"/>
        <v>56</v>
      </c>
      <c r="B57" s="8">
        <f t="shared" si="5"/>
        <v>10248.700000000004</v>
      </c>
      <c r="C57" s="9">
        <f>IF(A57&lt;=('Pay off vs Invest'!$B$2-'Pay off vs Invest'!$B$1)*12,Calculations!B57*(1+#REF!/12)^(('Pay off vs Invest'!$B$2-'Pay off vs Invest'!$B$1)*12-A57),0)</f>
        <v>0</v>
      </c>
      <c r="E57" s="9" t="e">
        <f>C57/((1+#REF!/12)^((('Pay off vs Invest'!$B$2-'Pay off vs Invest'!$B$1)*12)-Calculations!A57))</f>
        <v>#REF!</v>
      </c>
    </row>
    <row r="58" spans="1:5" ht="15.75" customHeight="1">
      <c r="A58" s="9">
        <f t="shared" si="0"/>
        <v>57</v>
      </c>
      <c r="B58" s="8">
        <f t="shared" si="5"/>
        <v>10248.700000000004</v>
      </c>
      <c r="C58" s="9">
        <f>IF(A58&lt;=('Pay off vs Invest'!$B$2-'Pay off vs Invest'!$B$1)*12,Calculations!B58*(1+#REF!/12)^(('Pay off vs Invest'!$B$2-'Pay off vs Invest'!$B$1)*12-A58),0)</f>
        <v>0</v>
      </c>
      <c r="E58" s="9" t="e">
        <f>C58/((1+#REF!/12)^((('Pay off vs Invest'!$B$2-'Pay off vs Invest'!$B$1)*12)-Calculations!A58))</f>
        <v>#REF!</v>
      </c>
    </row>
    <row r="59" spans="1:5" ht="15.75" customHeight="1">
      <c r="A59" s="9">
        <f t="shared" si="0"/>
        <v>58</v>
      </c>
      <c r="B59" s="8">
        <f t="shared" si="5"/>
        <v>10248.700000000004</v>
      </c>
      <c r="C59" s="9">
        <f>IF(A59&lt;=('Pay off vs Invest'!$B$2-'Pay off vs Invest'!$B$1)*12,Calculations!B59*(1+#REF!/12)^(('Pay off vs Invest'!$B$2-'Pay off vs Invest'!$B$1)*12-A59),0)</f>
        <v>0</v>
      </c>
      <c r="E59" s="9" t="e">
        <f>C59/((1+#REF!/12)^((('Pay off vs Invest'!$B$2-'Pay off vs Invest'!$B$1)*12)-Calculations!A59))</f>
        <v>#REF!</v>
      </c>
    </row>
    <row r="60" spans="1:5" ht="15.75" customHeight="1">
      <c r="A60" s="9">
        <f t="shared" si="0"/>
        <v>59</v>
      </c>
      <c r="B60" s="8">
        <f t="shared" si="5"/>
        <v>10248.700000000004</v>
      </c>
      <c r="C60" s="9">
        <f>IF(A60&lt;=('Pay off vs Invest'!$B$2-'Pay off vs Invest'!$B$1)*12,Calculations!B60*(1+#REF!/12)^(('Pay off vs Invest'!$B$2-'Pay off vs Invest'!$B$1)*12-A60),0)</f>
        <v>0</v>
      </c>
      <c r="E60" s="9" t="e">
        <f>C60/((1+#REF!/12)^((('Pay off vs Invest'!$B$2-'Pay off vs Invest'!$B$1)*12)-Calculations!A60))</f>
        <v>#REF!</v>
      </c>
    </row>
    <row r="61" spans="1:5" ht="15.75" customHeight="1">
      <c r="A61" s="9">
        <f t="shared" si="0"/>
        <v>60</v>
      </c>
      <c r="B61" s="8">
        <f t="shared" si="5"/>
        <v>10248.700000000004</v>
      </c>
      <c r="C61" s="9">
        <f>IF(A61&lt;=('Pay off vs Invest'!$B$2-'Pay off vs Invest'!$B$1)*12,Calculations!B61*(1+#REF!/12)^(('Pay off vs Invest'!$B$2-'Pay off vs Invest'!$B$1)*12-A61),0)</f>
        <v>0</v>
      </c>
      <c r="E61" s="9" t="e">
        <f>C61/((1+#REF!/12)^((('Pay off vs Invest'!$B$2-'Pay off vs Invest'!$B$1)*12)-Calculations!A61))</f>
        <v>#REF!</v>
      </c>
    </row>
    <row r="62" spans="1:5" ht="15.75" customHeight="1">
      <c r="A62" s="9">
        <f t="shared" si="0"/>
        <v>61</v>
      </c>
      <c r="B62" s="8">
        <f>B61*(1+'Pay off vs Invest'!$B$7)</f>
        <v>11273.570000000005</v>
      </c>
      <c r="C62" s="9">
        <f>IF(A62&lt;=('Pay off vs Invest'!$B$2-'Pay off vs Invest'!$B$1)*12,Calculations!B62*(1+#REF!/12)^(('Pay off vs Invest'!$B$2-'Pay off vs Invest'!$B$1)*12-A62),0)</f>
        <v>0</v>
      </c>
      <c r="E62" s="9" t="e">
        <f>C62/((1+#REF!/12)^((('Pay off vs Invest'!$B$2-'Pay off vs Invest'!$B$1)*12)-Calculations!A62))</f>
        <v>#REF!</v>
      </c>
    </row>
    <row r="63" spans="1:5" ht="15.75" customHeight="1">
      <c r="A63" s="9">
        <f t="shared" si="0"/>
        <v>62</v>
      </c>
      <c r="B63" s="8">
        <f t="shared" ref="B63:B73" si="6">B62</f>
        <v>11273.570000000005</v>
      </c>
      <c r="C63" s="9">
        <f>IF(A63&lt;=('Pay off vs Invest'!$B$2-'Pay off vs Invest'!$B$1)*12,Calculations!B63*(1+#REF!/12)^(('Pay off vs Invest'!$B$2-'Pay off vs Invest'!$B$1)*12-A63),0)</f>
        <v>0</v>
      </c>
      <c r="E63" s="9" t="e">
        <f>C63/((1+#REF!/12)^((('Pay off vs Invest'!$B$2-'Pay off vs Invest'!$B$1)*12)-Calculations!A63))</f>
        <v>#REF!</v>
      </c>
    </row>
    <row r="64" spans="1:5" ht="15.75" customHeight="1">
      <c r="A64" s="9">
        <f t="shared" si="0"/>
        <v>63</v>
      </c>
      <c r="B64" s="8">
        <f t="shared" si="6"/>
        <v>11273.570000000005</v>
      </c>
      <c r="C64" s="9">
        <f>IF(A64&lt;=('Pay off vs Invest'!$B$2-'Pay off vs Invest'!$B$1)*12,Calculations!B64*(1+#REF!/12)^(('Pay off vs Invest'!$B$2-'Pay off vs Invest'!$B$1)*12-A64),0)</f>
        <v>0</v>
      </c>
      <c r="E64" s="9" t="e">
        <f>C64/((1+#REF!/12)^((('Pay off vs Invest'!$B$2-'Pay off vs Invest'!$B$1)*12)-Calculations!A64))</f>
        <v>#REF!</v>
      </c>
    </row>
    <row r="65" spans="1:5" ht="15.75" customHeight="1">
      <c r="A65" s="9">
        <f t="shared" si="0"/>
        <v>64</v>
      </c>
      <c r="B65" s="8">
        <f t="shared" si="6"/>
        <v>11273.570000000005</v>
      </c>
      <c r="C65" s="9">
        <f>IF(A65&lt;=('Pay off vs Invest'!$B$2-'Pay off vs Invest'!$B$1)*12,Calculations!B65*(1+#REF!/12)^(('Pay off vs Invest'!$B$2-'Pay off vs Invest'!$B$1)*12-A65),0)</f>
        <v>0</v>
      </c>
      <c r="E65" s="9" t="e">
        <f>C65/((1+#REF!/12)^((('Pay off vs Invest'!$B$2-'Pay off vs Invest'!$B$1)*12)-Calculations!A65))</f>
        <v>#REF!</v>
      </c>
    </row>
    <row r="66" spans="1:5" ht="15.75" customHeight="1">
      <c r="A66" s="9">
        <f t="shared" si="0"/>
        <v>65</v>
      </c>
      <c r="B66" s="8">
        <f t="shared" si="6"/>
        <v>11273.570000000005</v>
      </c>
      <c r="C66" s="9">
        <f>IF(A66&lt;=('Pay off vs Invest'!$B$2-'Pay off vs Invest'!$B$1)*12,Calculations!B66*(1+#REF!/12)^(('Pay off vs Invest'!$B$2-'Pay off vs Invest'!$B$1)*12-A66),0)</f>
        <v>0</v>
      </c>
      <c r="E66" s="9" t="e">
        <f>C66/((1+#REF!/12)^((('Pay off vs Invest'!$B$2-'Pay off vs Invest'!$B$1)*12)-Calculations!A66))</f>
        <v>#REF!</v>
      </c>
    </row>
    <row r="67" spans="1:5" ht="15.75" customHeight="1">
      <c r="A67" s="9">
        <f t="shared" si="0"/>
        <v>66</v>
      </c>
      <c r="B67" s="8">
        <f t="shared" si="6"/>
        <v>11273.570000000005</v>
      </c>
      <c r="C67" s="9">
        <f>IF(A67&lt;=('Pay off vs Invest'!$B$2-'Pay off vs Invest'!$B$1)*12,Calculations!B67*(1+#REF!/12)^(('Pay off vs Invest'!$B$2-'Pay off vs Invest'!$B$1)*12-A67),0)</f>
        <v>0</v>
      </c>
      <c r="E67" s="9" t="e">
        <f>C67/((1+#REF!/12)^((('Pay off vs Invest'!$B$2-'Pay off vs Invest'!$B$1)*12)-Calculations!A67))</f>
        <v>#REF!</v>
      </c>
    </row>
    <row r="68" spans="1:5" ht="15.75" customHeight="1">
      <c r="A68" s="9">
        <f t="shared" si="0"/>
        <v>67</v>
      </c>
      <c r="B68" s="8">
        <f t="shared" si="6"/>
        <v>11273.570000000005</v>
      </c>
      <c r="C68" s="9">
        <f>IF(A68&lt;=('Pay off vs Invest'!$B$2-'Pay off vs Invest'!$B$1)*12,Calculations!B68*(1+#REF!/12)^(('Pay off vs Invest'!$B$2-'Pay off vs Invest'!$B$1)*12-A68),0)</f>
        <v>0</v>
      </c>
      <c r="E68" s="9" t="e">
        <f>C68/((1+#REF!/12)^((('Pay off vs Invest'!$B$2-'Pay off vs Invest'!$B$1)*12)-Calculations!A68))</f>
        <v>#REF!</v>
      </c>
    </row>
    <row r="69" spans="1:5" ht="15.75" customHeight="1">
      <c r="A69" s="9">
        <f t="shared" si="0"/>
        <v>68</v>
      </c>
      <c r="B69" s="8">
        <f t="shared" si="6"/>
        <v>11273.570000000005</v>
      </c>
      <c r="C69" s="9">
        <f>IF(A69&lt;=('Pay off vs Invest'!$B$2-'Pay off vs Invest'!$B$1)*12,Calculations!B69*(1+#REF!/12)^(('Pay off vs Invest'!$B$2-'Pay off vs Invest'!$B$1)*12-A69),0)</f>
        <v>0</v>
      </c>
      <c r="E69" s="9" t="e">
        <f>C69/((1+#REF!/12)^((('Pay off vs Invest'!$B$2-'Pay off vs Invest'!$B$1)*12)-Calculations!A69))</f>
        <v>#REF!</v>
      </c>
    </row>
    <row r="70" spans="1:5" ht="15.75" customHeight="1">
      <c r="A70" s="9">
        <f t="shared" si="0"/>
        <v>69</v>
      </c>
      <c r="B70" s="8">
        <f t="shared" si="6"/>
        <v>11273.570000000005</v>
      </c>
      <c r="C70" s="9">
        <f>IF(A70&lt;=('Pay off vs Invest'!$B$2-'Pay off vs Invest'!$B$1)*12,Calculations!B70*(1+#REF!/12)^(('Pay off vs Invest'!$B$2-'Pay off vs Invest'!$B$1)*12-A70),0)</f>
        <v>0</v>
      </c>
      <c r="E70" s="9" t="e">
        <f>C70/((1+#REF!/12)^((('Pay off vs Invest'!$B$2-'Pay off vs Invest'!$B$1)*12)-Calculations!A70))</f>
        <v>#REF!</v>
      </c>
    </row>
    <row r="71" spans="1:5" ht="15.75" customHeight="1">
      <c r="A71" s="9">
        <f t="shared" si="0"/>
        <v>70</v>
      </c>
      <c r="B71" s="8">
        <f t="shared" si="6"/>
        <v>11273.570000000005</v>
      </c>
      <c r="C71" s="9">
        <f>IF(A71&lt;=('Pay off vs Invest'!$B$2-'Pay off vs Invest'!$B$1)*12,Calculations!B71*(1+#REF!/12)^(('Pay off vs Invest'!$B$2-'Pay off vs Invest'!$B$1)*12-A71),0)</f>
        <v>0</v>
      </c>
      <c r="E71" s="9" t="e">
        <f>C71/((1+#REF!/12)^((('Pay off vs Invest'!$B$2-'Pay off vs Invest'!$B$1)*12)-Calculations!A71))</f>
        <v>#REF!</v>
      </c>
    </row>
    <row r="72" spans="1:5" ht="15.75" customHeight="1">
      <c r="A72" s="9">
        <f t="shared" si="0"/>
        <v>71</v>
      </c>
      <c r="B72" s="8">
        <f t="shared" si="6"/>
        <v>11273.570000000005</v>
      </c>
      <c r="C72" s="9">
        <f>IF(A72&lt;=('Pay off vs Invest'!$B$2-'Pay off vs Invest'!$B$1)*12,Calculations!B72*(1+#REF!/12)^(('Pay off vs Invest'!$B$2-'Pay off vs Invest'!$B$1)*12-A72),0)</f>
        <v>0</v>
      </c>
      <c r="E72" s="9" t="e">
        <f>C72/((1+#REF!/12)^((('Pay off vs Invest'!$B$2-'Pay off vs Invest'!$B$1)*12)-Calculations!A72))</f>
        <v>#REF!</v>
      </c>
    </row>
    <row r="73" spans="1:5" ht="15.75" customHeight="1">
      <c r="A73" s="9">
        <f t="shared" si="0"/>
        <v>72</v>
      </c>
      <c r="B73" s="8">
        <f t="shared" si="6"/>
        <v>11273.570000000005</v>
      </c>
      <c r="C73" s="9">
        <f>IF(A73&lt;=('Pay off vs Invest'!$B$2-'Pay off vs Invest'!$B$1)*12,Calculations!B73*(1+#REF!/12)^(('Pay off vs Invest'!$B$2-'Pay off vs Invest'!$B$1)*12-A73),0)</f>
        <v>0</v>
      </c>
      <c r="E73" s="9" t="e">
        <f>C73/((1+#REF!/12)^((('Pay off vs Invest'!$B$2-'Pay off vs Invest'!$B$1)*12)-Calculations!A73))</f>
        <v>#REF!</v>
      </c>
    </row>
    <row r="74" spans="1:5" ht="15.75" customHeight="1">
      <c r="A74" s="9">
        <f t="shared" si="0"/>
        <v>73</v>
      </c>
      <c r="B74" s="8">
        <f>B73*(1+'Pay off vs Invest'!$B$7)</f>
        <v>12400.927000000007</v>
      </c>
      <c r="C74" s="9">
        <f>IF(A74&lt;=('Pay off vs Invest'!$B$2-'Pay off vs Invest'!$B$1)*12,Calculations!B74*(1+#REF!/12)^(('Pay off vs Invest'!$B$2-'Pay off vs Invest'!$B$1)*12-A74),0)</f>
        <v>0</v>
      </c>
      <c r="E74" s="9" t="e">
        <f>C74/((1+#REF!/12)^((('Pay off vs Invest'!$B$2-'Pay off vs Invest'!$B$1)*12)-Calculations!A74))</f>
        <v>#REF!</v>
      </c>
    </row>
    <row r="75" spans="1:5" ht="15.75" customHeight="1">
      <c r="A75" s="9">
        <f t="shared" si="0"/>
        <v>74</v>
      </c>
      <c r="B75" s="8">
        <f t="shared" ref="B75:B85" si="7">B74</f>
        <v>12400.927000000007</v>
      </c>
      <c r="C75" s="9">
        <f>IF(A75&lt;=('Pay off vs Invest'!$B$2-'Pay off vs Invest'!$B$1)*12,Calculations!B75*(1+#REF!/12)^(('Pay off vs Invest'!$B$2-'Pay off vs Invest'!$B$1)*12-A75),0)</f>
        <v>0</v>
      </c>
      <c r="E75" s="9" t="e">
        <f>C75/((1+#REF!/12)^((('Pay off vs Invest'!$B$2-'Pay off vs Invest'!$B$1)*12)-Calculations!A75))</f>
        <v>#REF!</v>
      </c>
    </row>
    <row r="76" spans="1:5" ht="15.75" customHeight="1">
      <c r="A76" s="9">
        <f t="shared" si="0"/>
        <v>75</v>
      </c>
      <c r="B76" s="8">
        <f t="shared" si="7"/>
        <v>12400.927000000007</v>
      </c>
      <c r="C76" s="9">
        <f>IF(A76&lt;=('Pay off vs Invest'!$B$2-'Pay off vs Invest'!$B$1)*12,Calculations!B76*(1+#REF!/12)^(('Pay off vs Invest'!$B$2-'Pay off vs Invest'!$B$1)*12-A76),0)</f>
        <v>0</v>
      </c>
      <c r="E76" s="9" t="e">
        <f>C76/((1+#REF!/12)^((('Pay off vs Invest'!$B$2-'Pay off vs Invest'!$B$1)*12)-Calculations!A76))</f>
        <v>#REF!</v>
      </c>
    </row>
    <row r="77" spans="1:5" ht="15.75" customHeight="1">
      <c r="A77" s="9">
        <f t="shared" si="0"/>
        <v>76</v>
      </c>
      <c r="B77" s="8">
        <f t="shared" si="7"/>
        <v>12400.927000000007</v>
      </c>
      <c r="C77" s="9">
        <f>IF(A77&lt;=('Pay off vs Invest'!$B$2-'Pay off vs Invest'!$B$1)*12,Calculations!B77*(1+#REF!/12)^(('Pay off vs Invest'!$B$2-'Pay off vs Invest'!$B$1)*12-A77),0)</f>
        <v>0</v>
      </c>
      <c r="E77" s="9" t="e">
        <f>C77/((1+#REF!/12)^((('Pay off vs Invest'!$B$2-'Pay off vs Invest'!$B$1)*12)-Calculations!A77))</f>
        <v>#REF!</v>
      </c>
    </row>
    <row r="78" spans="1:5" ht="15.75" customHeight="1">
      <c r="A78" s="9">
        <f t="shared" si="0"/>
        <v>77</v>
      </c>
      <c r="B78" s="8">
        <f t="shared" si="7"/>
        <v>12400.927000000007</v>
      </c>
      <c r="C78" s="9">
        <f>IF(A78&lt;=('Pay off vs Invest'!$B$2-'Pay off vs Invest'!$B$1)*12,Calculations!B78*(1+#REF!/12)^(('Pay off vs Invest'!$B$2-'Pay off vs Invest'!$B$1)*12-A78),0)</f>
        <v>0</v>
      </c>
      <c r="E78" s="9" t="e">
        <f>C78/((1+#REF!/12)^((('Pay off vs Invest'!$B$2-'Pay off vs Invest'!$B$1)*12)-Calculations!A78))</f>
        <v>#REF!</v>
      </c>
    </row>
    <row r="79" spans="1:5" ht="15.75" customHeight="1">
      <c r="A79" s="9">
        <f t="shared" si="0"/>
        <v>78</v>
      </c>
      <c r="B79" s="8">
        <f t="shared" si="7"/>
        <v>12400.927000000007</v>
      </c>
      <c r="C79" s="9">
        <f>IF(A79&lt;=('Pay off vs Invest'!$B$2-'Pay off vs Invest'!$B$1)*12,Calculations!B79*(1+#REF!/12)^(('Pay off vs Invest'!$B$2-'Pay off vs Invest'!$B$1)*12-A79),0)</f>
        <v>0</v>
      </c>
      <c r="E79" s="9" t="e">
        <f>C79/((1+#REF!/12)^((('Pay off vs Invest'!$B$2-'Pay off vs Invest'!$B$1)*12)-Calculations!A79))</f>
        <v>#REF!</v>
      </c>
    </row>
    <row r="80" spans="1:5" ht="15.75" customHeight="1">
      <c r="A80" s="9">
        <f t="shared" si="0"/>
        <v>79</v>
      </c>
      <c r="B80" s="8">
        <f t="shared" si="7"/>
        <v>12400.927000000007</v>
      </c>
      <c r="C80" s="9">
        <f>IF(A80&lt;=('Pay off vs Invest'!$B$2-'Pay off vs Invest'!$B$1)*12,Calculations!B80*(1+#REF!/12)^(('Pay off vs Invest'!$B$2-'Pay off vs Invest'!$B$1)*12-A80),0)</f>
        <v>0</v>
      </c>
      <c r="E80" s="9" t="e">
        <f>C80/((1+#REF!/12)^((('Pay off vs Invest'!$B$2-'Pay off vs Invest'!$B$1)*12)-Calculations!A80))</f>
        <v>#REF!</v>
      </c>
    </row>
    <row r="81" spans="1:5" ht="15.75" customHeight="1">
      <c r="A81" s="9">
        <f t="shared" si="0"/>
        <v>80</v>
      </c>
      <c r="B81" s="8">
        <f t="shared" si="7"/>
        <v>12400.927000000007</v>
      </c>
      <c r="C81" s="9">
        <f>IF(A81&lt;=('Pay off vs Invest'!$B$2-'Pay off vs Invest'!$B$1)*12,Calculations!B81*(1+#REF!/12)^(('Pay off vs Invest'!$B$2-'Pay off vs Invest'!$B$1)*12-A81),0)</f>
        <v>0</v>
      </c>
      <c r="E81" s="9" t="e">
        <f>C81/((1+#REF!/12)^((('Pay off vs Invest'!$B$2-'Pay off vs Invest'!$B$1)*12)-Calculations!A81))</f>
        <v>#REF!</v>
      </c>
    </row>
    <row r="82" spans="1:5" ht="15.75" customHeight="1">
      <c r="A82" s="9">
        <f t="shared" si="0"/>
        <v>81</v>
      </c>
      <c r="B82" s="8">
        <f t="shared" si="7"/>
        <v>12400.927000000007</v>
      </c>
      <c r="C82" s="9">
        <f>IF(A82&lt;=('Pay off vs Invest'!$B$2-'Pay off vs Invest'!$B$1)*12,Calculations!B82*(1+#REF!/12)^(('Pay off vs Invest'!$B$2-'Pay off vs Invest'!$B$1)*12-A82),0)</f>
        <v>0</v>
      </c>
      <c r="E82" s="9" t="e">
        <f>C82/((1+#REF!/12)^((('Pay off vs Invest'!$B$2-'Pay off vs Invest'!$B$1)*12)-Calculations!A82))</f>
        <v>#REF!</v>
      </c>
    </row>
    <row r="83" spans="1:5" ht="15.75" customHeight="1">
      <c r="A83" s="9">
        <f t="shared" si="0"/>
        <v>82</v>
      </c>
      <c r="B83" s="8">
        <f t="shared" si="7"/>
        <v>12400.927000000007</v>
      </c>
      <c r="C83" s="9">
        <f>IF(A83&lt;=('Pay off vs Invest'!$B$2-'Pay off vs Invest'!$B$1)*12,Calculations!B83*(1+#REF!/12)^(('Pay off vs Invest'!$B$2-'Pay off vs Invest'!$B$1)*12-A83),0)</f>
        <v>0</v>
      </c>
      <c r="E83" s="9" t="e">
        <f>C83/((1+#REF!/12)^((('Pay off vs Invest'!$B$2-'Pay off vs Invest'!$B$1)*12)-Calculations!A83))</f>
        <v>#REF!</v>
      </c>
    </row>
    <row r="84" spans="1:5" ht="15.75" customHeight="1">
      <c r="A84" s="9">
        <f t="shared" si="0"/>
        <v>83</v>
      </c>
      <c r="B84" s="8">
        <f t="shared" si="7"/>
        <v>12400.927000000007</v>
      </c>
      <c r="C84" s="9">
        <f>IF(A84&lt;=('Pay off vs Invest'!$B$2-'Pay off vs Invest'!$B$1)*12,Calculations!B84*(1+#REF!/12)^(('Pay off vs Invest'!$B$2-'Pay off vs Invest'!$B$1)*12-A84),0)</f>
        <v>0</v>
      </c>
      <c r="E84" s="9" t="e">
        <f>C84/((1+#REF!/12)^((('Pay off vs Invest'!$B$2-'Pay off vs Invest'!$B$1)*12)-Calculations!A84))</f>
        <v>#REF!</v>
      </c>
    </row>
    <row r="85" spans="1:5" ht="15.75" customHeight="1">
      <c r="A85" s="9">
        <f t="shared" si="0"/>
        <v>84</v>
      </c>
      <c r="B85" s="8">
        <f t="shared" si="7"/>
        <v>12400.927000000007</v>
      </c>
      <c r="C85" s="9">
        <f>IF(A85&lt;=('Pay off vs Invest'!$B$2-'Pay off vs Invest'!$B$1)*12,Calculations!B85*(1+#REF!/12)^(('Pay off vs Invest'!$B$2-'Pay off vs Invest'!$B$1)*12-A85),0)</f>
        <v>0</v>
      </c>
      <c r="E85" s="9" t="e">
        <f>C85/((1+#REF!/12)^((('Pay off vs Invest'!$B$2-'Pay off vs Invest'!$B$1)*12)-Calculations!A85))</f>
        <v>#REF!</v>
      </c>
    </row>
    <row r="86" spans="1:5" ht="15.75" customHeight="1">
      <c r="A86" s="9">
        <f t="shared" si="0"/>
        <v>85</v>
      </c>
      <c r="B86" s="8">
        <f>B85*(1+'Pay off vs Invest'!$B$7)</f>
        <v>13641.019700000008</v>
      </c>
      <c r="C86" s="9">
        <f>IF(A86&lt;=('Pay off vs Invest'!$B$2-'Pay off vs Invest'!$B$1)*12,Calculations!B86*(1+#REF!/12)^(('Pay off vs Invest'!$B$2-'Pay off vs Invest'!$B$1)*12-A86),0)</f>
        <v>0</v>
      </c>
      <c r="E86" s="9" t="e">
        <f>C86/((1+#REF!/12)^((('Pay off vs Invest'!$B$2-'Pay off vs Invest'!$B$1)*12)-Calculations!A86))</f>
        <v>#REF!</v>
      </c>
    </row>
    <row r="87" spans="1:5" ht="15.75" customHeight="1">
      <c r="A87" s="9">
        <f t="shared" si="0"/>
        <v>86</v>
      </c>
      <c r="B87" s="8">
        <f t="shared" ref="B87:B97" si="8">B86</f>
        <v>13641.019700000008</v>
      </c>
      <c r="C87" s="9">
        <f>IF(A87&lt;=('Pay off vs Invest'!$B$2-'Pay off vs Invest'!$B$1)*12,Calculations!B87*(1+#REF!/12)^(('Pay off vs Invest'!$B$2-'Pay off vs Invest'!$B$1)*12-A87),0)</f>
        <v>0</v>
      </c>
      <c r="E87" s="9" t="e">
        <f>C87/((1+#REF!/12)^((('Pay off vs Invest'!$B$2-'Pay off vs Invest'!$B$1)*12)-Calculations!A87))</f>
        <v>#REF!</v>
      </c>
    </row>
    <row r="88" spans="1:5" ht="15.75" customHeight="1">
      <c r="A88" s="9">
        <f t="shared" si="0"/>
        <v>87</v>
      </c>
      <c r="B88" s="8">
        <f t="shared" si="8"/>
        <v>13641.019700000008</v>
      </c>
      <c r="C88" s="9">
        <f>IF(A88&lt;=('Pay off vs Invest'!$B$2-'Pay off vs Invest'!$B$1)*12,Calculations!B88*(1+#REF!/12)^(('Pay off vs Invest'!$B$2-'Pay off vs Invest'!$B$1)*12-A88),0)</f>
        <v>0</v>
      </c>
      <c r="E88" s="9" t="e">
        <f>C88/((1+#REF!/12)^((('Pay off vs Invest'!$B$2-'Pay off vs Invest'!$B$1)*12)-Calculations!A88))</f>
        <v>#REF!</v>
      </c>
    </row>
    <row r="89" spans="1:5" ht="15.75" customHeight="1">
      <c r="A89" s="9">
        <f t="shared" si="0"/>
        <v>88</v>
      </c>
      <c r="B89" s="8">
        <f t="shared" si="8"/>
        <v>13641.019700000008</v>
      </c>
      <c r="C89" s="9">
        <f>IF(A89&lt;=('Pay off vs Invest'!$B$2-'Pay off vs Invest'!$B$1)*12,Calculations!B89*(1+#REF!/12)^(('Pay off vs Invest'!$B$2-'Pay off vs Invest'!$B$1)*12-A89),0)</f>
        <v>0</v>
      </c>
      <c r="E89" s="9" t="e">
        <f>C89/((1+#REF!/12)^((('Pay off vs Invest'!$B$2-'Pay off vs Invest'!$B$1)*12)-Calculations!A89))</f>
        <v>#REF!</v>
      </c>
    </row>
    <row r="90" spans="1:5" ht="15.75" customHeight="1">
      <c r="A90" s="9">
        <f t="shared" si="0"/>
        <v>89</v>
      </c>
      <c r="B90" s="8">
        <f t="shared" si="8"/>
        <v>13641.019700000008</v>
      </c>
      <c r="C90" s="9">
        <f>IF(A90&lt;=('Pay off vs Invest'!$B$2-'Pay off vs Invest'!$B$1)*12,Calculations!B90*(1+#REF!/12)^(('Pay off vs Invest'!$B$2-'Pay off vs Invest'!$B$1)*12-A90),0)</f>
        <v>0</v>
      </c>
      <c r="E90" s="9" t="e">
        <f>C90/((1+#REF!/12)^((('Pay off vs Invest'!$B$2-'Pay off vs Invest'!$B$1)*12)-Calculations!A90))</f>
        <v>#REF!</v>
      </c>
    </row>
    <row r="91" spans="1:5" ht="15.75" customHeight="1">
      <c r="A91" s="9">
        <f t="shared" si="0"/>
        <v>90</v>
      </c>
      <c r="B91" s="8">
        <f t="shared" si="8"/>
        <v>13641.019700000008</v>
      </c>
      <c r="C91" s="9">
        <f>IF(A91&lt;=('Pay off vs Invest'!$B$2-'Pay off vs Invest'!$B$1)*12,Calculations!B91*(1+#REF!/12)^(('Pay off vs Invest'!$B$2-'Pay off vs Invest'!$B$1)*12-A91),0)</f>
        <v>0</v>
      </c>
      <c r="E91" s="9" t="e">
        <f>C91/((1+#REF!/12)^((('Pay off vs Invest'!$B$2-'Pay off vs Invest'!$B$1)*12)-Calculations!A91))</f>
        <v>#REF!</v>
      </c>
    </row>
    <row r="92" spans="1:5" ht="15.75" customHeight="1">
      <c r="A92" s="9">
        <f t="shared" si="0"/>
        <v>91</v>
      </c>
      <c r="B92" s="8">
        <f t="shared" si="8"/>
        <v>13641.019700000008</v>
      </c>
      <c r="C92" s="9">
        <f>IF(A92&lt;=('Pay off vs Invest'!$B$2-'Pay off vs Invest'!$B$1)*12,Calculations!B92*(1+#REF!/12)^(('Pay off vs Invest'!$B$2-'Pay off vs Invest'!$B$1)*12-A92),0)</f>
        <v>0</v>
      </c>
      <c r="E92" s="9" t="e">
        <f>C92/((1+#REF!/12)^((('Pay off vs Invest'!$B$2-'Pay off vs Invest'!$B$1)*12)-Calculations!A92))</f>
        <v>#REF!</v>
      </c>
    </row>
    <row r="93" spans="1:5" ht="15.75" customHeight="1">
      <c r="A93" s="9">
        <f t="shared" si="0"/>
        <v>92</v>
      </c>
      <c r="B93" s="8">
        <f t="shared" si="8"/>
        <v>13641.019700000008</v>
      </c>
      <c r="C93" s="9">
        <f>IF(A93&lt;=('Pay off vs Invest'!$B$2-'Pay off vs Invest'!$B$1)*12,Calculations!B93*(1+#REF!/12)^(('Pay off vs Invest'!$B$2-'Pay off vs Invest'!$B$1)*12-A93),0)</f>
        <v>0</v>
      </c>
      <c r="E93" s="9" t="e">
        <f>C93/((1+#REF!/12)^((('Pay off vs Invest'!$B$2-'Pay off vs Invest'!$B$1)*12)-Calculations!A93))</f>
        <v>#REF!</v>
      </c>
    </row>
    <row r="94" spans="1:5" ht="15.75" customHeight="1">
      <c r="A94" s="9">
        <f t="shared" si="0"/>
        <v>93</v>
      </c>
      <c r="B94" s="8">
        <f t="shared" si="8"/>
        <v>13641.019700000008</v>
      </c>
      <c r="C94" s="9">
        <f>IF(A94&lt;=('Pay off vs Invest'!$B$2-'Pay off vs Invest'!$B$1)*12,Calculations!B94*(1+#REF!/12)^(('Pay off vs Invest'!$B$2-'Pay off vs Invest'!$B$1)*12-A94),0)</f>
        <v>0</v>
      </c>
      <c r="E94" s="9" t="e">
        <f>C94/((1+#REF!/12)^((('Pay off vs Invest'!$B$2-'Pay off vs Invest'!$B$1)*12)-Calculations!A94))</f>
        <v>#REF!</v>
      </c>
    </row>
    <row r="95" spans="1:5" ht="15.75" customHeight="1">
      <c r="A95" s="9">
        <f t="shared" si="0"/>
        <v>94</v>
      </c>
      <c r="B95" s="8">
        <f t="shared" si="8"/>
        <v>13641.019700000008</v>
      </c>
      <c r="C95" s="9">
        <f>IF(A95&lt;=('Pay off vs Invest'!$B$2-'Pay off vs Invest'!$B$1)*12,Calculations!B95*(1+#REF!/12)^(('Pay off vs Invest'!$B$2-'Pay off vs Invest'!$B$1)*12-A95),0)</f>
        <v>0</v>
      </c>
      <c r="E95" s="9" t="e">
        <f>C95/((1+#REF!/12)^((('Pay off vs Invest'!$B$2-'Pay off vs Invest'!$B$1)*12)-Calculations!A95))</f>
        <v>#REF!</v>
      </c>
    </row>
    <row r="96" spans="1:5" ht="15.75" customHeight="1">
      <c r="A96" s="9">
        <f t="shared" si="0"/>
        <v>95</v>
      </c>
      <c r="B96" s="8">
        <f t="shared" si="8"/>
        <v>13641.019700000008</v>
      </c>
      <c r="C96" s="9">
        <f>IF(A96&lt;=('Pay off vs Invest'!$B$2-'Pay off vs Invest'!$B$1)*12,Calculations!B96*(1+#REF!/12)^(('Pay off vs Invest'!$B$2-'Pay off vs Invest'!$B$1)*12-A96),0)</f>
        <v>0</v>
      </c>
      <c r="E96" s="9" t="e">
        <f>C96/((1+#REF!/12)^((('Pay off vs Invest'!$B$2-'Pay off vs Invest'!$B$1)*12)-Calculations!A96))</f>
        <v>#REF!</v>
      </c>
    </row>
    <row r="97" spans="1:5" ht="15.75" customHeight="1">
      <c r="A97" s="9">
        <f t="shared" si="0"/>
        <v>96</v>
      </c>
      <c r="B97" s="8">
        <f t="shared" si="8"/>
        <v>13641.019700000008</v>
      </c>
      <c r="C97" s="9">
        <f>IF(A97&lt;=('Pay off vs Invest'!$B$2-'Pay off vs Invest'!$B$1)*12,Calculations!B97*(1+#REF!/12)^(('Pay off vs Invest'!$B$2-'Pay off vs Invest'!$B$1)*12-A97),0)</f>
        <v>0</v>
      </c>
      <c r="E97" s="9" t="e">
        <f>C97/((1+#REF!/12)^((('Pay off vs Invest'!$B$2-'Pay off vs Invest'!$B$1)*12)-Calculations!A97))</f>
        <v>#REF!</v>
      </c>
    </row>
    <row r="98" spans="1:5" ht="15.75" customHeight="1">
      <c r="A98" s="9">
        <f t="shared" si="0"/>
        <v>97</v>
      </c>
      <c r="B98" s="8">
        <f>B97*(1+'Pay off vs Invest'!$B$7)</f>
        <v>15005.12167000001</v>
      </c>
      <c r="C98" s="9">
        <f>IF(A98&lt;=('Pay off vs Invest'!$B$2-'Pay off vs Invest'!$B$1)*12,Calculations!B98*(1+#REF!/12)^(('Pay off vs Invest'!$B$2-'Pay off vs Invest'!$B$1)*12-A98),0)</f>
        <v>0</v>
      </c>
      <c r="E98" s="9" t="e">
        <f>C98/((1+#REF!/12)^((('Pay off vs Invest'!$B$2-'Pay off vs Invest'!$B$1)*12)-Calculations!A98))</f>
        <v>#REF!</v>
      </c>
    </row>
    <row r="99" spans="1:5" ht="15.75" customHeight="1">
      <c r="A99" s="9">
        <f t="shared" si="0"/>
        <v>98</v>
      </c>
      <c r="B99" s="8">
        <f t="shared" ref="B99:B109" si="9">B98</f>
        <v>15005.12167000001</v>
      </c>
      <c r="C99" s="9">
        <f>IF(A99&lt;=('Pay off vs Invest'!$B$2-'Pay off vs Invest'!$B$1)*12,Calculations!B99*(1+#REF!/12)^(('Pay off vs Invest'!$B$2-'Pay off vs Invest'!$B$1)*12-A99),0)</f>
        <v>0</v>
      </c>
      <c r="E99" s="9" t="e">
        <f>C99/((1+#REF!/12)^((('Pay off vs Invest'!$B$2-'Pay off vs Invest'!$B$1)*12)-Calculations!A99))</f>
        <v>#REF!</v>
      </c>
    </row>
    <row r="100" spans="1:5" ht="15.75" customHeight="1">
      <c r="A100" s="9">
        <f t="shared" si="0"/>
        <v>99</v>
      </c>
      <c r="B100" s="8">
        <f t="shared" si="9"/>
        <v>15005.12167000001</v>
      </c>
      <c r="C100" s="9">
        <f>IF(A100&lt;=('Pay off vs Invest'!$B$2-'Pay off vs Invest'!$B$1)*12,Calculations!B100*(1+#REF!/12)^(('Pay off vs Invest'!$B$2-'Pay off vs Invest'!$B$1)*12-A100),0)</f>
        <v>0</v>
      </c>
      <c r="E100" s="9" t="e">
        <f>C100/((1+#REF!/12)^((('Pay off vs Invest'!$B$2-'Pay off vs Invest'!$B$1)*12)-Calculations!A100))</f>
        <v>#REF!</v>
      </c>
    </row>
    <row r="101" spans="1:5" ht="15.75" customHeight="1">
      <c r="A101" s="9">
        <f t="shared" si="0"/>
        <v>100</v>
      </c>
      <c r="B101" s="8">
        <f t="shared" si="9"/>
        <v>15005.12167000001</v>
      </c>
      <c r="C101" s="9">
        <f>IF(A101&lt;=('Pay off vs Invest'!$B$2-'Pay off vs Invest'!$B$1)*12,Calculations!B101*(1+#REF!/12)^(('Pay off vs Invest'!$B$2-'Pay off vs Invest'!$B$1)*12-A101),0)</f>
        <v>0</v>
      </c>
      <c r="E101" s="9" t="e">
        <f>C101/((1+#REF!/12)^((('Pay off vs Invest'!$B$2-'Pay off vs Invest'!$B$1)*12)-Calculations!A101))</f>
        <v>#REF!</v>
      </c>
    </row>
    <row r="102" spans="1:5" ht="15.75" customHeight="1">
      <c r="A102" s="9">
        <f t="shared" si="0"/>
        <v>101</v>
      </c>
      <c r="B102" s="8">
        <f t="shared" si="9"/>
        <v>15005.12167000001</v>
      </c>
      <c r="C102" s="9">
        <f>IF(A102&lt;=('Pay off vs Invest'!$B$2-'Pay off vs Invest'!$B$1)*12,Calculations!B102*(1+#REF!/12)^(('Pay off vs Invest'!$B$2-'Pay off vs Invest'!$B$1)*12-A102),0)</f>
        <v>0</v>
      </c>
      <c r="E102" s="9" t="e">
        <f>C102/((1+#REF!/12)^((('Pay off vs Invest'!$B$2-'Pay off vs Invest'!$B$1)*12)-Calculations!A102))</f>
        <v>#REF!</v>
      </c>
    </row>
    <row r="103" spans="1:5" ht="15.75" customHeight="1">
      <c r="A103" s="9">
        <f t="shared" si="0"/>
        <v>102</v>
      </c>
      <c r="B103" s="8">
        <f t="shared" si="9"/>
        <v>15005.12167000001</v>
      </c>
      <c r="C103" s="9">
        <f>IF(A103&lt;=('Pay off vs Invest'!$B$2-'Pay off vs Invest'!$B$1)*12,Calculations!B103*(1+#REF!/12)^(('Pay off vs Invest'!$B$2-'Pay off vs Invest'!$B$1)*12-A103),0)</f>
        <v>0</v>
      </c>
      <c r="E103" s="9" t="e">
        <f>C103/((1+#REF!/12)^((('Pay off vs Invest'!$B$2-'Pay off vs Invest'!$B$1)*12)-Calculations!A103))</f>
        <v>#REF!</v>
      </c>
    </row>
    <row r="104" spans="1:5" ht="15.75" customHeight="1">
      <c r="A104" s="9">
        <f t="shared" si="0"/>
        <v>103</v>
      </c>
      <c r="B104" s="8">
        <f t="shared" si="9"/>
        <v>15005.12167000001</v>
      </c>
      <c r="C104" s="9">
        <f>IF(A104&lt;=('Pay off vs Invest'!$B$2-'Pay off vs Invest'!$B$1)*12,Calculations!B104*(1+#REF!/12)^(('Pay off vs Invest'!$B$2-'Pay off vs Invest'!$B$1)*12-A104),0)</f>
        <v>0</v>
      </c>
      <c r="E104" s="9" t="e">
        <f>C104/((1+#REF!/12)^((('Pay off vs Invest'!$B$2-'Pay off vs Invest'!$B$1)*12)-Calculations!A104))</f>
        <v>#REF!</v>
      </c>
    </row>
    <row r="105" spans="1:5" ht="15.75" customHeight="1">
      <c r="A105" s="9">
        <f t="shared" si="0"/>
        <v>104</v>
      </c>
      <c r="B105" s="8">
        <f t="shared" si="9"/>
        <v>15005.12167000001</v>
      </c>
      <c r="C105" s="9">
        <f>IF(A105&lt;=('Pay off vs Invest'!$B$2-'Pay off vs Invest'!$B$1)*12,Calculations!B105*(1+#REF!/12)^(('Pay off vs Invest'!$B$2-'Pay off vs Invest'!$B$1)*12-A105),0)</f>
        <v>0</v>
      </c>
      <c r="E105" s="9" t="e">
        <f>C105/((1+#REF!/12)^((('Pay off vs Invest'!$B$2-'Pay off vs Invest'!$B$1)*12)-Calculations!A105))</f>
        <v>#REF!</v>
      </c>
    </row>
    <row r="106" spans="1:5" ht="15.75" customHeight="1">
      <c r="A106" s="9">
        <f t="shared" si="0"/>
        <v>105</v>
      </c>
      <c r="B106" s="8">
        <f t="shared" si="9"/>
        <v>15005.12167000001</v>
      </c>
      <c r="C106" s="9">
        <f>IF(A106&lt;=('Pay off vs Invest'!$B$2-'Pay off vs Invest'!$B$1)*12,Calculations!B106*(1+#REF!/12)^(('Pay off vs Invest'!$B$2-'Pay off vs Invest'!$B$1)*12-A106),0)</f>
        <v>0</v>
      </c>
      <c r="E106" s="9" t="e">
        <f>C106/((1+#REF!/12)^((('Pay off vs Invest'!$B$2-'Pay off vs Invest'!$B$1)*12)-Calculations!A106))</f>
        <v>#REF!</v>
      </c>
    </row>
    <row r="107" spans="1:5" ht="15.75" customHeight="1">
      <c r="A107" s="9">
        <f t="shared" si="0"/>
        <v>106</v>
      </c>
      <c r="B107" s="8">
        <f t="shared" si="9"/>
        <v>15005.12167000001</v>
      </c>
      <c r="C107" s="9">
        <f>IF(A107&lt;=('Pay off vs Invest'!$B$2-'Pay off vs Invest'!$B$1)*12,Calculations!B107*(1+#REF!/12)^(('Pay off vs Invest'!$B$2-'Pay off vs Invest'!$B$1)*12-A107),0)</f>
        <v>0</v>
      </c>
      <c r="E107" s="9" t="e">
        <f>C107/((1+#REF!/12)^((('Pay off vs Invest'!$B$2-'Pay off vs Invest'!$B$1)*12)-Calculations!A107))</f>
        <v>#REF!</v>
      </c>
    </row>
    <row r="108" spans="1:5" ht="15.75" customHeight="1">
      <c r="A108" s="9">
        <f t="shared" si="0"/>
        <v>107</v>
      </c>
      <c r="B108" s="8">
        <f t="shared" si="9"/>
        <v>15005.12167000001</v>
      </c>
      <c r="C108" s="9">
        <f>IF(A108&lt;=('Pay off vs Invest'!$B$2-'Pay off vs Invest'!$B$1)*12,Calculations!B108*(1+#REF!/12)^(('Pay off vs Invest'!$B$2-'Pay off vs Invest'!$B$1)*12-A108),0)</f>
        <v>0</v>
      </c>
      <c r="E108" s="9" t="e">
        <f>C108/((1+#REF!/12)^((('Pay off vs Invest'!$B$2-'Pay off vs Invest'!$B$1)*12)-Calculations!A108))</f>
        <v>#REF!</v>
      </c>
    </row>
    <row r="109" spans="1:5" ht="15.75" customHeight="1">
      <c r="A109" s="9">
        <f t="shared" si="0"/>
        <v>108</v>
      </c>
      <c r="B109" s="8">
        <f t="shared" si="9"/>
        <v>15005.12167000001</v>
      </c>
      <c r="C109" s="9">
        <f>IF(A109&lt;=('Pay off vs Invest'!$B$2-'Pay off vs Invest'!$B$1)*12,Calculations!B109*(1+#REF!/12)^(('Pay off vs Invest'!$B$2-'Pay off vs Invest'!$B$1)*12-A109),0)</f>
        <v>0</v>
      </c>
      <c r="E109" s="9" t="e">
        <f>C109/((1+#REF!/12)^((('Pay off vs Invest'!$B$2-'Pay off vs Invest'!$B$1)*12)-Calculations!A109))</f>
        <v>#REF!</v>
      </c>
    </row>
    <row r="110" spans="1:5" ht="15.75" customHeight="1">
      <c r="A110" s="9">
        <f t="shared" si="0"/>
        <v>109</v>
      </c>
      <c r="B110" s="8">
        <f>B109*(1+'Pay off vs Invest'!$B$7)</f>
        <v>16505.633837000012</v>
      </c>
      <c r="C110" s="9">
        <f>IF(A110&lt;=('Pay off vs Invest'!$B$2-'Pay off vs Invest'!$B$1)*12,Calculations!B110*(1+#REF!/12)^(('Pay off vs Invest'!$B$2-'Pay off vs Invest'!$B$1)*12-A110),0)</f>
        <v>0</v>
      </c>
      <c r="E110" s="9" t="e">
        <f>C110/((1+#REF!/12)^((('Pay off vs Invest'!$B$2-'Pay off vs Invest'!$B$1)*12)-Calculations!A110))</f>
        <v>#REF!</v>
      </c>
    </row>
    <row r="111" spans="1:5" ht="15.75" customHeight="1">
      <c r="A111" s="9">
        <f t="shared" si="0"/>
        <v>110</v>
      </c>
      <c r="B111" s="8">
        <f t="shared" ref="B111:B121" si="10">B110</f>
        <v>16505.633837000012</v>
      </c>
      <c r="C111" s="9">
        <f>IF(A111&lt;=('Pay off vs Invest'!$B$2-'Pay off vs Invest'!$B$1)*12,Calculations!B111*(1+#REF!/12)^(('Pay off vs Invest'!$B$2-'Pay off vs Invest'!$B$1)*12-A111),0)</f>
        <v>0</v>
      </c>
      <c r="E111" s="9" t="e">
        <f>C111/((1+#REF!/12)^((('Pay off vs Invest'!$B$2-'Pay off vs Invest'!$B$1)*12)-Calculations!A111))</f>
        <v>#REF!</v>
      </c>
    </row>
    <row r="112" spans="1:5" ht="15.75" customHeight="1">
      <c r="A112" s="9">
        <f t="shared" si="0"/>
        <v>111</v>
      </c>
      <c r="B112" s="8">
        <f t="shared" si="10"/>
        <v>16505.633837000012</v>
      </c>
      <c r="C112" s="9">
        <f>IF(A112&lt;=('Pay off vs Invest'!$B$2-'Pay off vs Invest'!$B$1)*12,Calculations!B112*(1+#REF!/12)^(('Pay off vs Invest'!$B$2-'Pay off vs Invest'!$B$1)*12-A112),0)</f>
        <v>0</v>
      </c>
      <c r="E112" s="9" t="e">
        <f>C112/((1+#REF!/12)^((('Pay off vs Invest'!$B$2-'Pay off vs Invest'!$B$1)*12)-Calculations!A112))</f>
        <v>#REF!</v>
      </c>
    </row>
    <row r="113" spans="1:5" ht="15.75" customHeight="1">
      <c r="A113" s="9">
        <f t="shared" si="0"/>
        <v>112</v>
      </c>
      <c r="B113" s="8">
        <f t="shared" si="10"/>
        <v>16505.633837000012</v>
      </c>
      <c r="C113" s="9">
        <f>IF(A113&lt;=('Pay off vs Invest'!$B$2-'Pay off vs Invest'!$B$1)*12,Calculations!B113*(1+#REF!/12)^(('Pay off vs Invest'!$B$2-'Pay off vs Invest'!$B$1)*12-A113),0)</f>
        <v>0</v>
      </c>
      <c r="E113" s="9" t="e">
        <f>C113/((1+#REF!/12)^((('Pay off vs Invest'!$B$2-'Pay off vs Invest'!$B$1)*12)-Calculations!A113))</f>
        <v>#REF!</v>
      </c>
    </row>
    <row r="114" spans="1:5" ht="15.75" customHeight="1">
      <c r="A114" s="9">
        <f t="shared" si="0"/>
        <v>113</v>
      </c>
      <c r="B114" s="8">
        <f t="shared" si="10"/>
        <v>16505.633837000012</v>
      </c>
      <c r="C114" s="9">
        <f>IF(A114&lt;=('Pay off vs Invest'!$B$2-'Pay off vs Invest'!$B$1)*12,Calculations!B114*(1+#REF!/12)^(('Pay off vs Invest'!$B$2-'Pay off vs Invest'!$B$1)*12-A114),0)</f>
        <v>0</v>
      </c>
      <c r="E114" s="9" t="e">
        <f>C114/((1+#REF!/12)^((('Pay off vs Invest'!$B$2-'Pay off vs Invest'!$B$1)*12)-Calculations!A114))</f>
        <v>#REF!</v>
      </c>
    </row>
    <row r="115" spans="1:5" ht="15.75" customHeight="1">
      <c r="A115" s="9">
        <f t="shared" si="0"/>
        <v>114</v>
      </c>
      <c r="B115" s="8">
        <f t="shared" si="10"/>
        <v>16505.633837000012</v>
      </c>
      <c r="C115" s="9">
        <f>IF(A115&lt;=('Pay off vs Invest'!$B$2-'Pay off vs Invest'!$B$1)*12,Calculations!B115*(1+#REF!/12)^(('Pay off vs Invest'!$B$2-'Pay off vs Invest'!$B$1)*12-A115),0)</f>
        <v>0</v>
      </c>
      <c r="E115" s="9" t="e">
        <f>C115/((1+#REF!/12)^((('Pay off vs Invest'!$B$2-'Pay off vs Invest'!$B$1)*12)-Calculations!A115))</f>
        <v>#REF!</v>
      </c>
    </row>
    <row r="116" spans="1:5" ht="15.75" customHeight="1">
      <c r="A116" s="9">
        <f t="shared" si="0"/>
        <v>115</v>
      </c>
      <c r="B116" s="8">
        <f t="shared" si="10"/>
        <v>16505.633837000012</v>
      </c>
      <c r="C116" s="9">
        <f>IF(A116&lt;=('Pay off vs Invest'!$B$2-'Pay off vs Invest'!$B$1)*12,Calculations!B116*(1+#REF!/12)^(('Pay off vs Invest'!$B$2-'Pay off vs Invest'!$B$1)*12-A116),0)</f>
        <v>0</v>
      </c>
      <c r="E116" s="9" t="e">
        <f>C116/((1+#REF!/12)^((('Pay off vs Invest'!$B$2-'Pay off vs Invest'!$B$1)*12)-Calculations!A116))</f>
        <v>#REF!</v>
      </c>
    </row>
    <row r="117" spans="1:5" ht="15.75" customHeight="1">
      <c r="A117" s="9">
        <f t="shared" si="0"/>
        <v>116</v>
      </c>
      <c r="B117" s="8">
        <f t="shared" si="10"/>
        <v>16505.633837000012</v>
      </c>
      <c r="C117" s="9">
        <f>IF(A117&lt;=('Pay off vs Invest'!$B$2-'Pay off vs Invest'!$B$1)*12,Calculations!B117*(1+#REF!/12)^(('Pay off vs Invest'!$B$2-'Pay off vs Invest'!$B$1)*12-A117),0)</f>
        <v>0</v>
      </c>
      <c r="E117" s="9" t="e">
        <f>C117/((1+#REF!/12)^((('Pay off vs Invest'!$B$2-'Pay off vs Invest'!$B$1)*12)-Calculations!A117))</f>
        <v>#REF!</v>
      </c>
    </row>
    <row r="118" spans="1:5" ht="15.75" customHeight="1">
      <c r="A118" s="9">
        <f t="shared" si="0"/>
        <v>117</v>
      </c>
      <c r="B118" s="8">
        <f t="shared" si="10"/>
        <v>16505.633837000012</v>
      </c>
      <c r="C118" s="9">
        <f>IF(A118&lt;=('Pay off vs Invest'!$B$2-'Pay off vs Invest'!$B$1)*12,Calculations!B118*(1+#REF!/12)^(('Pay off vs Invest'!$B$2-'Pay off vs Invest'!$B$1)*12-A118),0)</f>
        <v>0</v>
      </c>
      <c r="E118" s="9" t="e">
        <f>C118/((1+#REF!/12)^((('Pay off vs Invest'!$B$2-'Pay off vs Invest'!$B$1)*12)-Calculations!A118))</f>
        <v>#REF!</v>
      </c>
    </row>
    <row r="119" spans="1:5" ht="15.75" customHeight="1">
      <c r="A119" s="9">
        <f t="shared" si="0"/>
        <v>118</v>
      </c>
      <c r="B119" s="8">
        <f t="shared" si="10"/>
        <v>16505.633837000012</v>
      </c>
      <c r="C119" s="9">
        <f>IF(A119&lt;=('Pay off vs Invest'!$B$2-'Pay off vs Invest'!$B$1)*12,Calculations!B119*(1+#REF!/12)^(('Pay off vs Invest'!$B$2-'Pay off vs Invest'!$B$1)*12-A119),0)</f>
        <v>0</v>
      </c>
      <c r="E119" s="9" t="e">
        <f>C119/((1+#REF!/12)^((('Pay off vs Invest'!$B$2-'Pay off vs Invest'!$B$1)*12)-Calculations!A119))</f>
        <v>#REF!</v>
      </c>
    </row>
    <row r="120" spans="1:5" ht="15.75" customHeight="1">
      <c r="A120" s="9">
        <f t="shared" si="0"/>
        <v>119</v>
      </c>
      <c r="B120" s="8">
        <f t="shared" si="10"/>
        <v>16505.633837000012</v>
      </c>
      <c r="C120" s="9">
        <f>IF(A120&lt;=('Pay off vs Invest'!$B$2-'Pay off vs Invest'!$B$1)*12,Calculations!B120*(1+#REF!/12)^(('Pay off vs Invest'!$B$2-'Pay off vs Invest'!$B$1)*12-A120),0)</f>
        <v>0</v>
      </c>
      <c r="E120" s="9" t="e">
        <f>C120/((1+#REF!/12)^((('Pay off vs Invest'!$B$2-'Pay off vs Invest'!$B$1)*12)-Calculations!A120))</f>
        <v>#REF!</v>
      </c>
    </row>
    <row r="121" spans="1:5" ht="15.75" customHeight="1">
      <c r="A121" s="9">
        <f t="shared" si="0"/>
        <v>120</v>
      </c>
      <c r="B121" s="8">
        <f t="shared" si="10"/>
        <v>16505.633837000012</v>
      </c>
      <c r="C121" s="9">
        <f>IF(A121&lt;=('Pay off vs Invest'!$B$2-'Pay off vs Invest'!$B$1)*12,Calculations!B121*(1+#REF!/12)^(('Pay off vs Invest'!$B$2-'Pay off vs Invest'!$B$1)*12-A121),0)</f>
        <v>0</v>
      </c>
      <c r="E121" s="9" t="e">
        <f>C121/((1+#REF!/12)^((('Pay off vs Invest'!$B$2-'Pay off vs Invest'!$B$1)*12)-Calculations!A121))</f>
        <v>#REF!</v>
      </c>
    </row>
    <row r="122" spans="1:5" ht="15.75" customHeight="1">
      <c r="A122" s="9">
        <f t="shared" si="0"/>
        <v>121</v>
      </c>
      <c r="B122" s="8">
        <f>B121*(1+'Pay off vs Invest'!$B$7)</f>
        <v>18156.197220700014</v>
      </c>
      <c r="C122" s="9">
        <f>IF(A122&lt;=('Pay off vs Invest'!$B$2-'Pay off vs Invest'!$B$1)*12,Calculations!B122*(1+#REF!/12)^(('Pay off vs Invest'!$B$2-'Pay off vs Invest'!$B$1)*12-A122),0)</f>
        <v>0</v>
      </c>
      <c r="E122" s="9" t="e">
        <f>C122/((1+#REF!/12)^((('Pay off vs Invest'!$B$2-'Pay off vs Invest'!$B$1)*12)-Calculations!A122))</f>
        <v>#REF!</v>
      </c>
    </row>
    <row r="123" spans="1:5" ht="15.75" customHeight="1">
      <c r="A123" s="9">
        <f t="shared" si="0"/>
        <v>122</v>
      </c>
      <c r="B123" s="8">
        <f t="shared" ref="B123:B133" si="11">B122</f>
        <v>18156.197220700014</v>
      </c>
      <c r="C123" s="9">
        <f>IF(A123&lt;=('Pay off vs Invest'!$B$2-'Pay off vs Invest'!$B$1)*12,Calculations!B123*(1+#REF!/12)^(('Pay off vs Invest'!$B$2-'Pay off vs Invest'!$B$1)*12-A123),0)</f>
        <v>0</v>
      </c>
      <c r="E123" s="9" t="e">
        <f>C123/((1+#REF!/12)^((('Pay off vs Invest'!$B$2-'Pay off vs Invest'!$B$1)*12)-Calculations!A123))</f>
        <v>#REF!</v>
      </c>
    </row>
    <row r="124" spans="1:5" ht="15.75" customHeight="1">
      <c r="A124" s="9">
        <f t="shared" si="0"/>
        <v>123</v>
      </c>
      <c r="B124" s="8">
        <f t="shared" si="11"/>
        <v>18156.197220700014</v>
      </c>
      <c r="C124" s="9">
        <f>IF(A124&lt;=('Pay off vs Invest'!$B$2-'Pay off vs Invest'!$B$1)*12,Calculations!B124*(1+#REF!/12)^(('Pay off vs Invest'!$B$2-'Pay off vs Invest'!$B$1)*12-A124),0)</f>
        <v>0</v>
      </c>
      <c r="E124" s="9" t="e">
        <f>C124/((1+#REF!/12)^((('Pay off vs Invest'!$B$2-'Pay off vs Invest'!$B$1)*12)-Calculations!A124))</f>
        <v>#REF!</v>
      </c>
    </row>
    <row r="125" spans="1:5" ht="15.75" customHeight="1">
      <c r="A125" s="9">
        <f t="shared" si="0"/>
        <v>124</v>
      </c>
      <c r="B125" s="8">
        <f t="shared" si="11"/>
        <v>18156.197220700014</v>
      </c>
      <c r="C125" s="9">
        <f>IF(A125&lt;=('Pay off vs Invest'!$B$2-'Pay off vs Invest'!$B$1)*12,Calculations!B125*(1+#REF!/12)^(('Pay off vs Invest'!$B$2-'Pay off vs Invest'!$B$1)*12-A125),0)</f>
        <v>0</v>
      </c>
      <c r="E125" s="9" t="e">
        <f>C125/((1+#REF!/12)^((('Pay off vs Invest'!$B$2-'Pay off vs Invest'!$B$1)*12)-Calculations!A125))</f>
        <v>#REF!</v>
      </c>
    </row>
    <row r="126" spans="1:5" ht="15.75" customHeight="1">
      <c r="A126" s="9">
        <f t="shared" si="0"/>
        <v>125</v>
      </c>
      <c r="B126" s="8">
        <f t="shared" si="11"/>
        <v>18156.197220700014</v>
      </c>
      <c r="C126" s="9">
        <f>IF(A126&lt;=('Pay off vs Invest'!$B$2-'Pay off vs Invest'!$B$1)*12,Calculations!B126*(1+#REF!/12)^(('Pay off vs Invest'!$B$2-'Pay off vs Invest'!$B$1)*12-A126),0)</f>
        <v>0</v>
      </c>
      <c r="E126" s="9" t="e">
        <f>C126/((1+#REF!/12)^((('Pay off vs Invest'!$B$2-'Pay off vs Invest'!$B$1)*12)-Calculations!A126))</f>
        <v>#REF!</v>
      </c>
    </row>
    <row r="127" spans="1:5" ht="15.75" customHeight="1">
      <c r="A127" s="9">
        <f t="shared" si="0"/>
        <v>126</v>
      </c>
      <c r="B127" s="8">
        <f t="shared" si="11"/>
        <v>18156.197220700014</v>
      </c>
      <c r="C127" s="9">
        <f>IF(A127&lt;=('Pay off vs Invest'!$B$2-'Pay off vs Invest'!$B$1)*12,Calculations!B127*(1+#REF!/12)^(('Pay off vs Invest'!$B$2-'Pay off vs Invest'!$B$1)*12-A127),0)</f>
        <v>0</v>
      </c>
      <c r="E127" s="9" t="e">
        <f>C127/((1+#REF!/12)^((('Pay off vs Invest'!$B$2-'Pay off vs Invest'!$B$1)*12)-Calculations!A127))</f>
        <v>#REF!</v>
      </c>
    </row>
    <row r="128" spans="1:5" ht="15.75" customHeight="1">
      <c r="A128" s="9">
        <f t="shared" si="0"/>
        <v>127</v>
      </c>
      <c r="B128" s="8">
        <f t="shared" si="11"/>
        <v>18156.197220700014</v>
      </c>
      <c r="C128" s="9">
        <f>IF(A128&lt;=('Pay off vs Invest'!$B$2-'Pay off vs Invest'!$B$1)*12,Calculations!B128*(1+#REF!/12)^(('Pay off vs Invest'!$B$2-'Pay off vs Invest'!$B$1)*12-A128),0)</f>
        <v>0</v>
      </c>
      <c r="E128" s="9" t="e">
        <f>C128/((1+#REF!/12)^((('Pay off vs Invest'!$B$2-'Pay off vs Invest'!$B$1)*12)-Calculations!A128))</f>
        <v>#REF!</v>
      </c>
    </row>
    <row r="129" spans="1:5" ht="15.75" customHeight="1">
      <c r="A129" s="9">
        <f t="shared" si="0"/>
        <v>128</v>
      </c>
      <c r="B129" s="8">
        <f t="shared" si="11"/>
        <v>18156.197220700014</v>
      </c>
      <c r="C129" s="9">
        <f>IF(A129&lt;=('Pay off vs Invest'!$B$2-'Pay off vs Invest'!$B$1)*12,Calculations!B129*(1+#REF!/12)^(('Pay off vs Invest'!$B$2-'Pay off vs Invest'!$B$1)*12-A129),0)</f>
        <v>0</v>
      </c>
      <c r="E129" s="9" t="e">
        <f>C129/((1+#REF!/12)^((('Pay off vs Invest'!$B$2-'Pay off vs Invest'!$B$1)*12)-Calculations!A129))</f>
        <v>#REF!</v>
      </c>
    </row>
    <row r="130" spans="1:5" ht="15.75" customHeight="1">
      <c r="A130" s="9">
        <f t="shared" si="0"/>
        <v>129</v>
      </c>
      <c r="B130" s="8">
        <f t="shared" si="11"/>
        <v>18156.197220700014</v>
      </c>
      <c r="C130" s="9">
        <f>IF(A130&lt;=('Pay off vs Invest'!$B$2-'Pay off vs Invest'!$B$1)*12,Calculations!B130*(1+#REF!/12)^(('Pay off vs Invest'!$B$2-'Pay off vs Invest'!$B$1)*12-A130),0)</f>
        <v>0</v>
      </c>
      <c r="E130" s="9" t="e">
        <f>C130/((1+#REF!/12)^((('Pay off vs Invest'!$B$2-'Pay off vs Invest'!$B$1)*12)-Calculations!A130))</f>
        <v>#REF!</v>
      </c>
    </row>
    <row r="131" spans="1:5" ht="15.75" customHeight="1">
      <c r="A131" s="9">
        <f t="shared" si="0"/>
        <v>130</v>
      </c>
      <c r="B131" s="8">
        <f t="shared" si="11"/>
        <v>18156.197220700014</v>
      </c>
      <c r="C131" s="9">
        <f>IF(A131&lt;=('Pay off vs Invest'!$B$2-'Pay off vs Invest'!$B$1)*12,Calculations!B131*(1+#REF!/12)^(('Pay off vs Invest'!$B$2-'Pay off vs Invest'!$B$1)*12-A131),0)</f>
        <v>0</v>
      </c>
      <c r="E131" s="9" t="e">
        <f>C131/((1+#REF!/12)^((('Pay off vs Invest'!$B$2-'Pay off vs Invest'!$B$1)*12)-Calculations!A131))</f>
        <v>#REF!</v>
      </c>
    </row>
    <row r="132" spans="1:5" ht="15.75" customHeight="1">
      <c r="A132" s="9">
        <f t="shared" si="0"/>
        <v>131</v>
      </c>
      <c r="B132" s="8">
        <f t="shared" si="11"/>
        <v>18156.197220700014</v>
      </c>
      <c r="C132" s="9">
        <f>IF(A132&lt;=('Pay off vs Invest'!$B$2-'Pay off vs Invest'!$B$1)*12,Calculations!B132*(1+#REF!/12)^(('Pay off vs Invest'!$B$2-'Pay off vs Invest'!$B$1)*12-A132),0)</f>
        <v>0</v>
      </c>
      <c r="E132" s="9" t="e">
        <f>C132/((1+#REF!/12)^((('Pay off vs Invest'!$B$2-'Pay off vs Invest'!$B$1)*12)-Calculations!A132))</f>
        <v>#REF!</v>
      </c>
    </row>
    <row r="133" spans="1:5" ht="15.75" customHeight="1">
      <c r="A133" s="9">
        <f t="shared" si="0"/>
        <v>132</v>
      </c>
      <c r="B133" s="8">
        <f t="shared" si="11"/>
        <v>18156.197220700014</v>
      </c>
      <c r="C133" s="9">
        <f>IF(A133&lt;=('Pay off vs Invest'!$B$2-'Pay off vs Invest'!$B$1)*12,Calculations!B133*(1+#REF!/12)^(('Pay off vs Invest'!$B$2-'Pay off vs Invest'!$B$1)*12-A133),0)</f>
        <v>0</v>
      </c>
      <c r="E133" s="9" t="e">
        <f>C133/((1+#REF!/12)^((('Pay off vs Invest'!$B$2-'Pay off vs Invest'!$B$1)*12)-Calculations!A133))</f>
        <v>#REF!</v>
      </c>
    </row>
    <row r="134" spans="1:5" ht="15.75" customHeight="1">
      <c r="A134" s="9">
        <f t="shared" si="0"/>
        <v>133</v>
      </c>
      <c r="B134" s="8">
        <f>B133*(1+'Pay off vs Invest'!$B$7)</f>
        <v>19971.816942770016</v>
      </c>
      <c r="C134" s="9">
        <f>IF(A134&lt;=('Pay off vs Invest'!$B$2-'Pay off vs Invest'!$B$1)*12,Calculations!B134*(1+#REF!/12)^(('Pay off vs Invest'!$B$2-'Pay off vs Invest'!$B$1)*12-A134),0)</f>
        <v>0</v>
      </c>
      <c r="E134" s="9" t="e">
        <f>C134/((1+#REF!/12)^((('Pay off vs Invest'!$B$2-'Pay off vs Invest'!$B$1)*12)-Calculations!A134))</f>
        <v>#REF!</v>
      </c>
    </row>
    <row r="135" spans="1:5" ht="15.75" customHeight="1">
      <c r="A135" s="9">
        <f t="shared" si="0"/>
        <v>134</v>
      </c>
      <c r="B135" s="8">
        <f t="shared" ref="B135:B145" si="12">B134</f>
        <v>19971.816942770016</v>
      </c>
      <c r="C135" s="9">
        <f>IF(A135&lt;=('Pay off vs Invest'!$B$2-'Pay off vs Invest'!$B$1)*12,Calculations!B135*(1+#REF!/12)^(('Pay off vs Invest'!$B$2-'Pay off vs Invest'!$B$1)*12-A135),0)</f>
        <v>0</v>
      </c>
      <c r="E135" s="9" t="e">
        <f>C135/((1+#REF!/12)^((('Pay off vs Invest'!$B$2-'Pay off vs Invest'!$B$1)*12)-Calculations!A135))</f>
        <v>#REF!</v>
      </c>
    </row>
    <row r="136" spans="1:5" ht="15.75" customHeight="1">
      <c r="A136" s="9">
        <f t="shared" si="0"/>
        <v>135</v>
      </c>
      <c r="B136" s="8">
        <f t="shared" si="12"/>
        <v>19971.816942770016</v>
      </c>
      <c r="C136" s="9">
        <f>IF(A136&lt;=('Pay off vs Invest'!$B$2-'Pay off vs Invest'!$B$1)*12,Calculations!B136*(1+#REF!/12)^(('Pay off vs Invest'!$B$2-'Pay off vs Invest'!$B$1)*12-A136),0)</f>
        <v>0</v>
      </c>
      <c r="E136" s="9" t="e">
        <f>C136/((1+#REF!/12)^((('Pay off vs Invest'!$B$2-'Pay off vs Invest'!$B$1)*12)-Calculations!A136))</f>
        <v>#REF!</v>
      </c>
    </row>
    <row r="137" spans="1:5" ht="15.75" customHeight="1">
      <c r="A137" s="9">
        <f t="shared" si="0"/>
        <v>136</v>
      </c>
      <c r="B137" s="8">
        <f t="shared" si="12"/>
        <v>19971.816942770016</v>
      </c>
      <c r="C137" s="9">
        <f>IF(A137&lt;=('Pay off vs Invest'!$B$2-'Pay off vs Invest'!$B$1)*12,Calculations!B137*(1+#REF!/12)^(('Pay off vs Invest'!$B$2-'Pay off vs Invest'!$B$1)*12-A137),0)</f>
        <v>0</v>
      </c>
      <c r="E137" s="9" t="e">
        <f>C137/((1+#REF!/12)^((('Pay off vs Invest'!$B$2-'Pay off vs Invest'!$B$1)*12)-Calculations!A137))</f>
        <v>#REF!</v>
      </c>
    </row>
    <row r="138" spans="1:5" ht="15.75" customHeight="1">
      <c r="A138" s="9">
        <f t="shared" si="0"/>
        <v>137</v>
      </c>
      <c r="B138" s="8">
        <f t="shared" si="12"/>
        <v>19971.816942770016</v>
      </c>
      <c r="C138" s="9">
        <f>IF(A138&lt;=('Pay off vs Invest'!$B$2-'Pay off vs Invest'!$B$1)*12,Calculations!B138*(1+#REF!/12)^(('Pay off vs Invest'!$B$2-'Pay off vs Invest'!$B$1)*12-A138),0)</f>
        <v>0</v>
      </c>
      <c r="E138" s="9" t="e">
        <f>C138/((1+#REF!/12)^((('Pay off vs Invest'!$B$2-'Pay off vs Invest'!$B$1)*12)-Calculations!A138))</f>
        <v>#REF!</v>
      </c>
    </row>
    <row r="139" spans="1:5" ht="15.75" customHeight="1">
      <c r="A139" s="9">
        <f t="shared" si="0"/>
        <v>138</v>
      </c>
      <c r="B139" s="8">
        <f t="shared" si="12"/>
        <v>19971.816942770016</v>
      </c>
      <c r="C139" s="9">
        <f>IF(A139&lt;=('Pay off vs Invest'!$B$2-'Pay off vs Invest'!$B$1)*12,Calculations!B139*(1+#REF!/12)^(('Pay off vs Invest'!$B$2-'Pay off vs Invest'!$B$1)*12-A139),0)</f>
        <v>0</v>
      </c>
      <c r="E139" s="9" t="e">
        <f>C139/((1+#REF!/12)^((('Pay off vs Invest'!$B$2-'Pay off vs Invest'!$B$1)*12)-Calculations!A139))</f>
        <v>#REF!</v>
      </c>
    </row>
    <row r="140" spans="1:5" ht="15.75" customHeight="1">
      <c r="A140" s="9">
        <f t="shared" si="0"/>
        <v>139</v>
      </c>
      <c r="B140" s="8">
        <f t="shared" si="12"/>
        <v>19971.816942770016</v>
      </c>
      <c r="C140" s="9">
        <f>IF(A140&lt;=('Pay off vs Invest'!$B$2-'Pay off vs Invest'!$B$1)*12,Calculations!B140*(1+#REF!/12)^(('Pay off vs Invest'!$B$2-'Pay off vs Invest'!$B$1)*12-A140),0)</f>
        <v>0</v>
      </c>
      <c r="E140" s="9" t="e">
        <f>C140/((1+#REF!/12)^((('Pay off vs Invest'!$B$2-'Pay off vs Invest'!$B$1)*12)-Calculations!A140))</f>
        <v>#REF!</v>
      </c>
    </row>
    <row r="141" spans="1:5" ht="15.75" customHeight="1">
      <c r="A141" s="9">
        <f t="shared" si="0"/>
        <v>140</v>
      </c>
      <c r="B141" s="8">
        <f t="shared" si="12"/>
        <v>19971.816942770016</v>
      </c>
      <c r="C141" s="9">
        <f>IF(A141&lt;=('Pay off vs Invest'!$B$2-'Pay off vs Invest'!$B$1)*12,Calculations!B141*(1+#REF!/12)^(('Pay off vs Invest'!$B$2-'Pay off vs Invest'!$B$1)*12-A141),0)</f>
        <v>0</v>
      </c>
      <c r="E141" s="9" t="e">
        <f>C141/((1+#REF!/12)^((('Pay off vs Invest'!$B$2-'Pay off vs Invest'!$B$1)*12)-Calculations!A141))</f>
        <v>#REF!</v>
      </c>
    </row>
    <row r="142" spans="1:5" ht="15.75" customHeight="1">
      <c r="A142" s="9">
        <f t="shared" si="0"/>
        <v>141</v>
      </c>
      <c r="B142" s="8">
        <f t="shared" si="12"/>
        <v>19971.816942770016</v>
      </c>
      <c r="C142" s="9">
        <f>IF(A142&lt;=('Pay off vs Invest'!$B$2-'Pay off vs Invest'!$B$1)*12,Calculations!B142*(1+#REF!/12)^(('Pay off vs Invest'!$B$2-'Pay off vs Invest'!$B$1)*12-A142),0)</f>
        <v>0</v>
      </c>
      <c r="E142" s="9" t="e">
        <f>C142/((1+#REF!/12)^((('Pay off vs Invest'!$B$2-'Pay off vs Invest'!$B$1)*12)-Calculations!A142))</f>
        <v>#REF!</v>
      </c>
    </row>
    <row r="143" spans="1:5" ht="15.75" customHeight="1">
      <c r="A143" s="9">
        <f t="shared" si="0"/>
        <v>142</v>
      </c>
      <c r="B143" s="8">
        <f t="shared" si="12"/>
        <v>19971.816942770016</v>
      </c>
      <c r="C143" s="9">
        <f>IF(A143&lt;=('Pay off vs Invest'!$B$2-'Pay off vs Invest'!$B$1)*12,Calculations!B143*(1+#REF!/12)^(('Pay off vs Invest'!$B$2-'Pay off vs Invest'!$B$1)*12-A143),0)</f>
        <v>0</v>
      </c>
      <c r="E143" s="9" t="e">
        <f>C143/((1+#REF!/12)^((('Pay off vs Invest'!$B$2-'Pay off vs Invest'!$B$1)*12)-Calculations!A143))</f>
        <v>#REF!</v>
      </c>
    </row>
    <row r="144" spans="1:5" ht="15.75" customHeight="1">
      <c r="A144" s="9">
        <f t="shared" si="0"/>
        <v>143</v>
      </c>
      <c r="B144" s="8">
        <f t="shared" si="12"/>
        <v>19971.816942770016</v>
      </c>
      <c r="C144" s="9">
        <f>IF(A144&lt;=('Pay off vs Invest'!$B$2-'Pay off vs Invest'!$B$1)*12,Calculations!B144*(1+#REF!/12)^(('Pay off vs Invest'!$B$2-'Pay off vs Invest'!$B$1)*12-A144),0)</f>
        <v>0</v>
      </c>
      <c r="E144" s="9" t="e">
        <f>C144/((1+#REF!/12)^((('Pay off vs Invest'!$B$2-'Pay off vs Invest'!$B$1)*12)-Calculations!A144))</f>
        <v>#REF!</v>
      </c>
    </row>
    <row r="145" spans="1:5" ht="15.75" customHeight="1">
      <c r="A145" s="9">
        <f t="shared" si="0"/>
        <v>144</v>
      </c>
      <c r="B145" s="8">
        <f t="shared" si="12"/>
        <v>19971.816942770016</v>
      </c>
      <c r="C145" s="9">
        <f>IF(A145&lt;=('Pay off vs Invest'!$B$2-'Pay off vs Invest'!$B$1)*12,Calculations!B145*(1+#REF!/12)^(('Pay off vs Invest'!$B$2-'Pay off vs Invest'!$B$1)*12-A145),0)</f>
        <v>0</v>
      </c>
      <c r="E145" s="9" t="e">
        <f>C145/((1+#REF!/12)^((('Pay off vs Invest'!$B$2-'Pay off vs Invest'!$B$1)*12)-Calculations!A145))</f>
        <v>#REF!</v>
      </c>
    </row>
    <row r="146" spans="1:5" ht="15.75" customHeight="1">
      <c r="A146" s="9">
        <f t="shared" si="0"/>
        <v>145</v>
      </c>
      <c r="B146" s="8">
        <f>B145*(1+'Pay off vs Invest'!$B$7)</f>
        <v>21968.998637047018</v>
      </c>
      <c r="C146" s="9">
        <f>IF(A146&lt;=('Pay off vs Invest'!$B$2-'Pay off vs Invest'!$B$1)*12,Calculations!B146*(1+#REF!/12)^(('Pay off vs Invest'!$B$2-'Pay off vs Invest'!$B$1)*12-A146),0)</f>
        <v>0</v>
      </c>
      <c r="E146" s="9" t="e">
        <f>C146/((1+#REF!/12)^((('Pay off vs Invest'!$B$2-'Pay off vs Invest'!$B$1)*12)-Calculations!A146))</f>
        <v>#REF!</v>
      </c>
    </row>
    <row r="147" spans="1:5" ht="15.75" customHeight="1">
      <c r="A147" s="9">
        <f t="shared" si="0"/>
        <v>146</v>
      </c>
      <c r="B147" s="8">
        <f t="shared" ref="B147:B157" si="13">B146</f>
        <v>21968.998637047018</v>
      </c>
      <c r="C147" s="9">
        <f>IF(A147&lt;=('Pay off vs Invest'!$B$2-'Pay off vs Invest'!$B$1)*12,Calculations!B147*(1+#REF!/12)^(('Pay off vs Invest'!$B$2-'Pay off vs Invest'!$B$1)*12-A147),0)</f>
        <v>0</v>
      </c>
      <c r="E147" s="9" t="e">
        <f>C147/((1+#REF!/12)^((('Pay off vs Invest'!$B$2-'Pay off vs Invest'!$B$1)*12)-Calculations!A147))</f>
        <v>#REF!</v>
      </c>
    </row>
    <row r="148" spans="1:5" ht="15.75" customHeight="1">
      <c r="A148" s="9">
        <f t="shared" si="0"/>
        <v>147</v>
      </c>
      <c r="B148" s="8">
        <f t="shared" si="13"/>
        <v>21968.998637047018</v>
      </c>
      <c r="C148" s="9">
        <f>IF(A148&lt;=('Pay off vs Invest'!$B$2-'Pay off vs Invest'!$B$1)*12,Calculations!B148*(1+#REF!/12)^(('Pay off vs Invest'!$B$2-'Pay off vs Invest'!$B$1)*12-A148),0)</f>
        <v>0</v>
      </c>
      <c r="E148" s="9" t="e">
        <f>C148/((1+#REF!/12)^((('Pay off vs Invest'!$B$2-'Pay off vs Invest'!$B$1)*12)-Calculations!A148))</f>
        <v>#REF!</v>
      </c>
    </row>
    <row r="149" spans="1:5" ht="15.75" customHeight="1">
      <c r="A149" s="9">
        <f t="shared" si="0"/>
        <v>148</v>
      </c>
      <c r="B149" s="8">
        <f t="shared" si="13"/>
        <v>21968.998637047018</v>
      </c>
      <c r="C149" s="9">
        <f>IF(A149&lt;=('Pay off vs Invest'!$B$2-'Pay off vs Invest'!$B$1)*12,Calculations!B149*(1+#REF!/12)^(('Pay off vs Invest'!$B$2-'Pay off vs Invest'!$B$1)*12-A149),0)</f>
        <v>0</v>
      </c>
      <c r="E149" s="9" t="e">
        <f>C149/((1+#REF!/12)^((('Pay off vs Invest'!$B$2-'Pay off vs Invest'!$B$1)*12)-Calculations!A149))</f>
        <v>#REF!</v>
      </c>
    </row>
    <row r="150" spans="1:5" ht="15.75" customHeight="1">
      <c r="A150" s="9">
        <f t="shared" si="0"/>
        <v>149</v>
      </c>
      <c r="B150" s="8">
        <f t="shared" si="13"/>
        <v>21968.998637047018</v>
      </c>
      <c r="C150" s="9">
        <f>IF(A150&lt;=('Pay off vs Invest'!$B$2-'Pay off vs Invest'!$B$1)*12,Calculations!B150*(1+#REF!/12)^(('Pay off vs Invest'!$B$2-'Pay off vs Invest'!$B$1)*12-A150),0)</f>
        <v>0</v>
      </c>
      <c r="E150" s="9" t="e">
        <f>C150/((1+#REF!/12)^((('Pay off vs Invest'!$B$2-'Pay off vs Invest'!$B$1)*12)-Calculations!A150))</f>
        <v>#REF!</v>
      </c>
    </row>
    <row r="151" spans="1:5" ht="15.75" customHeight="1">
      <c r="A151" s="9">
        <f t="shared" si="0"/>
        <v>150</v>
      </c>
      <c r="B151" s="8">
        <f t="shared" si="13"/>
        <v>21968.998637047018</v>
      </c>
      <c r="C151" s="9">
        <f>IF(A151&lt;=('Pay off vs Invest'!$B$2-'Pay off vs Invest'!$B$1)*12,Calculations!B151*(1+#REF!/12)^(('Pay off vs Invest'!$B$2-'Pay off vs Invest'!$B$1)*12-A151),0)</f>
        <v>0</v>
      </c>
      <c r="E151" s="9" t="e">
        <f>C151/((1+#REF!/12)^((('Pay off vs Invest'!$B$2-'Pay off vs Invest'!$B$1)*12)-Calculations!A151))</f>
        <v>#REF!</v>
      </c>
    </row>
    <row r="152" spans="1:5" ht="15.75" customHeight="1">
      <c r="A152" s="9">
        <f t="shared" si="0"/>
        <v>151</v>
      </c>
      <c r="B152" s="8">
        <f t="shared" si="13"/>
        <v>21968.998637047018</v>
      </c>
      <c r="C152" s="9">
        <f>IF(A152&lt;=('Pay off vs Invest'!$B$2-'Pay off vs Invest'!$B$1)*12,Calculations!B152*(1+#REF!/12)^(('Pay off vs Invest'!$B$2-'Pay off vs Invest'!$B$1)*12-A152),0)</f>
        <v>0</v>
      </c>
      <c r="E152" s="9" t="e">
        <f>C152/((1+#REF!/12)^((('Pay off vs Invest'!$B$2-'Pay off vs Invest'!$B$1)*12)-Calculations!A152))</f>
        <v>#REF!</v>
      </c>
    </row>
    <row r="153" spans="1:5" ht="15.75" customHeight="1">
      <c r="A153" s="9">
        <f t="shared" si="0"/>
        <v>152</v>
      </c>
      <c r="B153" s="8">
        <f t="shared" si="13"/>
        <v>21968.998637047018</v>
      </c>
      <c r="C153" s="9">
        <f>IF(A153&lt;=('Pay off vs Invest'!$B$2-'Pay off vs Invest'!$B$1)*12,Calculations!B153*(1+#REF!/12)^(('Pay off vs Invest'!$B$2-'Pay off vs Invest'!$B$1)*12-A153),0)</f>
        <v>0</v>
      </c>
      <c r="E153" s="9" t="e">
        <f>C153/((1+#REF!/12)^((('Pay off vs Invest'!$B$2-'Pay off vs Invest'!$B$1)*12)-Calculations!A153))</f>
        <v>#REF!</v>
      </c>
    </row>
    <row r="154" spans="1:5" ht="15.75" customHeight="1">
      <c r="A154" s="9">
        <f t="shared" si="0"/>
        <v>153</v>
      </c>
      <c r="B154" s="8">
        <f t="shared" si="13"/>
        <v>21968.998637047018</v>
      </c>
      <c r="C154" s="9">
        <f>IF(A154&lt;=('Pay off vs Invest'!$B$2-'Pay off vs Invest'!$B$1)*12,Calculations!B154*(1+#REF!/12)^(('Pay off vs Invest'!$B$2-'Pay off vs Invest'!$B$1)*12-A154),0)</f>
        <v>0</v>
      </c>
      <c r="E154" s="9" t="e">
        <f>C154/((1+#REF!/12)^((('Pay off vs Invest'!$B$2-'Pay off vs Invest'!$B$1)*12)-Calculations!A154))</f>
        <v>#REF!</v>
      </c>
    </row>
    <row r="155" spans="1:5" ht="15.75" customHeight="1">
      <c r="A155" s="9">
        <f t="shared" si="0"/>
        <v>154</v>
      </c>
      <c r="B155" s="8">
        <f t="shared" si="13"/>
        <v>21968.998637047018</v>
      </c>
      <c r="C155" s="9">
        <f>IF(A155&lt;=('Pay off vs Invest'!$B$2-'Pay off vs Invest'!$B$1)*12,Calculations!B155*(1+#REF!/12)^(('Pay off vs Invest'!$B$2-'Pay off vs Invest'!$B$1)*12-A155),0)</f>
        <v>0</v>
      </c>
      <c r="E155" s="9" t="e">
        <f>C155/((1+#REF!/12)^((('Pay off vs Invest'!$B$2-'Pay off vs Invest'!$B$1)*12)-Calculations!A155))</f>
        <v>#REF!</v>
      </c>
    </row>
    <row r="156" spans="1:5" ht="15.75" customHeight="1">
      <c r="A156" s="9">
        <f t="shared" si="0"/>
        <v>155</v>
      </c>
      <c r="B156" s="8">
        <f t="shared" si="13"/>
        <v>21968.998637047018</v>
      </c>
      <c r="C156" s="9">
        <f>IF(A156&lt;=('Pay off vs Invest'!$B$2-'Pay off vs Invest'!$B$1)*12,Calculations!B156*(1+#REF!/12)^(('Pay off vs Invest'!$B$2-'Pay off vs Invest'!$B$1)*12-A156),0)</f>
        <v>0</v>
      </c>
      <c r="E156" s="9" t="e">
        <f>C156/((1+#REF!/12)^((('Pay off vs Invest'!$B$2-'Pay off vs Invest'!$B$1)*12)-Calculations!A156))</f>
        <v>#REF!</v>
      </c>
    </row>
    <row r="157" spans="1:5" ht="15.75" customHeight="1">
      <c r="A157" s="9">
        <f t="shared" si="0"/>
        <v>156</v>
      </c>
      <c r="B157" s="8">
        <f t="shared" si="13"/>
        <v>21968.998637047018</v>
      </c>
      <c r="C157" s="9">
        <f>IF(A157&lt;=('Pay off vs Invest'!$B$2-'Pay off vs Invest'!$B$1)*12,Calculations!B157*(1+#REF!/12)^(('Pay off vs Invest'!$B$2-'Pay off vs Invest'!$B$1)*12-A157),0)</f>
        <v>0</v>
      </c>
      <c r="E157" s="9" t="e">
        <f>C157/((1+#REF!/12)^((('Pay off vs Invest'!$B$2-'Pay off vs Invest'!$B$1)*12)-Calculations!A157))</f>
        <v>#REF!</v>
      </c>
    </row>
    <row r="158" spans="1:5" ht="15.75" customHeight="1">
      <c r="A158" s="9">
        <f t="shared" si="0"/>
        <v>157</v>
      </c>
      <c r="B158" s="8">
        <f>B157*(1+'Pay off vs Invest'!$B$7)</f>
        <v>24165.898500751722</v>
      </c>
      <c r="C158" s="9">
        <f>IF(A158&lt;=('Pay off vs Invest'!$B$2-'Pay off vs Invest'!$B$1)*12,Calculations!B158*(1+#REF!/12)^(('Pay off vs Invest'!$B$2-'Pay off vs Invest'!$B$1)*12-A158),0)</f>
        <v>0</v>
      </c>
      <c r="E158" s="9" t="e">
        <f>C158/((1+#REF!/12)^((('Pay off vs Invest'!$B$2-'Pay off vs Invest'!$B$1)*12)-Calculations!A158))</f>
        <v>#REF!</v>
      </c>
    </row>
    <row r="159" spans="1:5" ht="15.75" customHeight="1">
      <c r="A159" s="9">
        <f t="shared" si="0"/>
        <v>158</v>
      </c>
      <c r="B159" s="8">
        <f t="shared" ref="B159:B169" si="14">B158</f>
        <v>24165.898500751722</v>
      </c>
      <c r="C159" s="9">
        <f>IF(A159&lt;=('Pay off vs Invest'!$B$2-'Pay off vs Invest'!$B$1)*12,Calculations!B159*(1+#REF!/12)^(('Pay off vs Invest'!$B$2-'Pay off vs Invest'!$B$1)*12-A159),0)</f>
        <v>0</v>
      </c>
      <c r="E159" s="9" t="e">
        <f>C159/((1+#REF!/12)^((('Pay off vs Invest'!$B$2-'Pay off vs Invest'!$B$1)*12)-Calculations!A159))</f>
        <v>#REF!</v>
      </c>
    </row>
    <row r="160" spans="1:5" ht="15.75" customHeight="1">
      <c r="A160" s="9">
        <f t="shared" si="0"/>
        <v>159</v>
      </c>
      <c r="B160" s="8">
        <f t="shared" si="14"/>
        <v>24165.898500751722</v>
      </c>
      <c r="C160" s="9">
        <f>IF(A160&lt;=('Pay off vs Invest'!$B$2-'Pay off vs Invest'!$B$1)*12,Calculations!B160*(1+#REF!/12)^(('Pay off vs Invest'!$B$2-'Pay off vs Invest'!$B$1)*12-A160),0)</f>
        <v>0</v>
      </c>
      <c r="E160" s="9" t="e">
        <f>C160/((1+#REF!/12)^((('Pay off vs Invest'!$B$2-'Pay off vs Invest'!$B$1)*12)-Calculations!A160))</f>
        <v>#REF!</v>
      </c>
    </row>
    <row r="161" spans="1:5" ht="15.75" customHeight="1">
      <c r="A161" s="9">
        <f t="shared" si="0"/>
        <v>160</v>
      </c>
      <c r="B161" s="8">
        <f t="shared" si="14"/>
        <v>24165.898500751722</v>
      </c>
      <c r="C161" s="9">
        <f>IF(A161&lt;=('Pay off vs Invest'!$B$2-'Pay off vs Invest'!$B$1)*12,Calculations!B161*(1+#REF!/12)^(('Pay off vs Invest'!$B$2-'Pay off vs Invest'!$B$1)*12-A161),0)</f>
        <v>0</v>
      </c>
      <c r="E161" s="9" t="e">
        <f>C161/((1+#REF!/12)^((('Pay off vs Invest'!$B$2-'Pay off vs Invest'!$B$1)*12)-Calculations!A161))</f>
        <v>#REF!</v>
      </c>
    </row>
    <row r="162" spans="1:5" ht="15.75" customHeight="1">
      <c r="A162" s="9">
        <f t="shared" si="0"/>
        <v>161</v>
      </c>
      <c r="B162" s="8">
        <f t="shared" si="14"/>
        <v>24165.898500751722</v>
      </c>
      <c r="C162" s="9">
        <f>IF(A162&lt;=('Pay off vs Invest'!$B$2-'Pay off vs Invest'!$B$1)*12,Calculations!B162*(1+#REF!/12)^(('Pay off vs Invest'!$B$2-'Pay off vs Invest'!$B$1)*12-A162),0)</f>
        <v>0</v>
      </c>
      <c r="E162" s="9" t="e">
        <f>C162/((1+#REF!/12)^((('Pay off vs Invest'!$B$2-'Pay off vs Invest'!$B$1)*12)-Calculations!A162))</f>
        <v>#REF!</v>
      </c>
    </row>
    <row r="163" spans="1:5" ht="15.75" customHeight="1">
      <c r="A163" s="9">
        <f t="shared" si="0"/>
        <v>162</v>
      </c>
      <c r="B163" s="8">
        <f t="shared" si="14"/>
        <v>24165.898500751722</v>
      </c>
      <c r="C163" s="9">
        <f>IF(A163&lt;=('Pay off vs Invest'!$B$2-'Pay off vs Invest'!$B$1)*12,Calculations!B163*(1+#REF!/12)^(('Pay off vs Invest'!$B$2-'Pay off vs Invest'!$B$1)*12-A163),0)</f>
        <v>0</v>
      </c>
      <c r="E163" s="9" t="e">
        <f>C163/((1+#REF!/12)^((('Pay off vs Invest'!$B$2-'Pay off vs Invest'!$B$1)*12)-Calculations!A163))</f>
        <v>#REF!</v>
      </c>
    </row>
    <row r="164" spans="1:5" ht="15.75" customHeight="1">
      <c r="A164" s="9">
        <f t="shared" si="0"/>
        <v>163</v>
      </c>
      <c r="B164" s="8">
        <f t="shared" si="14"/>
        <v>24165.898500751722</v>
      </c>
      <c r="C164" s="9">
        <f>IF(A164&lt;=('Pay off vs Invest'!$B$2-'Pay off vs Invest'!$B$1)*12,Calculations!B164*(1+#REF!/12)^(('Pay off vs Invest'!$B$2-'Pay off vs Invest'!$B$1)*12-A164),0)</f>
        <v>0</v>
      </c>
      <c r="E164" s="9" t="e">
        <f>C164/((1+#REF!/12)^((('Pay off vs Invest'!$B$2-'Pay off vs Invest'!$B$1)*12)-Calculations!A164))</f>
        <v>#REF!</v>
      </c>
    </row>
    <row r="165" spans="1:5" ht="15.75" customHeight="1">
      <c r="A165" s="9">
        <f t="shared" si="0"/>
        <v>164</v>
      </c>
      <c r="B165" s="8">
        <f t="shared" si="14"/>
        <v>24165.898500751722</v>
      </c>
      <c r="C165" s="9">
        <f>IF(A165&lt;=('Pay off vs Invest'!$B$2-'Pay off vs Invest'!$B$1)*12,Calculations!B165*(1+#REF!/12)^(('Pay off vs Invest'!$B$2-'Pay off vs Invest'!$B$1)*12-A165),0)</f>
        <v>0</v>
      </c>
      <c r="E165" s="9" t="e">
        <f>C165/((1+#REF!/12)^((('Pay off vs Invest'!$B$2-'Pay off vs Invest'!$B$1)*12)-Calculations!A165))</f>
        <v>#REF!</v>
      </c>
    </row>
    <row r="166" spans="1:5" ht="15.75" customHeight="1">
      <c r="A166" s="9">
        <f t="shared" si="0"/>
        <v>165</v>
      </c>
      <c r="B166" s="8">
        <f t="shared" si="14"/>
        <v>24165.898500751722</v>
      </c>
      <c r="C166" s="9">
        <f>IF(A166&lt;=('Pay off vs Invest'!$B$2-'Pay off vs Invest'!$B$1)*12,Calculations!B166*(1+#REF!/12)^(('Pay off vs Invest'!$B$2-'Pay off vs Invest'!$B$1)*12-A166),0)</f>
        <v>0</v>
      </c>
      <c r="E166" s="9" t="e">
        <f>C166/((1+#REF!/12)^((('Pay off vs Invest'!$B$2-'Pay off vs Invest'!$B$1)*12)-Calculations!A166))</f>
        <v>#REF!</v>
      </c>
    </row>
    <row r="167" spans="1:5" ht="15.75" customHeight="1">
      <c r="A167" s="9">
        <f t="shared" si="0"/>
        <v>166</v>
      </c>
      <c r="B167" s="8">
        <f t="shared" si="14"/>
        <v>24165.898500751722</v>
      </c>
      <c r="C167" s="9">
        <f>IF(A167&lt;=('Pay off vs Invest'!$B$2-'Pay off vs Invest'!$B$1)*12,Calculations!B167*(1+#REF!/12)^(('Pay off vs Invest'!$B$2-'Pay off vs Invest'!$B$1)*12-A167),0)</f>
        <v>0</v>
      </c>
      <c r="E167" s="9" t="e">
        <f>C167/((1+#REF!/12)^((('Pay off vs Invest'!$B$2-'Pay off vs Invest'!$B$1)*12)-Calculations!A167))</f>
        <v>#REF!</v>
      </c>
    </row>
    <row r="168" spans="1:5" ht="15.75" customHeight="1">
      <c r="A168" s="9">
        <f t="shared" si="0"/>
        <v>167</v>
      </c>
      <c r="B168" s="8">
        <f t="shared" si="14"/>
        <v>24165.898500751722</v>
      </c>
      <c r="C168" s="9">
        <f>IF(A168&lt;=('Pay off vs Invest'!$B$2-'Pay off vs Invest'!$B$1)*12,Calculations!B168*(1+#REF!/12)^(('Pay off vs Invest'!$B$2-'Pay off vs Invest'!$B$1)*12-A168),0)</f>
        <v>0</v>
      </c>
      <c r="E168" s="9" t="e">
        <f>C168/((1+#REF!/12)^((('Pay off vs Invest'!$B$2-'Pay off vs Invest'!$B$1)*12)-Calculations!A168))</f>
        <v>#REF!</v>
      </c>
    </row>
    <row r="169" spans="1:5" ht="15.75" customHeight="1">
      <c r="A169" s="9">
        <f t="shared" si="0"/>
        <v>168</v>
      </c>
      <c r="B169" s="8">
        <f t="shared" si="14"/>
        <v>24165.898500751722</v>
      </c>
      <c r="C169" s="9">
        <f>IF(A169&lt;=('Pay off vs Invest'!$B$2-'Pay off vs Invest'!$B$1)*12,Calculations!B169*(1+#REF!/12)^(('Pay off vs Invest'!$B$2-'Pay off vs Invest'!$B$1)*12-A169),0)</f>
        <v>0</v>
      </c>
      <c r="E169" s="9" t="e">
        <f>C169/((1+#REF!/12)^((('Pay off vs Invest'!$B$2-'Pay off vs Invest'!$B$1)*12)-Calculations!A169))</f>
        <v>#REF!</v>
      </c>
    </row>
    <row r="170" spans="1:5" ht="15.75" customHeight="1">
      <c r="A170" s="9">
        <f t="shared" si="0"/>
        <v>169</v>
      </c>
      <c r="B170" s="8">
        <f>B169*(1+'Pay off vs Invest'!$B$7)</f>
        <v>26582.488350826898</v>
      </c>
      <c r="C170" s="9">
        <f>IF(A170&lt;=('Pay off vs Invest'!$B$2-'Pay off vs Invest'!$B$1)*12,Calculations!B170*(1+#REF!/12)^(('Pay off vs Invest'!$B$2-'Pay off vs Invest'!$B$1)*12-A170),0)</f>
        <v>0</v>
      </c>
      <c r="E170" s="9" t="e">
        <f>C170/((1+#REF!/12)^((('Pay off vs Invest'!$B$2-'Pay off vs Invest'!$B$1)*12)-Calculations!A170))</f>
        <v>#REF!</v>
      </c>
    </row>
    <row r="171" spans="1:5" ht="15.75" customHeight="1">
      <c r="A171" s="9">
        <f t="shared" si="0"/>
        <v>170</v>
      </c>
      <c r="B171" s="8">
        <f t="shared" ref="B171:B181" si="15">B170</f>
        <v>26582.488350826898</v>
      </c>
      <c r="C171" s="9">
        <f>IF(A171&lt;=('Pay off vs Invest'!$B$2-'Pay off vs Invest'!$B$1)*12,Calculations!B171*(1+#REF!/12)^(('Pay off vs Invest'!$B$2-'Pay off vs Invest'!$B$1)*12-A171),0)</f>
        <v>0</v>
      </c>
      <c r="E171" s="9" t="e">
        <f>C171/((1+#REF!/12)^((('Pay off vs Invest'!$B$2-'Pay off vs Invest'!$B$1)*12)-Calculations!A171))</f>
        <v>#REF!</v>
      </c>
    </row>
    <row r="172" spans="1:5" ht="15.75" customHeight="1">
      <c r="A172" s="9">
        <f t="shared" si="0"/>
        <v>171</v>
      </c>
      <c r="B172" s="8">
        <f t="shared" si="15"/>
        <v>26582.488350826898</v>
      </c>
      <c r="C172" s="9">
        <f>IF(A172&lt;=('Pay off vs Invest'!$B$2-'Pay off vs Invest'!$B$1)*12,Calculations!B172*(1+#REF!/12)^(('Pay off vs Invest'!$B$2-'Pay off vs Invest'!$B$1)*12-A172),0)</f>
        <v>0</v>
      </c>
      <c r="E172" s="9" t="e">
        <f>C172/((1+#REF!/12)^((('Pay off vs Invest'!$B$2-'Pay off vs Invest'!$B$1)*12)-Calculations!A172))</f>
        <v>#REF!</v>
      </c>
    </row>
    <row r="173" spans="1:5" ht="15.75" customHeight="1">
      <c r="A173" s="9">
        <f t="shared" si="0"/>
        <v>172</v>
      </c>
      <c r="B173" s="8">
        <f t="shared" si="15"/>
        <v>26582.488350826898</v>
      </c>
      <c r="C173" s="9">
        <f>IF(A173&lt;=('Pay off vs Invest'!$B$2-'Pay off vs Invest'!$B$1)*12,Calculations!B173*(1+#REF!/12)^(('Pay off vs Invest'!$B$2-'Pay off vs Invest'!$B$1)*12-A173),0)</f>
        <v>0</v>
      </c>
      <c r="E173" s="9" t="e">
        <f>C173/((1+#REF!/12)^((('Pay off vs Invest'!$B$2-'Pay off vs Invest'!$B$1)*12)-Calculations!A173))</f>
        <v>#REF!</v>
      </c>
    </row>
    <row r="174" spans="1:5" ht="15.75" customHeight="1">
      <c r="A174" s="9">
        <f t="shared" si="0"/>
        <v>173</v>
      </c>
      <c r="B174" s="8">
        <f t="shared" si="15"/>
        <v>26582.488350826898</v>
      </c>
      <c r="C174" s="9">
        <f>IF(A174&lt;=('Pay off vs Invest'!$B$2-'Pay off vs Invest'!$B$1)*12,Calculations!B174*(1+#REF!/12)^(('Pay off vs Invest'!$B$2-'Pay off vs Invest'!$B$1)*12-A174),0)</f>
        <v>0</v>
      </c>
      <c r="E174" s="9" t="e">
        <f>C174/((1+#REF!/12)^((('Pay off vs Invest'!$B$2-'Pay off vs Invest'!$B$1)*12)-Calculations!A174))</f>
        <v>#REF!</v>
      </c>
    </row>
    <row r="175" spans="1:5" ht="15.75" customHeight="1">
      <c r="A175" s="9">
        <f t="shared" si="0"/>
        <v>174</v>
      </c>
      <c r="B175" s="8">
        <f t="shared" si="15"/>
        <v>26582.488350826898</v>
      </c>
      <c r="C175" s="9">
        <f>IF(A175&lt;=('Pay off vs Invest'!$B$2-'Pay off vs Invest'!$B$1)*12,Calculations!B175*(1+#REF!/12)^(('Pay off vs Invest'!$B$2-'Pay off vs Invest'!$B$1)*12-A175),0)</f>
        <v>0</v>
      </c>
      <c r="E175" s="9" t="e">
        <f>C175/((1+#REF!/12)^((('Pay off vs Invest'!$B$2-'Pay off vs Invest'!$B$1)*12)-Calculations!A175))</f>
        <v>#REF!</v>
      </c>
    </row>
    <row r="176" spans="1:5" ht="15.75" customHeight="1">
      <c r="A176" s="9">
        <f t="shared" si="0"/>
        <v>175</v>
      </c>
      <c r="B176" s="8">
        <f t="shared" si="15"/>
        <v>26582.488350826898</v>
      </c>
      <c r="C176" s="9">
        <f>IF(A176&lt;=('Pay off vs Invest'!$B$2-'Pay off vs Invest'!$B$1)*12,Calculations!B176*(1+#REF!/12)^(('Pay off vs Invest'!$B$2-'Pay off vs Invest'!$B$1)*12-A176),0)</f>
        <v>0</v>
      </c>
      <c r="E176" s="9" t="e">
        <f>C176/((1+#REF!/12)^((('Pay off vs Invest'!$B$2-'Pay off vs Invest'!$B$1)*12)-Calculations!A176))</f>
        <v>#REF!</v>
      </c>
    </row>
    <row r="177" spans="1:5" ht="15.75" customHeight="1">
      <c r="A177" s="9">
        <f t="shared" si="0"/>
        <v>176</v>
      </c>
      <c r="B177" s="8">
        <f t="shared" si="15"/>
        <v>26582.488350826898</v>
      </c>
      <c r="C177" s="9">
        <f>IF(A177&lt;=('Pay off vs Invest'!$B$2-'Pay off vs Invest'!$B$1)*12,Calculations!B177*(1+#REF!/12)^(('Pay off vs Invest'!$B$2-'Pay off vs Invest'!$B$1)*12-A177),0)</f>
        <v>0</v>
      </c>
      <c r="E177" s="9" t="e">
        <f>C177/((1+#REF!/12)^((('Pay off vs Invest'!$B$2-'Pay off vs Invest'!$B$1)*12)-Calculations!A177))</f>
        <v>#REF!</v>
      </c>
    </row>
    <row r="178" spans="1:5" ht="15.75" customHeight="1">
      <c r="A178" s="9">
        <f t="shared" si="0"/>
        <v>177</v>
      </c>
      <c r="B178" s="8">
        <f t="shared" si="15"/>
        <v>26582.488350826898</v>
      </c>
      <c r="C178" s="9">
        <f>IF(A178&lt;=('Pay off vs Invest'!$B$2-'Pay off vs Invest'!$B$1)*12,Calculations!B178*(1+#REF!/12)^(('Pay off vs Invest'!$B$2-'Pay off vs Invest'!$B$1)*12-A178),0)</f>
        <v>0</v>
      </c>
      <c r="E178" s="9" t="e">
        <f>C178/((1+#REF!/12)^((('Pay off vs Invest'!$B$2-'Pay off vs Invest'!$B$1)*12)-Calculations!A178))</f>
        <v>#REF!</v>
      </c>
    </row>
    <row r="179" spans="1:5" ht="15.75" customHeight="1">
      <c r="A179" s="9">
        <f t="shared" si="0"/>
        <v>178</v>
      </c>
      <c r="B179" s="8">
        <f t="shared" si="15"/>
        <v>26582.488350826898</v>
      </c>
      <c r="C179" s="9">
        <f>IF(A179&lt;=('Pay off vs Invest'!$B$2-'Pay off vs Invest'!$B$1)*12,Calculations!B179*(1+#REF!/12)^(('Pay off vs Invest'!$B$2-'Pay off vs Invest'!$B$1)*12-A179),0)</f>
        <v>0</v>
      </c>
      <c r="E179" s="9" t="e">
        <f>C179/((1+#REF!/12)^((('Pay off vs Invest'!$B$2-'Pay off vs Invest'!$B$1)*12)-Calculations!A179))</f>
        <v>#REF!</v>
      </c>
    </row>
    <row r="180" spans="1:5" ht="15.75" customHeight="1">
      <c r="A180" s="9">
        <f t="shared" si="0"/>
        <v>179</v>
      </c>
      <c r="B180" s="8">
        <f t="shared" si="15"/>
        <v>26582.488350826898</v>
      </c>
      <c r="C180" s="9">
        <f>IF(A180&lt;=('Pay off vs Invest'!$B$2-'Pay off vs Invest'!$B$1)*12,Calculations!B180*(1+#REF!/12)^(('Pay off vs Invest'!$B$2-'Pay off vs Invest'!$B$1)*12-A180),0)</f>
        <v>0</v>
      </c>
      <c r="E180" s="9" t="e">
        <f>C180/((1+#REF!/12)^((('Pay off vs Invest'!$B$2-'Pay off vs Invest'!$B$1)*12)-Calculations!A180))</f>
        <v>#REF!</v>
      </c>
    </row>
    <row r="181" spans="1:5" ht="15.75" customHeight="1">
      <c r="A181" s="9">
        <f t="shared" si="0"/>
        <v>180</v>
      </c>
      <c r="B181" s="8">
        <f t="shared" si="15"/>
        <v>26582.488350826898</v>
      </c>
      <c r="C181" s="9">
        <f>IF(A181&lt;=('Pay off vs Invest'!$B$2-'Pay off vs Invest'!$B$1)*12,Calculations!B181*(1+#REF!/12)^(('Pay off vs Invest'!$B$2-'Pay off vs Invest'!$B$1)*12-A181),0)</f>
        <v>0</v>
      </c>
      <c r="E181" s="9" t="e">
        <f>C181/((1+#REF!/12)^((('Pay off vs Invest'!$B$2-'Pay off vs Invest'!$B$1)*12)-Calculations!A181))</f>
        <v>#REF!</v>
      </c>
    </row>
    <row r="182" spans="1:5" ht="15.75" customHeight="1">
      <c r="A182" s="9">
        <f t="shared" si="0"/>
        <v>181</v>
      </c>
      <c r="B182" s="8">
        <f>B181*(1+'Pay off vs Invest'!$B$7)</f>
        <v>29240.737185909591</v>
      </c>
      <c r="C182" s="9">
        <f>IF(A182&lt;=('Pay off vs Invest'!$B$2-'Pay off vs Invest'!$B$1)*12,Calculations!B182*(1+#REF!/12)^(('Pay off vs Invest'!$B$2-'Pay off vs Invest'!$B$1)*12-A182),0)</f>
        <v>0</v>
      </c>
      <c r="E182" s="9" t="e">
        <f>C182/((1+#REF!/12)^((('Pay off vs Invest'!$B$2-'Pay off vs Invest'!$B$1)*12)-Calculations!A182))</f>
        <v>#REF!</v>
      </c>
    </row>
    <row r="183" spans="1:5" ht="15.75" customHeight="1">
      <c r="A183" s="9">
        <f t="shared" si="0"/>
        <v>182</v>
      </c>
      <c r="B183" s="8">
        <f t="shared" ref="B183:B193" si="16">B182</f>
        <v>29240.737185909591</v>
      </c>
      <c r="C183" s="9">
        <f>IF(A183&lt;=('Pay off vs Invest'!$B$2-'Pay off vs Invest'!$B$1)*12,Calculations!B183*(1+#REF!/12)^(('Pay off vs Invest'!$B$2-'Pay off vs Invest'!$B$1)*12-A183),0)</f>
        <v>0</v>
      </c>
      <c r="E183" s="9" t="e">
        <f>C183/((1+#REF!/12)^((('Pay off vs Invest'!$B$2-'Pay off vs Invest'!$B$1)*12)-Calculations!A183))</f>
        <v>#REF!</v>
      </c>
    </row>
    <row r="184" spans="1:5" ht="15.75" customHeight="1">
      <c r="A184" s="9">
        <f t="shared" si="0"/>
        <v>183</v>
      </c>
      <c r="B184" s="8">
        <f t="shared" si="16"/>
        <v>29240.737185909591</v>
      </c>
      <c r="C184" s="9">
        <f>IF(A184&lt;=('Pay off vs Invest'!$B$2-'Pay off vs Invest'!$B$1)*12,Calculations!B184*(1+#REF!/12)^(('Pay off vs Invest'!$B$2-'Pay off vs Invest'!$B$1)*12-A184),0)</f>
        <v>0</v>
      </c>
      <c r="E184" s="9" t="e">
        <f>C184/((1+#REF!/12)^((('Pay off vs Invest'!$B$2-'Pay off vs Invest'!$B$1)*12)-Calculations!A184))</f>
        <v>#REF!</v>
      </c>
    </row>
    <row r="185" spans="1:5" ht="15.75" customHeight="1">
      <c r="A185" s="9">
        <f t="shared" si="0"/>
        <v>184</v>
      </c>
      <c r="B185" s="8">
        <f t="shared" si="16"/>
        <v>29240.737185909591</v>
      </c>
      <c r="C185" s="9">
        <f>IF(A185&lt;=('Pay off vs Invest'!$B$2-'Pay off vs Invest'!$B$1)*12,Calculations!B185*(1+#REF!/12)^(('Pay off vs Invest'!$B$2-'Pay off vs Invest'!$B$1)*12-A185),0)</f>
        <v>0</v>
      </c>
      <c r="E185" s="9" t="e">
        <f>C185/((1+#REF!/12)^((('Pay off vs Invest'!$B$2-'Pay off vs Invest'!$B$1)*12)-Calculations!A185))</f>
        <v>#REF!</v>
      </c>
    </row>
    <row r="186" spans="1:5" ht="15.75" customHeight="1">
      <c r="A186" s="9">
        <f t="shared" si="0"/>
        <v>185</v>
      </c>
      <c r="B186" s="8">
        <f t="shared" si="16"/>
        <v>29240.737185909591</v>
      </c>
      <c r="C186" s="9">
        <f>IF(A186&lt;=('Pay off vs Invest'!$B$2-'Pay off vs Invest'!$B$1)*12,Calculations!B186*(1+#REF!/12)^(('Pay off vs Invest'!$B$2-'Pay off vs Invest'!$B$1)*12-A186),0)</f>
        <v>0</v>
      </c>
      <c r="E186" s="9" t="e">
        <f>C186/((1+#REF!/12)^((('Pay off vs Invest'!$B$2-'Pay off vs Invest'!$B$1)*12)-Calculations!A186))</f>
        <v>#REF!</v>
      </c>
    </row>
    <row r="187" spans="1:5" ht="15.75" customHeight="1">
      <c r="A187" s="9">
        <f t="shared" si="0"/>
        <v>186</v>
      </c>
      <c r="B187" s="8">
        <f t="shared" si="16"/>
        <v>29240.737185909591</v>
      </c>
      <c r="C187" s="9">
        <f>IF(A187&lt;=('Pay off vs Invest'!$B$2-'Pay off vs Invest'!$B$1)*12,Calculations!B187*(1+#REF!/12)^(('Pay off vs Invest'!$B$2-'Pay off vs Invest'!$B$1)*12-A187),0)</f>
        <v>0</v>
      </c>
      <c r="E187" s="9" t="e">
        <f>C187/((1+#REF!/12)^((('Pay off vs Invest'!$B$2-'Pay off vs Invest'!$B$1)*12)-Calculations!A187))</f>
        <v>#REF!</v>
      </c>
    </row>
    <row r="188" spans="1:5" ht="15.75" customHeight="1">
      <c r="A188" s="9">
        <f t="shared" si="0"/>
        <v>187</v>
      </c>
      <c r="B188" s="8">
        <f t="shared" si="16"/>
        <v>29240.737185909591</v>
      </c>
      <c r="C188" s="9">
        <f>IF(A188&lt;=('Pay off vs Invest'!$B$2-'Pay off vs Invest'!$B$1)*12,Calculations!B188*(1+#REF!/12)^(('Pay off vs Invest'!$B$2-'Pay off vs Invest'!$B$1)*12-A188),0)</f>
        <v>0</v>
      </c>
      <c r="E188" s="9" t="e">
        <f>C188/((1+#REF!/12)^((('Pay off vs Invest'!$B$2-'Pay off vs Invest'!$B$1)*12)-Calculations!A188))</f>
        <v>#REF!</v>
      </c>
    </row>
    <row r="189" spans="1:5" ht="15.75" customHeight="1">
      <c r="A189" s="9">
        <f t="shared" si="0"/>
        <v>188</v>
      </c>
      <c r="B189" s="8">
        <f t="shared" si="16"/>
        <v>29240.737185909591</v>
      </c>
      <c r="C189" s="9">
        <f>IF(A189&lt;=('Pay off vs Invest'!$B$2-'Pay off vs Invest'!$B$1)*12,Calculations!B189*(1+#REF!/12)^(('Pay off vs Invest'!$B$2-'Pay off vs Invest'!$B$1)*12-A189),0)</f>
        <v>0</v>
      </c>
      <c r="E189" s="9" t="e">
        <f>C189/((1+#REF!/12)^((('Pay off vs Invest'!$B$2-'Pay off vs Invest'!$B$1)*12)-Calculations!A189))</f>
        <v>#REF!</v>
      </c>
    </row>
    <row r="190" spans="1:5" ht="15.75" customHeight="1">
      <c r="A190" s="9">
        <f t="shared" si="0"/>
        <v>189</v>
      </c>
      <c r="B190" s="8">
        <f t="shared" si="16"/>
        <v>29240.737185909591</v>
      </c>
      <c r="C190" s="9">
        <f>IF(A190&lt;=('Pay off vs Invest'!$B$2-'Pay off vs Invest'!$B$1)*12,Calculations!B190*(1+#REF!/12)^(('Pay off vs Invest'!$B$2-'Pay off vs Invest'!$B$1)*12-A190),0)</f>
        <v>0</v>
      </c>
      <c r="E190" s="9" t="e">
        <f>C190/((1+#REF!/12)^((('Pay off vs Invest'!$B$2-'Pay off vs Invest'!$B$1)*12)-Calculations!A190))</f>
        <v>#REF!</v>
      </c>
    </row>
    <row r="191" spans="1:5" ht="15.75" customHeight="1">
      <c r="A191" s="9">
        <f t="shared" si="0"/>
        <v>190</v>
      </c>
      <c r="B191" s="8">
        <f t="shared" si="16"/>
        <v>29240.737185909591</v>
      </c>
      <c r="C191" s="9">
        <f>IF(A191&lt;=('Pay off vs Invest'!$B$2-'Pay off vs Invest'!$B$1)*12,Calculations!B191*(1+#REF!/12)^(('Pay off vs Invest'!$B$2-'Pay off vs Invest'!$B$1)*12-A191),0)</f>
        <v>0</v>
      </c>
      <c r="E191" s="9" t="e">
        <f>C191/((1+#REF!/12)^((('Pay off vs Invest'!$B$2-'Pay off vs Invest'!$B$1)*12)-Calculations!A191))</f>
        <v>#REF!</v>
      </c>
    </row>
    <row r="192" spans="1:5" ht="15.75" customHeight="1">
      <c r="A192" s="9">
        <f t="shared" si="0"/>
        <v>191</v>
      </c>
      <c r="B192" s="8">
        <f t="shared" si="16"/>
        <v>29240.737185909591</v>
      </c>
      <c r="C192" s="9">
        <f>IF(A192&lt;=('Pay off vs Invest'!$B$2-'Pay off vs Invest'!$B$1)*12,Calculations!B192*(1+#REF!/12)^(('Pay off vs Invest'!$B$2-'Pay off vs Invest'!$B$1)*12-A192),0)</f>
        <v>0</v>
      </c>
      <c r="E192" s="9" t="e">
        <f>C192/((1+#REF!/12)^((('Pay off vs Invest'!$B$2-'Pay off vs Invest'!$B$1)*12)-Calculations!A192))</f>
        <v>#REF!</v>
      </c>
    </row>
    <row r="193" spans="1:5" ht="15.75" customHeight="1">
      <c r="A193" s="9">
        <f t="shared" si="0"/>
        <v>192</v>
      </c>
      <c r="B193" s="8">
        <f t="shared" si="16"/>
        <v>29240.737185909591</v>
      </c>
      <c r="C193" s="9">
        <f>IF(A193&lt;=('Pay off vs Invest'!$B$2-'Pay off vs Invest'!$B$1)*12,Calculations!B193*(1+#REF!/12)^(('Pay off vs Invest'!$B$2-'Pay off vs Invest'!$B$1)*12-A193),0)</f>
        <v>0</v>
      </c>
      <c r="E193" s="9" t="e">
        <f>C193/((1+#REF!/12)^((('Pay off vs Invest'!$B$2-'Pay off vs Invest'!$B$1)*12)-Calculations!A193))</f>
        <v>#REF!</v>
      </c>
    </row>
    <row r="194" spans="1:5" ht="15.75" customHeight="1">
      <c r="A194" s="9">
        <f t="shared" si="0"/>
        <v>193</v>
      </c>
      <c r="B194" s="8">
        <f>B193*(1+'Pay off vs Invest'!$B$7)</f>
        <v>32164.810904500551</v>
      </c>
      <c r="C194" s="9">
        <f>IF(A194&lt;=('Pay off vs Invest'!$B$2-'Pay off vs Invest'!$B$1)*12,Calculations!B194*(1+#REF!/12)^(('Pay off vs Invest'!$B$2-'Pay off vs Invest'!$B$1)*12-A194),0)</f>
        <v>0</v>
      </c>
      <c r="E194" s="9" t="e">
        <f>C194/((1+#REF!/12)^((('Pay off vs Invest'!$B$2-'Pay off vs Invest'!$B$1)*12)-Calculations!A194))</f>
        <v>#REF!</v>
      </c>
    </row>
    <row r="195" spans="1:5" ht="15.75" customHeight="1">
      <c r="A195" s="9">
        <f t="shared" si="0"/>
        <v>194</v>
      </c>
      <c r="B195" s="8">
        <f t="shared" ref="B195:B205" si="17">B194</f>
        <v>32164.810904500551</v>
      </c>
      <c r="C195" s="9">
        <f>IF(A195&lt;=('Pay off vs Invest'!$B$2-'Pay off vs Invest'!$B$1)*12,Calculations!B195*(1+#REF!/12)^(('Pay off vs Invest'!$B$2-'Pay off vs Invest'!$B$1)*12-A195),0)</f>
        <v>0</v>
      </c>
      <c r="E195" s="9" t="e">
        <f>C195/((1+#REF!/12)^((('Pay off vs Invest'!$B$2-'Pay off vs Invest'!$B$1)*12)-Calculations!A195))</f>
        <v>#REF!</v>
      </c>
    </row>
    <row r="196" spans="1:5" ht="15.75" customHeight="1">
      <c r="A196" s="9">
        <f t="shared" si="0"/>
        <v>195</v>
      </c>
      <c r="B196" s="8">
        <f t="shared" si="17"/>
        <v>32164.810904500551</v>
      </c>
      <c r="C196" s="9">
        <f>IF(A196&lt;=('Pay off vs Invest'!$B$2-'Pay off vs Invest'!$B$1)*12,Calculations!B196*(1+#REF!/12)^(('Pay off vs Invest'!$B$2-'Pay off vs Invest'!$B$1)*12-A196),0)</f>
        <v>0</v>
      </c>
      <c r="E196" s="9" t="e">
        <f>C196/((1+#REF!/12)^((('Pay off vs Invest'!$B$2-'Pay off vs Invest'!$B$1)*12)-Calculations!A196))</f>
        <v>#REF!</v>
      </c>
    </row>
    <row r="197" spans="1:5" ht="15.75" customHeight="1">
      <c r="A197" s="9">
        <f t="shared" si="0"/>
        <v>196</v>
      </c>
      <c r="B197" s="8">
        <f t="shared" si="17"/>
        <v>32164.810904500551</v>
      </c>
      <c r="C197" s="9">
        <f>IF(A197&lt;=('Pay off vs Invest'!$B$2-'Pay off vs Invest'!$B$1)*12,Calculations!B197*(1+#REF!/12)^(('Pay off vs Invest'!$B$2-'Pay off vs Invest'!$B$1)*12-A197),0)</f>
        <v>0</v>
      </c>
      <c r="E197" s="9" t="e">
        <f>C197/((1+#REF!/12)^((('Pay off vs Invest'!$B$2-'Pay off vs Invest'!$B$1)*12)-Calculations!A197))</f>
        <v>#REF!</v>
      </c>
    </row>
    <row r="198" spans="1:5" ht="15.75" customHeight="1">
      <c r="A198" s="9">
        <f t="shared" si="0"/>
        <v>197</v>
      </c>
      <c r="B198" s="8">
        <f t="shared" si="17"/>
        <v>32164.810904500551</v>
      </c>
      <c r="C198" s="9">
        <f>IF(A198&lt;=('Pay off vs Invest'!$B$2-'Pay off vs Invest'!$B$1)*12,Calculations!B198*(1+#REF!/12)^(('Pay off vs Invest'!$B$2-'Pay off vs Invest'!$B$1)*12-A198),0)</f>
        <v>0</v>
      </c>
      <c r="E198" s="9" t="e">
        <f>C198/((1+#REF!/12)^((('Pay off vs Invest'!$B$2-'Pay off vs Invest'!$B$1)*12)-Calculations!A198))</f>
        <v>#REF!</v>
      </c>
    </row>
    <row r="199" spans="1:5" ht="15.75" customHeight="1">
      <c r="A199" s="9">
        <f t="shared" si="0"/>
        <v>198</v>
      </c>
      <c r="B199" s="8">
        <f t="shared" si="17"/>
        <v>32164.810904500551</v>
      </c>
      <c r="C199" s="9">
        <f>IF(A199&lt;=('Pay off vs Invest'!$B$2-'Pay off vs Invest'!$B$1)*12,Calculations!B199*(1+#REF!/12)^(('Pay off vs Invest'!$B$2-'Pay off vs Invest'!$B$1)*12-A199),0)</f>
        <v>0</v>
      </c>
      <c r="E199" s="9" t="e">
        <f>C199/((1+#REF!/12)^((('Pay off vs Invest'!$B$2-'Pay off vs Invest'!$B$1)*12)-Calculations!A199))</f>
        <v>#REF!</v>
      </c>
    </row>
    <row r="200" spans="1:5" ht="15.75" customHeight="1">
      <c r="A200" s="9">
        <f t="shared" si="0"/>
        <v>199</v>
      </c>
      <c r="B200" s="8">
        <f t="shared" si="17"/>
        <v>32164.810904500551</v>
      </c>
      <c r="C200" s="9">
        <f>IF(A200&lt;=('Pay off vs Invest'!$B$2-'Pay off vs Invest'!$B$1)*12,Calculations!B200*(1+#REF!/12)^(('Pay off vs Invest'!$B$2-'Pay off vs Invest'!$B$1)*12-A200),0)</f>
        <v>0</v>
      </c>
      <c r="E200" s="9" t="e">
        <f>C200/((1+#REF!/12)^((('Pay off vs Invest'!$B$2-'Pay off vs Invest'!$B$1)*12)-Calculations!A200))</f>
        <v>#REF!</v>
      </c>
    </row>
    <row r="201" spans="1:5" ht="15.75" customHeight="1">
      <c r="A201" s="9">
        <f t="shared" si="0"/>
        <v>200</v>
      </c>
      <c r="B201" s="8">
        <f t="shared" si="17"/>
        <v>32164.810904500551</v>
      </c>
      <c r="C201" s="9">
        <f>IF(A201&lt;=('Pay off vs Invest'!$B$2-'Pay off vs Invest'!$B$1)*12,Calculations!B201*(1+#REF!/12)^(('Pay off vs Invest'!$B$2-'Pay off vs Invest'!$B$1)*12-A201),0)</f>
        <v>0</v>
      </c>
      <c r="E201" s="9" t="e">
        <f>C201/((1+#REF!/12)^((('Pay off vs Invest'!$B$2-'Pay off vs Invest'!$B$1)*12)-Calculations!A201))</f>
        <v>#REF!</v>
      </c>
    </row>
    <row r="202" spans="1:5" ht="15.75" customHeight="1">
      <c r="A202" s="9">
        <f t="shared" si="0"/>
        <v>201</v>
      </c>
      <c r="B202" s="8">
        <f t="shared" si="17"/>
        <v>32164.810904500551</v>
      </c>
      <c r="C202" s="9">
        <f>IF(A202&lt;=('Pay off vs Invest'!$B$2-'Pay off vs Invest'!$B$1)*12,Calculations!B202*(1+#REF!/12)^(('Pay off vs Invest'!$B$2-'Pay off vs Invest'!$B$1)*12-A202),0)</f>
        <v>0</v>
      </c>
      <c r="E202" s="9" t="e">
        <f>C202/((1+#REF!/12)^((('Pay off vs Invest'!$B$2-'Pay off vs Invest'!$B$1)*12)-Calculations!A202))</f>
        <v>#REF!</v>
      </c>
    </row>
    <row r="203" spans="1:5" ht="15.75" customHeight="1">
      <c r="A203" s="9">
        <f t="shared" si="0"/>
        <v>202</v>
      </c>
      <c r="B203" s="8">
        <f t="shared" si="17"/>
        <v>32164.810904500551</v>
      </c>
      <c r="C203" s="9">
        <f>IF(A203&lt;=('Pay off vs Invest'!$B$2-'Pay off vs Invest'!$B$1)*12,Calculations!B203*(1+#REF!/12)^(('Pay off vs Invest'!$B$2-'Pay off vs Invest'!$B$1)*12-A203),0)</f>
        <v>0</v>
      </c>
      <c r="E203" s="9" t="e">
        <f>C203/((1+#REF!/12)^((('Pay off vs Invest'!$B$2-'Pay off vs Invest'!$B$1)*12)-Calculations!A203))</f>
        <v>#REF!</v>
      </c>
    </row>
    <row r="204" spans="1:5" ht="15.75" customHeight="1">
      <c r="A204" s="9">
        <f t="shared" si="0"/>
        <v>203</v>
      </c>
      <c r="B204" s="8">
        <f t="shared" si="17"/>
        <v>32164.810904500551</v>
      </c>
      <c r="C204" s="9">
        <f>IF(A204&lt;=('Pay off vs Invest'!$B$2-'Pay off vs Invest'!$B$1)*12,Calculations!B204*(1+#REF!/12)^(('Pay off vs Invest'!$B$2-'Pay off vs Invest'!$B$1)*12-A204),0)</f>
        <v>0</v>
      </c>
      <c r="E204" s="9" t="e">
        <f>C204/((1+#REF!/12)^((('Pay off vs Invest'!$B$2-'Pay off vs Invest'!$B$1)*12)-Calculations!A204))</f>
        <v>#REF!</v>
      </c>
    </row>
    <row r="205" spans="1:5" ht="15.75" customHeight="1">
      <c r="A205" s="9">
        <f t="shared" si="0"/>
        <v>204</v>
      </c>
      <c r="B205" s="8">
        <f t="shared" si="17"/>
        <v>32164.810904500551</v>
      </c>
      <c r="C205" s="9">
        <f>IF(A205&lt;=('Pay off vs Invest'!$B$2-'Pay off vs Invest'!$B$1)*12,Calculations!B205*(1+#REF!/12)^(('Pay off vs Invest'!$B$2-'Pay off vs Invest'!$B$1)*12-A205),0)</f>
        <v>0</v>
      </c>
      <c r="E205" s="9" t="e">
        <f>C205/((1+#REF!/12)^((('Pay off vs Invest'!$B$2-'Pay off vs Invest'!$B$1)*12)-Calculations!A205))</f>
        <v>#REF!</v>
      </c>
    </row>
    <row r="206" spans="1:5" ht="15.75" customHeight="1">
      <c r="A206" s="9">
        <f t="shared" si="0"/>
        <v>205</v>
      </c>
      <c r="B206" s="8">
        <f>B205*(1+'Pay off vs Invest'!$B$7)</f>
        <v>35381.29199495061</v>
      </c>
      <c r="C206" s="9">
        <f>IF(A206&lt;=('Pay off vs Invest'!$B$2-'Pay off vs Invest'!$B$1)*12,Calculations!B206*(1+#REF!/12)^(('Pay off vs Invest'!$B$2-'Pay off vs Invest'!$B$1)*12-A206),0)</f>
        <v>0</v>
      </c>
      <c r="E206" s="9" t="e">
        <f>C206/((1+#REF!/12)^((('Pay off vs Invest'!$B$2-'Pay off vs Invest'!$B$1)*12)-Calculations!A206))</f>
        <v>#REF!</v>
      </c>
    </row>
    <row r="207" spans="1:5" ht="15.75" customHeight="1">
      <c r="A207" s="9">
        <f t="shared" si="0"/>
        <v>206</v>
      </c>
      <c r="B207" s="8">
        <f t="shared" ref="B207:B217" si="18">B206</f>
        <v>35381.29199495061</v>
      </c>
      <c r="C207" s="9">
        <f>IF(A207&lt;=('Pay off vs Invest'!$B$2-'Pay off vs Invest'!$B$1)*12,Calculations!B207*(1+#REF!/12)^(('Pay off vs Invest'!$B$2-'Pay off vs Invest'!$B$1)*12-A207),0)</f>
        <v>0</v>
      </c>
      <c r="E207" s="9" t="e">
        <f>C207/((1+#REF!/12)^((('Pay off vs Invest'!$B$2-'Pay off vs Invest'!$B$1)*12)-Calculations!A207))</f>
        <v>#REF!</v>
      </c>
    </row>
    <row r="208" spans="1:5" ht="15.75" customHeight="1">
      <c r="A208" s="9">
        <f t="shared" si="0"/>
        <v>207</v>
      </c>
      <c r="B208" s="8">
        <f t="shared" si="18"/>
        <v>35381.29199495061</v>
      </c>
      <c r="C208" s="9">
        <f>IF(A208&lt;=('Pay off vs Invest'!$B$2-'Pay off vs Invest'!$B$1)*12,Calculations!B208*(1+#REF!/12)^(('Pay off vs Invest'!$B$2-'Pay off vs Invest'!$B$1)*12-A208),0)</f>
        <v>0</v>
      </c>
      <c r="E208" s="9" t="e">
        <f>C208/((1+#REF!/12)^((('Pay off vs Invest'!$B$2-'Pay off vs Invest'!$B$1)*12)-Calculations!A208))</f>
        <v>#REF!</v>
      </c>
    </row>
    <row r="209" spans="1:5" ht="15.75" customHeight="1">
      <c r="A209" s="9">
        <f t="shared" si="0"/>
        <v>208</v>
      </c>
      <c r="B209" s="8">
        <f t="shared" si="18"/>
        <v>35381.29199495061</v>
      </c>
      <c r="C209" s="9">
        <f>IF(A209&lt;=('Pay off vs Invest'!$B$2-'Pay off vs Invest'!$B$1)*12,Calculations!B209*(1+#REF!/12)^(('Pay off vs Invest'!$B$2-'Pay off vs Invest'!$B$1)*12-A209),0)</f>
        <v>0</v>
      </c>
      <c r="E209" s="9" t="e">
        <f>C209/((1+#REF!/12)^((('Pay off vs Invest'!$B$2-'Pay off vs Invest'!$B$1)*12)-Calculations!A209))</f>
        <v>#REF!</v>
      </c>
    </row>
    <row r="210" spans="1:5" ht="15.75" customHeight="1">
      <c r="A210" s="9">
        <f t="shared" si="0"/>
        <v>209</v>
      </c>
      <c r="B210" s="8">
        <f t="shared" si="18"/>
        <v>35381.29199495061</v>
      </c>
      <c r="C210" s="9">
        <f>IF(A210&lt;=('Pay off vs Invest'!$B$2-'Pay off vs Invest'!$B$1)*12,Calculations!B210*(1+#REF!/12)^(('Pay off vs Invest'!$B$2-'Pay off vs Invest'!$B$1)*12-A210),0)</f>
        <v>0</v>
      </c>
      <c r="E210" s="9" t="e">
        <f>C210/((1+#REF!/12)^((('Pay off vs Invest'!$B$2-'Pay off vs Invest'!$B$1)*12)-Calculations!A210))</f>
        <v>#REF!</v>
      </c>
    </row>
    <row r="211" spans="1:5" ht="15.75" customHeight="1">
      <c r="A211" s="9">
        <f t="shared" si="0"/>
        <v>210</v>
      </c>
      <c r="B211" s="8">
        <f t="shared" si="18"/>
        <v>35381.29199495061</v>
      </c>
      <c r="C211" s="9">
        <f>IF(A211&lt;=('Pay off vs Invest'!$B$2-'Pay off vs Invest'!$B$1)*12,Calculations!B211*(1+#REF!/12)^(('Pay off vs Invest'!$B$2-'Pay off vs Invest'!$B$1)*12-A211),0)</f>
        <v>0</v>
      </c>
      <c r="E211" s="9" t="e">
        <f>C211/((1+#REF!/12)^((('Pay off vs Invest'!$B$2-'Pay off vs Invest'!$B$1)*12)-Calculations!A211))</f>
        <v>#REF!</v>
      </c>
    </row>
    <row r="212" spans="1:5" ht="15.75" customHeight="1">
      <c r="A212" s="9">
        <f t="shared" si="0"/>
        <v>211</v>
      </c>
      <c r="B212" s="8">
        <f t="shared" si="18"/>
        <v>35381.29199495061</v>
      </c>
      <c r="C212" s="9">
        <f>IF(A212&lt;=('Pay off vs Invest'!$B$2-'Pay off vs Invest'!$B$1)*12,Calculations!B212*(1+#REF!/12)^(('Pay off vs Invest'!$B$2-'Pay off vs Invest'!$B$1)*12-A212),0)</f>
        <v>0</v>
      </c>
      <c r="E212" s="9" t="e">
        <f>C212/((1+#REF!/12)^((('Pay off vs Invest'!$B$2-'Pay off vs Invest'!$B$1)*12)-Calculations!A212))</f>
        <v>#REF!</v>
      </c>
    </row>
    <row r="213" spans="1:5" ht="15.75" customHeight="1">
      <c r="A213" s="9">
        <f t="shared" si="0"/>
        <v>212</v>
      </c>
      <c r="B213" s="8">
        <f t="shared" si="18"/>
        <v>35381.29199495061</v>
      </c>
      <c r="C213" s="9">
        <f>IF(A213&lt;=('Pay off vs Invest'!$B$2-'Pay off vs Invest'!$B$1)*12,Calculations!B213*(1+#REF!/12)^(('Pay off vs Invest'!$B$2-'Pay off vs Invest'!$B$1)*12-A213),0)</f>
        <v>0</v>
      </c>
      <c r="E213" s="9" t="e">
        <f>C213/((1+#REF!/12)^((('Pay off vs Invest'!$B$2-'Pay off vs Invest'!$B$1)*12)-Calculations!A213))</f>
        <v>#REF!</v>
      </c>
    </row>
    <row r="214" spans="1:5" ht="15.75" customHeight="1">
      <c r="A214" s="9">
        <f t="shared" si="0"/>
        <v>213</v>
      </c>
      <c r="B214" s="8">
        <f t="shared" si="18"/>
        <v>35381.29199495061</v>
      </c>
      <c r="C214" s="9">
        <f>IF(A214&lt;=('Pay off vs Invest'!$B$2-'Pay off vs Invest'!$B$1)*12,Calculations!B214*(1+#REF!/12)^(('Pay off vs Invest'!$B$2-'Pay off vs Invest'!$B$1)*12-A214),0)</f>
        <v>0</v>
      </c>
      <c r="E214" s="9" t="e">
        <f>C214/((1+#REF!/12)^((('Pay off vs Invest'!$B$2-'Pay off vs Invest'!$B$1)*12)-Calculations!A214))</f>
        <v>#REF!</v>
      </c>
    </row>
    <row r="215" spans="1:5" ht="15.75" customHeight="1">
      <c r="A215" s="9">
        <f t="shared" si="0"/>
        <v>214</v>
      </c>
      <c r="B215" s="8">
        <f t="shared" si="18"/>
        <v>35381.29199495061</v>
      </c>
      <c r="C215" s="9">
        <f>IF(A215&lt;=('Pay off vs Invest'!$B$2-'Pay off vs Invest'!$B$1)*12,Calculations!B215*(1+#REF!/12)^(('Pay off vs Invest'!$B$2-'Pay off vs Invest'!$B$1)*12-A215),0)</f>
        <v>0</v>
      </c>
      <c r="E215" s="9" t="e">
        <f>C215/((1+#REF!/12)^((('Pay off vs Invest'!$B$2-'Pay off vs Invest'!$B$1)*12)-Calculations!A215))</f>
        <v>#REF!</v>
      </c>
    </row>
    <row r="216" spans="1:5" ht="15.75" customHeight="1">
      <c r="A216" s="9">
        <f t="shared" si="0"/>
        <v>215</v>
      </c>
      <c r="B216" s="8">
        <f t="shared" si="18"/>
        <v>35381.29199495061</v>
      </c>
      <c r="C216" s="9">
        <f>IF(A216&lt;=('Pay off vs Invest'!$B$2-'Pay off vs Invest'!$B$1)*12,Calculations!B216*(1+#REF!/12)^(('Pay off vs Invest'!$B$2-'Pay off vs Invest'!$B$1)*12-A216),0)</f>
        <v>0</v>
      </c>
      <c r="E216" s="9" t="e">
        <f>C216/((1+#REF!/12)^((('Pay off vs Invest'!$B$2-'Pay off vs Invest'!$B$1)*12)-Calculations!A216))</f>
        <v>#REF!</v>
      </c>
    </row>
    <row r="217" spans="1:5" ht="15.75" customHeight="1">
      <c r="A217" s="9">
        <f t="shared" si="0"/>
        <v>216</v>
      </c>
      <c r="B217" s="8">
        <f t="shared" si="18"/>
        <v>35381.29199495061</v>
      </c>
      <c r="C217" s="9">
        <f>IF(A217&lt;=('Pay off vs Invest'!$B$2-'Pay off vs Invest'!$B$1)*12,Calculations!B217*(1+#REF!/12)^(('Pay off vs Invest'!$B$2-'Pay off vs Invest'!$B$1)*12-A217),0)</f>
        <v>0</v>
      </c>
      <c r="E217" s="9" t="e">
        <f>C217/((1+#REF!/12)^((('Pay off vs Invest'!$B$2-'Pay off vs Invest'!$B$1)*12)-Calculations!A217))</f>
        <v>#REF!</v>
      </c>
    </row>
    <row r="218" spans="1:5" ht="15.75" customHeight="1">
      <c r="A218" s="9">
        <f t="shared" si="0"/>
        <v>217</v>
      </c>
      <c r="B218" s="8">
        <f>B217*(1+'Pay off vs Invest'!$B$7)</f>
        <v>38919.421194445677</v>
      </c>
      <c r="C218" s="9">
        <f>IF(A218&lt;=('Pay off vs Invest'!$B$2-'Pay off vs Invest'!$B$1)*12,Calculations!B218*(1+#REF!/12)^(('Pay off vs Invest'!$B$2-'Pay off vs Invest'!$B$1)*12-A218),0)</f>
        <v>0</v>
      </c>
      <c r="E218" s="9" t="e">
        <f>C218/((1+#REF!/12)^((('Pay off vs Invest'!$B$2-'Pay off vs Invest'!$B$1)*12)-Calculations!A218))</f>
        <v>#REF!</v>
      </c>
    </row>
    <row r="219" spans="1:5" ht="15.75" customHeight="1">
      <c r="A219" s="9">
        <f t="shared" si="0"/>
        <v>218</v>
      </c>
      <c r="B219" s="8">
        <f t="shared" ref="B219:B229" si="19">B218</f>
        <v>38919.421194445677</v>
      </c>
      <c r="C219" s="9">
        <f>IF(A219&lt;=('Pay off vs Invest'!$B$2-'Pay off vs Invest'!$B$1)*12,Calculations!B219*(1+#REF!/12)^(('Pay off vs Invest'!$B$2-'Pay off vs Invest'!$B$1)*12-A219),0)</f>
        <v>0</v>
      </c>
      <c r="E219" s="9" t="e">
        <f>C219/((1+#REF!/12)^((('Pay off vs Invest'!$B$2-'Pay off vs Invest'!$B$1)*12)-Calculations!A219))</f>
        <v>#REF!</v>
      </c>
    </row>
    <row r="220" spans="1:5" ht="15.75" customHeight="1">
      <c r="A220" s="9">
        <f t="shared" si="0"/>
        <v>219</v>
      </c>
      <c r="B220" s="8">
        <f t="shared" si="19"/>
        <v>38919.421194445677</v>
      </c>
      <c r="C220" s="9">
        <f>IF(A220&lt;=('Pay off vs Invest'!$B$2-'Pay off vs Invest'!$B$1)*12,Calculations!B220*(1+#REF!/12)^(('Pay off vs Invest'!$B$2-'Pay off vs Invest'!$B$1)*12-A220),0)</f>
        <v>0</v>
      </c>
      <c r="E220" s="9" t="e">
        <f>C220/((1+#REF!/12)^((('Pay off vs Invest'!$B$2-'Pay off vs Invest'!$B$1)*12)-Calculations!A220))</f>
        <v>#REF!</v>
      </c>
    </row>
    <row r="221" spans="1:5" ht="15.75" customHeight="1">
      <c r="A221" s="9">
        <f t="shared" si="0"/>
        <v>220</v>
      </c>
      <c r="B221" s="8">
        <f t="shared" si="19"/>
        <v>38919.421194445677</v>
      </c>
      <c r="C221" s="9">
        <f>IF(A221&lt;=('Pay off vs Invest'!$B$2-'Pay off vs Invest'!$B$1)*12,Calculations!B221*(1+#REF!/12)^(('Pay off vs Invest'!$B$2-'Pay off vs Invest'!$B$1)*12-A221),0)</f>
        <v>0</v>
      </c>
      <c r="E221" s="9" t="e">
        <f>C221/((1+#REF!/12)^((('Pay off vs Invest'!$B$2-'Pay off vs Invest'!$B$1)*12)-Calculations!A221))</f>
        <v>#REF!</v>
      </c>
    </row>
    <row r="222" spans="1:5" ht="15.75" customHeight="1">
      <c r="A222" s="9">
        <f t="shared" si="0"/>
        <v>221</v>
      </c>
      <c r="B222" s="8">
        <f t="shared" si="19"/>
        <v>38919.421194445677</v>
      </c>
      <c r="C222" s="9">
        <f>IF(A222&lt;=('Pay off vs Invest'!$B$2-'Pay off vs Invest'!$B$1)*12,Calculations!B222*(1+#REF!/12)^(('Pay off vs Invest'!$B$2-'Pay off vs Invest'!$B$1)*12-A222),0)</f>
        <v>0</v>
      </c>
      <c r="E222" s="9" t="e">
        <f>C222/((1+#REF!/12)^((('Pay off vs Invest'!$B$2-'Pay off vs Invest'!$B$1)*12)-Calculations!A222))</f>
        <v>#REF!</v>
      </c>
    </row>
    <row r="223" spans="1:5" ht="15.75" customHeight="1">
      <c r="A223" s="9">
        <f t="shared" si="0"/>
        <v>222</v>
      </c>
      <c r="B223" s="8">
        <f t="shared" si="19"/>
        <v>38919.421194445677</v>
      </c>
      <c r="C223" s="9">
        <f>IF(A223&lt;=('Pay off vs Invest'!$B$2-'Pay off vs Invest'!$B$1)*12,Calculations!B223*(1+#REF!/12)^(('Pay off vs Invest'!$B$2-'Pay off vs Invest'!$B$1)*12-A223),0)</f>
        <v>0</v>
      </c>
      <c r="E223" s="9" t="e">
        <f>C223/((1+#REF!/12)^((('Pay off vs Invest'!$B$2-'Pay off vs Invest'!$B$1)*12)-Calculations!A223))</f>
        <v>#REF!</v>
      </c>
    </row>
    <row r="224" spans="1:5" ht="15.75" customHeight="1">
      <c r="A224" s="9">
        <f t="shared" si="0"/>
        <v>223</v>
      </c>
      <c r="B224" s="8">
        <f t="shared" si="19"/>
        <v>38919.421194445677</v>
      </c>
      <c r="C224" s="9">
        <f>IF(A224&lt;=('Pay off vs Invest'!$B$2-'Pay off vs Invest'!$B$1)*12,Calculations!B224*(1+#REF!/12)^(('Pay off vs Invest'!$B$2-'Pay off vs Invest'!$B$1)*12-A224),0)</f>
        <v>0</v>
      </c>
      <c r="E224" s="9" t="e">
        <f>C224/((1+#REF!/12)^((('Pay off vs Invest'!$B$2-'Pay off vs Invest'!$B$1)*12)-Calculations!A224))</f>
        <v>#REF!</v>
      </c>
    </row>
    <row r="225" spans="1:5" ht="15.75" customHeight="1">
      <c r="A225" s="9">
        <f t="shared" si="0"/>
        <v>224</v>
      </c>
      <c r="B225" s="8">
        <f t="shared" si="19"/>
        <v>38919.421194445677</v>
      </c>
      <c r="C225" s="9">
        <f>IF(A225&lt;=('Pay off vs Invest'!$B$2-'Pay off vs Invest'!$B$1)*12,Calculations!B225*(1+#REF!/12)^(('Pay off vs Invest'!$B$2-'Pay off vs Invest'!$B$1)*12-A225),0)</f>
        <v>0</v>
      </c>
      <c r="E225" s="9" t="e">
        <f>C225/((1+#REF!/12)^((('Pay off vs Invest'!$B$2-'Pay off vs Invest'!$B$1)*12)-Calculations!A225))</f>
        <v>#REF!</v>
      </c>
    </row>
    <row r="226" spans="1:5" ht="15.75" customHeight="1">
      <c r="A226" s="9">
        <f t="shared" si="0"/>
        <v>225</v>
      </c>
      <c r="B226" s="8">
        <f t="shared" si="19"/>
        <v>38919.421194445677</v>
      </c>
      <c r="C226" s="9">
        <f>IF(A226&lt;=('Pay off vs Invest'!$B$2-'Pay off vs Invest'!$B$1)*12,Calculations!B226*(1+#REF!/12)^(('Pay off vs Invest'!$B$2-'Pay off vs Invest'!$B$1)*12-A226),0)</f>
        <v>0</v>
      </c>
      <c r="E226" s="9" t="e">
        <f>C226/((1+#REF!/12)^((('Pay off vs Invest'!$B$2-'Pay off vs Invest'!$B$1)*12)-Calculations!A226))</f>
        <v>#REF!</v>
      </c>
    </row>
    <row r="227" spans="1:5" ht="15.75" customHeight="1">
      <c r="A227" s="9">
        <f t="shared" si="0"/>
        <v>226</v>
      </c>
      <c r="B227" s="8">
        <f t="shared" si="19"/>
        <v>38919.421194445677</v>
      </c>
      <c r="C227" s="9">
        <f>IF(A227&lt;=('Pay off vs Invest'!$B$2-'Pay off vs Invest'!$B$1)*12,Calculations!B227*(1+#REF!/12)^(('Pay off vs Invest'!$B$2-'Pay off vs Invest'!$B$1)*12-A227),0)</f>
        <v>0</v>
      </c>
      <c r="E227" s="9" t="e">
        <f>C227/((1+#REF!/12)^((('Pay off vs Invest'!$B$2-'Pay off vs Invest'!$B$1)*12)-Calculations!A227))</f>
        <v>#REF!</v>
      </c>
    </row>
    <row r="228" spans="1:5" ht="15.75" customHeight="1">
      <c r="A228" s="9">
        <f t="shared" si="0"/>
        <v>227</v>
      </c>
      <c r="B228" s="8">
        <f t="shared" si="19"/>
        <v>38919.421194445677</v>
      </c>
      <c r="C228" s="9">
        <f>IF(A228&lt;=('Pay off vs Invest'!$B$2-'Pay off vs Invest'!$B$1)*12,Calculations!B228*(1+#REF!/12)^(('Pay off vs Invest'!$B$2-'Pay off vs Invest'!$B$1)*12-A228),0)</f>
        <v>0</v>
      </c>
      <c r="E228" s="9" t="e">
        <f>C228/((1+#REF!/12)^((('Pay off vs Invest'!$B$2-'Pay off vs Invest'!$B$1)*12)-Calculations!A228))</f>
        <v>#REF!</v>
      </c>
    </row>
    <row r="229" spans="1:5" ht="15.75" customHeight="1">
      <c r="A229" s="9">
        <f t="shared" si="0"/>
        <v>228</v>
      </c>
      <c r="B229" s="8">
        <f t="shared" si="19"/>
        <v>38919.421194445677</v>
      </c>
      <c r="C229" s="9">
        <f>IF(A229&lt;=('Pay off vs Invest'!$B$2-'Pay off vs Invest'!$B$1)*12,Calculations!B229*(1+#REF!/12)^(('Pay off vs Invest'!$B$2-'Pay off vs Invest'!$B$1)*12-A229),0)</f>
        <v>0</v>
      </c>
      <c r="E229" s="9" t="e">
        <f>C229/((1+#REF!/12)^((('Pay off vs Invest'!$B$2-'Pay off vs Invest'!$B$1)*12)-Calculations!A229))</f>
        <v>#REF!</v>
      </c>
    </row>
    <row r="230" spans="1:5" ht="15.75" customHeight="1">
      <c r="A230" s="9">
        <f t="shared" si="0"/>
        <v>229</v>
      </c>
      <c r="B230" s="8">
        <f>B229*(1+'Pay off vs Invest'!$B$7)</f>
        <v>42811.363313890244</v>
      </c>
      <c r="C230" s="9">
        <f>IF(A230&lt;=('Pay off vs Invest'!$B$2-'Pay off vs Invest'!$B$1)*12,Calculations!B230*(1+#REF!/12)^(('Pay off vs Invest'!$B$2-'Pay off vs Invest'!$B$1)*12-A230),0)</f>
        <v>0</v>
      </c>
      <c r="E230" s="9" t="e">
        <f>C230/((1+#REF!/12)^((('Pay off vs Invest'!$B$2-'Pay off vs Invest'!$B$1)*12)-Calculations!A230))</f>
        <v>#REF!</v>
      </c>
    </row>
    <row r="231" spans="1:5" ht="15.75" customHeight="1">
      <c r="A231" s="9">
        <f t="shared" si="0"/>
        <v>230</v>
      </c>
      <c r="B231" s="8">
        <f t="shared" ref="B231:B241" si="20">B230</f>
        <v>42811.363313890244</v>
      </c>
      <c r="C231" s="9">
        <f>IF(A231&lt;=('Pay off vs Invest'!$B$2-'Pay off vs Invest'!$B$1)*12,Calculations!B231*(1+#REF!/12)^(('Pay off vs Invest'!$B$2-'Pay off vs Invest'!$B$1)*12-A231),0)</f>
        <v>0</v>
      </c>
      <c r="E231" s="9" t="e">
        <f>C231/((1+#REF!/12)^((('Pay off vs Invest'!$B$2-'Pay off vs Invest'!$B$1)*12)-Calculations!A231))</f>
        <v>#REF!</v>
      </c>
    </row>
    <row r="232" spans="1:5" ht="15.75" customHeight="1">
      <c r="A232" s="9">
        <f t="shared" si="0"/>
        <v>231</v>
      </c>
      <c r="B232" s="8">
        <f t="shared" si="20"/>
        <v>42811.363313890244</v>
      </c>
      <c r="C232" s="9">
        <f>IF(A232&lt;=('Pay off vs Invest'!$B$2-'Pay off vs Invest'!$B$1)*12,Calculations!B232*(1+#REF!/12)^(('Pay off vs Invest'!$B$2-'Pay off vs Invest'!$B$1)*12-A232),0)</f>
        <v>0</v>
      </c>
      <c r="E232" s="9" t="e">
        <f>C232/((1+#REF!/12)^((('Pay off vs Invest'!$B$2-'Pay off vs Invest'!$B$1)*12)-Calculations!A232))</f>
        <v>#REF!</v>
      </c>
    </row>
    <row r="233" spans="1:5" ht="15.75" customHeight="1">
      <c r="A233" s="9">
        <f t="shared" si="0"/>
        <v>232</v>
      </c>
      <c r="B233" s="8">
        <f t="shared" si="20"/>
        <v>42811.363313890244</v>
      </c>
      <c r="C233" s="9">
        <f>IF(A233&lt;=('Pay off vs Invest'!$B$2-'Pay off vs Invest'!$B$1)*12,Calculations!B233*(1+#REF!/12)^(('Pay off vs Invest'!$B$2-'Pay off vs Invest'!$B$1)*12-A233),0)</f>
        <v>0</v>
      </c>
      <c r="E233" s="9" t="e">
        <f>C233/((1+#REF!/12)^((('Pay off vs Invest'!$B$2-'Pay off vs Invest'!$B$1)*12)-Calculations!A233))</f>
        <v>#REF!</v>
      </c>
    </row>
    <row r="234" spans="1:5" ht="15.75" customHeight="1">
      <c r="A234" s="9">
        <f t="shared" si="0"/>
        <v>233</v>
      </c>
      <c r="B234" s="8">
        <f t="shared" si="20"/>
        <v>42811.363313890244</v>
      </c>
      <c r="C234" s="9">
        <f>IF(A234&lt;=('Pay off vs Invest'!$B$2-'Pay off vs Invest'!$B$1)*12,Calculations!B234*(1+#REF!/12)^(('Pay off vs Invest'!$B$2-'Pay off vs Invest'!$B$1)*12-A234),0)</f>
        <v>0</v>
      </c>
      <c r="E234" s="9" t="e">
        <f>C234/((1+#REF!/12)^((('Pay off vs Invest'!$B$2-'Pay off vs Invest'!$B$1)*12)-Calculations!A234))</f>
        <v>#REF!</v>
      </c>
    </row>
    <row r="235" spans="1:5" ht="15.75" customHeight="1">
      <c r="A235" s="9">
        <f t="shared" si="0"/>
        <v>234</v>
      </c>
      <c r="B235" s="8">
        <f t="shared" si="20"/>
        <v>42811.363313890244</v>
      </c>
      <c r="C235" s="9">
        <f>IF(A235&lt;=('Pay off vs Invest'!$B$2-'Pay off vs Invest'!$B$1)*12,Calculations!B235*(1+#REF!/12)^(('Pay off vs Invest'!$B$2-'Pay off vs Invest'!$B$1)*12-A235),0)</f>
        <v>0</v>
      </c>
      <c r="E235" s="9" t="e">
        <f>C235/((1+#REF!/12)^((('Pay off vs Invest'!$B$2-'Pay off vs Invest'!$B$1)*12)-Calculations!A235))</f>
        <v>#REF!</v>
      </c>
    </row>
    <row r="236" spans="1:5" ht="15.75" customHeight="1">
      <c r="A236" s="9">
        <f t="shared" si="0"/>
        <v>235</v>
      </c>
      <c r="B236" s="8">
        <f t="shared" si="20"/>
        <v>42811.363313890244</v>
      </c>
      <c r="C236" s="9">
        <f>IF(A236&lt;=('Pay off vs Invest'!$B$2-'Pay off vs Invest'!$B$1)*12,Calculations!B236*(1+#REF!/12)^(('Pay off vs Invest'!$B$2-'Pay off vs Invest'!$B$1)*12-A236),0)</f>
        <v>0</v>
      </c>
      <c r="E236" s="9" t="e">
        <f>C236/((1+#REF!/12)^((('Pay off vs Invest'!$B$2-'Pay off vs Invest'!$B$1)*12)-Calculations!A236))</f>
        <v>#REF!</v>
      </c>
    </row>
    <row r="237" spans="1:5" ht="15.75" customHeight="1">
      <c r="A237" s="9">
        <f t="shared" si="0"/>
        <v>236</v>
      </c>
      <c r="B237" s="8">
        <f t="shared" si="20"/>
        <v>42811.363313890244</v>
      </c>
      <c r="C237" s="9">
        <f>IF(A237&lt;=('Pay off vs Invest'!$B$2-'Pay off vs Invest'!$B$1)*12,Calculations!B237*(1+#REF!/12)^(('Pay off vs Invest'!$B$2-'Pay off vs Invest'!$B$1)*12-A237),0)</f>
        <v>0</v>
      </c>
      <c r="E237" s="9" t="e">
        <f>C237/((1+#REF!/12)^((('Pay off vs Invest'!$B$2-'Pay off vs Invest'!$B$1)*12)-Calculations!A237))</f>
        <v>#REF!</v>
      </c>
    </row>
    <row r="238" spans="1:5" ht="15.75" customHeight="1">
      <c r="A238" s="9">
        <f t="shared" si="0"/>
        <v>237</v>
      </c>
      <c r="B238" s="8">
        <f t="shared" si="20"/>
        <v>42811.363313890244</v>
      </c>
      <c r="C238" s="9">
        <f>IF(A238&lt;=('Pay off vs Invest'!$B$2-'Pay off vs Invest'!$B$1)*12,Calculations!B238*(1+#REF!/12)^(('Pay off vs Invest'!$B$2-'Pay off vs Invest'!$B$1)*12-A238),0)</f>
        <v>0</v>
      </c>
      <c r="E238" s="9" t="e">
        <f>C238/((1+#REF!/12)^((('Pay off vs Invest'!$B$2-'Pay off vs Invest'!$B$1)*12)-Calculations!A238))</f>
        <v>#REF!</v>
      </c>
    </row>
    <row r="239" spans="1:5" ht="15.75" customHeight="1">
      <c r="A239" s="9">
        <f t="shared" si="0"/>
        <v>238</v>
      </c>
      <c r="B239" s="8">
        <f t="shared" si="20"/>
        <v>42811.363313890244</v>
      </c>
      <c r="C239" s="9">
        <f>IF(A239&lt;=('Pay off vs Invest'!$B$2-'Pay off vs Invest'!$B$1)*12,Calculations!B239*(1+#REF!/12)^(('Pay off vs Invest'!$B$2-'Pay off vs Invest'!$B$1)*12-A239),0)</f>
        <v>0</v>
      </c>
      <c r="E239" s="9" t="e">
        <f>C239/((1+#REF!/12)^((('Pay off vs Invest'!$B$2-'Pay off vs Invest'!$B$1)*12)-Calculations!A239))</f>
        <v>#REF!</v>
      </c>
    </row>
    <row r="240" spans="1:5" ht="15.75" customHeight="1">
      <c r="A240" s="9">
        <f t="shared" si="0"/>
        <v>239</v>
      </c>
      <c r="B240" s="8">
        <f t="shared" si="20"/>
        <v>42811.363313890244</v>
      </c>
      <c r="C240" s="9">
        <f>IF(A240&lt;=('Pay off vs Invest'!$B$2-'Pay off vs Invest'!$B$1)*12,Calculations!B240*(1+#REF!/12)^(('Pay off vs Invest'!$B$2-'Pay off vs Invest'!$B$1)*12-A240),0)</f>
        <v>0</v>
      </c>
      <c r="E240" s="9" t="e">
        <f>C240/((1+#REF!/12)^((('Pay off vs Invest'!$B$2-'Pay off vs Invest'!$B$1)*12)-Calculations!A240))</f>
        <v>#REF!</v>
      </c>
    </row>
    <row r="241" spans="1:5" ht="15.75" customHeight="1">
      <c r="A241" s="9">
        <f t="shared" si="0"/>
        <v>240</v>
      </c>
      <c r="B241" s="8">
        <f t="shared" si="20"/>
        <v>42811.363313890244</v>
      </c>
      <c r="C241" s="9">
        <f>IF(A241&lt;=('Pay off vs Invest'!$B$2-'Pay off vs Invest'!$B$1)*12,Calculations!B241*(1+#REF!/12)^(('Pay off vs Invest'!$B$2-'Pay off vs Invest'!$B$1)*12-A241),0)</f>
        <v>0</v>
      </c>
      <c r="E241" s="9" t="e">
        <f>C241/((1+#REF!/12)^((('Pay off vs Invest'!$B$2-'Pay off vs Invest'!$B$1)*12)-Calculations!A241))</f>
        <v>#REF!</v>
      </c>
    </row>
    <row r="242" spans="1:5" ht="15.75" customHeight="1">
      <c r="A242" s="9">
        <f t="shared" si="0"/>
        <v>241</v>
      </c>
      <c r="B242" s="8">
        <f>B241*(1+'Pay off vs Invest'!$B$7)</f>
        <v>47092.499645279269</v>
      </c>
      <c r="C242" s="9">
        <f>IF(A242&lt;=('Pay off vs Invest'!$B$2-'Pay off vs Invest'!$B$1)*12,Calculations!B242*(1+#REF!/12)^(('Pay off vs Invest'!$B$2-'Pay off vs Invest'!$B$1)*12-A242),0)</f>
        <v>0</v>
      </c>
      <c r="E242" s="9" t="e">
        <f>C242/((1+#REF!/12)^((('Pay off vs Invest'!$B$2-'Pay off vs Invest'!$B$1)*12)-Calculations!A242))</f>
        <v>#REF!</v>
      </c>
    </row>
    <row r="243" spans="1:5" ht="15.75" customHeight="1">
      <c r="A243" s="9">
        <f t="shared" si="0"/>
        <v>242</v>
      </c>
      <c r="B243" s="8">
        <f t="shared" ref="B243:B253" si="21">B242</f>
        <v>47092.499645279269</v>
      </c>
      <c r="C243" s="9">
        <f>IF(A243&lt;=('Pay off vs Invest'!$B$2-'Pay off vs Invest'!$B$1)*12,Calculations!B243*(1+#REF!/12)^(('Pay off vs Invest'!$B$2-'Pay off vs Invest'!$B$1)*12-A243),0)</f>
        <v>0</v>
      </c>
      <c r="E243" s="9" t="e">
        <f>C243/((1+#REF!/12)^((('Pay off vs Invest'!$B$2-'Pay off vs Invest'!$B$1)*12)-Calculations!A243))</f>
        <v>#REF!</v>
      </c>
    </row>
    <row r="244" spans="1:5" ht="15.75" customHeight="1">
      <c r="A244" s="9">
        <f t="shared" si="0"/>
        <v>243</v>
      </c>
      <c r="B244" s="8">
        <f t="shared" si="21"/>
        <v>47092.499645279269</v>
      </c>
      <c r="C244" s="9">
        <f>IF(A244&lt;=('Pay off vs Invest'!$B$2-'Pay off vs Invest'!$B$1)*12,Calculations!B244*(1+#REF!/12)^(('Pay off vs Invest'!$B$2-'Pay off vs Invest'!$B$1)*12-A244),0)</f>
        <v>0</v>
      </c>
      <c r="E244" s="9" t="e">
        <f>C244/((1+#REF!/12)^((('Pay off vs Invest'!$B$2-'Pay off vs Invest'!$B$1)*12)-Calculations!A244))</f>
        <v>#REF!</v>
      </c>
    </row>
    <row r="245" spans="1:5" ht="15.75" customHeight="1">
      <c r="A245" s="9">
        <f t="shared" si="0"/>
        <v>244</v>
      </c>
      <c r="B245" s="8">
        <f t="shared" si="21"/>
        <v>47092.499645279269</v>
      </c>
      <c r="C245" s="9">
        <f>IF(A245&lt;=('Pay off vs Invest'!$B$2-'Pay off vs Invest'!$B$1)*12,Calculations!B245*(1+#REF!/12)^(('Pay off vs Invest'!$B$2-'Pay off vs Invest'!$B$1)*12-A245),0)</f>
        <v>0</v>
      </c>
      <c r="E245" s="9" t="e">
        <f>C245/((1+#REF!/12)^((('Pay off vs Invest'!$B$2-'Pay off vs Invest'!$B$1)*12)-Calculations!A245))</f>
        <v>#REF!</v>
      </c>
    </row>
    <row r="246" spans="1:5" ht="15.75" customHeight="1">
      <c r="A246" s="9">
        <f t="shared" si="0"/>
        <v>245</v>
      </c>
      <c r="B246" s="8">
        <f t="shared" si="21"/>
        <v>47092.499645279269</v>
      </c>
      <c r="C246" s="9">
        <f>IF(A246&lt;=('Pay off vs Invest'!$B$2-'Pay off vs Invest'!$B$1)*12,Calculations!B246*(1+#REF!/12)^(('Pay off vs Invest'!$B$2-'Pay off vs Invest'!$B$1)*12-A246),0)</f>
        <v>0</v>
      </c>
      <c r="E246" s="9" t="e">
        <f>C246/((1+#REF!/12)^((('Pay off vs Invest'!$B$2-'Pay off vs Invest'!$B$1)*12)-Calculations!A246))</f>
        <v>#REF!</v>
      </c>
    </row>
    <row r="247" spans="1:5" ht="15.75" customHeight="1">
      <c r="A247" s="9">
        <f t="shared" si="0"/>
        <v>246</v>
      </c>
      <c r="B247" s="8">
        <f t="shared" si="21"/>
        <v>47092.499645279269</v>
      </c>
      <c r="C247" s="9">
        <f>IF(A247&lt;=('Pay off vs Invest'!$B$2-'Pay off vs Invest'!$B$1)*12,Calculations!B247*(1+#REF!/12)^(('Pay off vs Invest'!$B$2-'Pay off vs Invest'!$B$1)*12-A247),0)</f>
        <v>0</v>
      </c>
      <c r="E247" s="9" t="e">
        <f>C247/((1+#REF!/12)^((('Pay off vs Invest'!$B$2-'Pay off vs Invest'!$B$1)*12)-Calculations!A247))</f>
        <v>#REF!</v>
      </c>
    </row>
    <row r="248" spans="1:5" ht="15.75" customHeight="1">
      <c r="A248" s="9">
        <f t="shared" si="0"/>
        <v>247</v>
      </c>
      <c r="B248" s="8">
        <f t="shared" si="21"/>
        <v>47092.499645279269</v>
      </c>
      <c r="C248" s="9">
        <f>IF(A248&lt;=('Pay off vs Invest'!$B$2-'Pay off vs Invest'!$B$1)*12,Calculations!B248*(1+#REF!/12)^(('Pay off vs Invest'!$B$2-'Pay off vs Invest'!$B$1)*12-A248),0)</f>
        <v>0</v>
      </c>
      <c r="E248" s="9" t="e">
        <f>C248/((1+#REF!/12)^((('Pay off vs Invest'!$B$2-'Pay off vs Invest'!$B$1)*12)-Calculations!A248))</f>
        <v>#REF!</v>
      </c>
    </row>
    <row r="249" spans="1:5" ht="15.75" customHeight="1">
      <c r="A249" s="9">
        <f t="shared" si="0"/>
        <v>248</v>
      </c>
      <c r="B249" s="8">
        <f t="shared" si="21"/>
        <v>47092.499645279269</v>
      </c>
      <c r="C249" s="9">
        <f>IF(A249&lt;=('Pay off vs Invest'!$B$2-'Pay off vs Invest'!$B$1)*12,Calculations!B249*(1+#REF!/12)^(('Pay off vs Invest'!$B$2-'Pay off vs Invest'!$B$1)*12-A249),0)</f>
        <v>0</v>
      </c>
      <c r="E249" s="9" t="e">
        <f>C249/((1+#REF!/12)^((('Pay off vs Invest'!$B$2-'Pay off vs Invest'!$B$1)*12)-Calculations!A249))</f>
        <v>#REF!</v>
      </c>
    </row>
    <row r="250" spans="1:5" ht="15.75" customHeight="1">
      <c r="A250" s="9">
        <f t="shared" si="0"/>
        <v>249</v>
      </c>
      <c r="B250" s="8">
        <f t="shared" si="21"/>
        <v>47092.499645279269</v>
      </c>
      <c r="C250" s="9">
        <f>IF(A250&lt;=('Pay off vs Invest'!$B$2-'Pay off vs Invest'!$B$1)*12,Calculations!B250*(1+#REF!/12)^(('Pay off vs Invest'!$B$2-'Pay off vs Invest'!$B$1)*12-A250),0)</f>
        <v>0</v>
      </c>
      <c r="E250" s="9" t="e">
        <f>C250/((1+#REF!/12)^((('Pay off vs Invest'!$B$2-'Pay off vs Invest'!$B$1)*12)-Calculations!A250))</f>
        <v>#REF!</v>
      </c>
    </row>
    <row r="251" spans="1:5" ht="15.75" customHeight="1">
      <c r="A251" s="9">
        <f t="shared" si="0"/>
        <v>250</v>
      </c>
      <c r="B251" s="8">
        <f t="shared" si="21"/>
        <v>47092.499645279269</v>
      </c>
      <c r="C251" s="9">
        <f>IF(A251&lt;=('Pay off vs Invest'!$B$2-'Pay off vs Invest'!$B$1)*12,Calculations!B251*(1+#REF!/12)^(('Pay off vs Invest'!$B$2-'Pay off vs Invest'!$B$1)*12-A251),0)</f>
        <v>0</v>
      </c>
      <c r="E251" s="9" t="e">
        <f>C251/((1+#REF!/12)^((('Pay off vs Invest'!$B$2-'Pay off vs Invest'!$B$1)*12)-Calculations!A251))</f>
        <v>#REF!</v>
      </c>
    </row>
    <row r="252" spans="1:5" ht="15.75" customHeight="1">
      <c r="A252" s="9">
        <f t="shared" si="0"/>
        <v>251</v>
      </c>
      <c r="B252" s="8">
        <f t="shared" si="21"/>
        <v>47092.499645279269</v>
      </c>
      <c r="C252" s="9">
        <f>IF(A252&lt;=('Pay off vs Invest'!$B$2-'Pay off vs Invest'!$B$1)*12,Calculations!B252*(1+#REF!/12)^(('Pay off vs Invest'!$B$2-'Pay off vs Invest'!$B$1)*12-A252),0)</f>
        <v>0</v>
      </c>
      <c r="E252" s="9" t="e">
        <f>C252/((1+#REF!/12)^((('Pay off vs Invest'!$B$2-'Pay off vs Invest'!$B$1)*12)-Calculations!A252))</f>
        <v>#REF!</v>
      </c>
    </row>
    <row r="253" spans="1:5" ht="15.75" customHeight="1">
      <c r="A253" s="9">
        <f t="shared" si="0"/>
        <v>252</v>
      </c>
      <c r="B253" s="8">
        <f t="shared" si="21"/>
        <v>47092.499645279269</v>
      </c>
      <c r="C253" s="9">
        <f>IF(A253&lt;=('Pay off vs Invest'!$B$2-'Pay off vs Invest'!$B$1)*12,Calculations!B253*(1+#REF!/12)^(('Pay off vs Invest'!$B$2-'Pay off vs Invest'!$B$1)*12-A253),0)</f>
        <v>0</v>
      </c>
      <c r="E253" s="9" t="e">
        <f>C253/((1+#REF!/12)^((('Pay off vs Invest'!$B$2-'Pay off vs Invest'!$B$1)*12)-Calculations!A253))</f>
        <v>#REF!</v>
      </c>
    </row>
    <row r="254" spans="1:5" ht="15.75" customHeight="1">
      <c r="A254" s="9">
        <f t="shared" si="0"/>
        <v>253</v>
      </c>
      <c r="B254" s="8">
        <f>B253*(1+'Pay off vs Invest'!$B$7)</f>
        <v>51801.749609807201</v>
      </c>
      <c r="C254" s="9">
        <f>IF(A254&lt;=('Pay off vs Invest'!$B$2-'Pay off vs Invest'!$B$1)*12,Calculations!B254*(1+#REF!/12)^(('Pay off vs Invest'!$B$2-'Pay off vs Invest'!$B$1)*12-A254),0)</f>
        <v>0</v>
      </c>
      <c r="E254" s="9" t="e">
        <f>C254/((1+#REF!/12)^((('Pay off vs Invest'!$B$2-'Pay off vs Invest'!$B$1)*12)-Calculations!A254))</f>
        <v>#REF!</v>
      </c>
    </row>
    <row r="255" spans="1:5" ht="15.75" customHeight="1">
      <c r="A255" s="9">
        <f t="shared" si="0"/>
        <v>254</v>
      </c>
      <c r="B255" s="8">
        <f t="shared" ref="B255:B265" si="22">B254</f>
        <v>51801.749609807201</v>
      </c>
      <c r="C255" s="9">
        <f>IF(A255&lt;=('Pay off vs Invest'!$B$2-'Pay off vs Invest'!$B$1)*12,Calculations!B255*(1+#REF!/12)^(('Pay off vs Invest'!$B$2-'Pay off vs Invest'!$B$1)*12-A255),0)</f>
        <v>0</v>
      </c>
      <c r="E255" s="9" t="e">
        <f>C255/((1+#REF!/12)^((('Pay off vs Invest'!$B$2-'Pay off vs Invest'!$B$1)*12)-Calculations!A255))</f>
        <v>#REF!</v>
      </c>
    </row>
    <row r="256" spans="1:5" ht="15.75" customHeight="1">
      <c r="A256" s="9">
        <f t="shared" si="0"/>
        <v>255</v>
      </c>
      <c r="B256" s="8">
        <f t="shared" si="22"/>
        <v>51801.749609807201</v>
      </c>
      <c r="C256" s="9">
        <f>IF(A256&lt;=('Pay off vs Invest'!$B$2-'Pay off vs Invest'!$B$1)*12,Calculations!B256*(1+#REF!/12)^(('Pay off vs Invest'!$B$2-'Pay off vs Invest'!$B$1)*12-A256),0)</f>
        <v>0</v>
      </c>
      <c r="E256" s="9" t="e">
        <f>C256/((1+#REF!/12)^((('Pay off vs Invest'!$B$2-'Pay off vs Invest'!$B$1)*12)-Calculations!A256))</f>
        <v>#REF!</v>
      </c>
    </row>
    <row r="257" spans="1:5" ht="15.75" customHeight="1">
      <c r="A257" s="9">
        <f t="shared" si="0"/>
        <v>256</v>
      </c>
      <c r="B257" s="8">
        <f t="shared" si="22"/>
        <v>51801.749609807201</v>
      </c>
      <c r="C257" s="9">
        <f>IF(A257&lt;=('Pay off vs Invest'!$B$2-'Pay off vs Invest'!$B$1)*12,Calculations!B257*(1+#REF!/12)^(('Pay off vs Invest'!$B$2-'Pay off vs Invest'!$B$1)*12-A257),0)</f>
        <v>0</v>
      </c>
      <c r="E257" s="9" t="e">
        <f>C257/((1+#REF!/12)^((('Pay off vs Invest'!$B$2-'Pay off vs Invest'!$B$1)*12)-Calculations!A257))</f>
        <v>#REF!</v>
      </c>
    </row>
    <row r="258" spans="1:5" ht="15.75" customHeight="1">
      <c r="A258" s="9">
        <f t="shared" ref="A258:A481" si="23">A257+1</f>
        <v>257</v>
      </c>
      <c r="B258" s="8">
        <f t="shared" si="22"/>
        <v>51801.749609807201</v>
      </c>
      <c r="C258" s="9">
        <f>IF(A258&lt;=('Pay off vs Invest'!$B$2-'Pay off vs Invest'!$B$1)*12,Calculations!B258*(1+#REF!/12)^(('Pay off vs Invest'!$B$2-'Pay off vs Invest'!$B$1)*12-A258),0)</f>
        <v>0</v>
      </c>
      <c r="E258" s="9" t="e">
        <f>C258/((1+#REF!/12)^((('Pay off vs Invest'!$B$2-'Pay off vs Invest'!$B$1)*12)-Calculations!A258))</f>
        <v>#REF!</v>
      </c>
    </row>
    <row r="259" spans="1:5" ht="15.75" customHeight="1">
      <c r="A259" s="9">
        <f t="shared" si="23"/>
        <v>258</v>
      </c>
      <c r="B259" s="8">
        <f t="shared" si="22"/>
        <v>51801.749609807201</v>
      </c>
      <c r="C259" s="9">
        <f>IF(A259&lt;=('Pay off vs Invest'!$B$2-'Pay off vs Invest'!$B$1)*12,Calculations!B259*(1+#REF!/12)^(('Pay off vs Invest'!$B$2-'Pay off vs Invest'!$B$1)*12-A259),0)</f>
        <v>0</v>
      </c>
      <c r="E259" s="9" t="e">
        <f>C259/((1+#REF!/12)^((('Pay off vs Invest'!$B$2-'Pay off vs Invest'!$B$1)*12)-Calculations!A259))</f>
        <v>#REF!</v>
      </c>
    </row>
    <row r="260" spans="1:5" ht="15.75" customHeight="1">
      <c r="A260" s="9">
        <f t="shared" si="23"/>
        <v>259</v>
      </c>
      <c r="B260" s="8">
        <f t="shared" si="22"/>
        <v>51801.749609807201</v>
      </c>
      <c r="C260" s="9">
        <f>IF(A260&lt;=('Pay off vs Invest'!$B$2-'Pay off vs Invest'!$B$1)*12,Calculations!B260*(1+#REF!/12)^(('Pay off vs Invest'!$B$2-'Pay off vs Invest'!$B$1)*12-A260),0)</f>
        <v>0</v>
      </c>
      <c r="E260" s="9" t="e">
        <f>C260/((1+#REF!/12)^((('Pay off vs Invest'!$B$2-'Pay off vs Invest'!$B$1)*12)-Calculations!A260))</f>
        <v>#REF!</v>
      </c>
    </row>
    <row r="261" spans="1:5" ht="15.75" customHeight="1">
      <c r="A261" s="9">
        <f t="shared" si="23"/>
        <v>260</v>
      </c>
      <c r="B261" s="8">
        <f t="shared" si="22"/>
        <v>51801.749609807201</v>
      </c>
      <c r="C261" s="9">
        <f>IF(A261&lt;=('Pay off vs Invest'!$B$2-'Pay off vs Invest'!$B$1)*12,Calculations!B261*(1+#REF!/12)^(('Pay off vs Invest'!$B$2-'Pay off vs Invest'!$B$1)*12-A261),0)</f>
        <v>0</v>
      </c>
      <c r="E261" s="9" t="e">
        <f>C261/((1+#REF!/12)^((('Pay off vs Invest'!$B$2-'Pay off vs Invest'!$B$1)*12)-Calculations!A261))</f>
        <v>#REF!</v>
      </c>
    </row>
    <row r="262" spans="1:5" ht="15.75" customHeight="1">
      <c r="A262" s="9">
        <f t="shared" si="23"/>
        <v>261</v>
      </c>
      <c r="B262" s="8">
        <f t="shared" si="22"/>
        <v>51801.749609807201</v>
      </c>
      <c r="C262" s="9">
        <f>IF(A262&lt;=('Pay off vs Invest'!$B$2-'Pay off vs Invest'!$B$1)*12,Calculations!B262*(1+#REF!/12)^(('Pay off vs Invest'!$B$2-'Pay off vs Invest'!$B$1)*12-A262),0)</f>
        <v>0</v>
      </c>
      <c r="E262" s="9" t="e">
        <f>C262/((1+#REF!/12)^((('Pay off vs Invest'!$B$2-'Pay off vs Invest'!$B$1)*12)-Calculations!A262))</f>
        <v>#REF!</v>
      </c>
    </row>
    <row r="263" spans="1:5" ht="15.75" customHeight="1">
      <c r="A263" s="9">
        <f t="shared" si="23"/>
        <v>262</v>
      </c>
      <c r="B263" s="8">
        <f t="shared" si="22"/>
        <v>51801.749609807201</v>
      </c>
      <c r="C263" s="9">
        <f>IF(A263&lt;=('Pay off vs Invest'!$B$2-'Pay off vs Invest'!$B$1)*12,Calculations!B263*(1+#REF!/12)^(('Pay off vs Invest'!$B$2-'Pay off vs Invest'!$B$1)*12-A263),0)</f>
        <v>0</v>
      </c>
      <c r="E263" s="9" t="e">
        <f>C263/((1+#REF!/12)^((('Pay off vs Invest'!$B$2-'Pay off vs Invest'!$B$1)*12)-Calculations!A263))</f>
        <v>#REF!</v>
      </c>
    </row>
    <row r="264" spans="1:5" ht="15.75" customHeight="1">
      <c r="A264" s="9">
        <f t="shared" si="23"/>
        <v>263</v>
      </c>
      <c r="B264" s="8">
        <f t="shared" si="22"/>
        <v>51801.749609807201</v>
      </c>
      <c r="C264" s="9">
        <f>IF(A264&lt;=('Pay off vs Invest'!$B$2-'Pay off vs Invest'!$B$1)*12,Calculations!B264*(1+#REF!/12)^(('Pay off vs Invest'!$B$2-'Pay off vs Invest'!$B$1)*12-A264),0)</f>
        <v>0</v>
      </c>
      <c r="E264" s="9" t="e">
        <f>C264/((1+#REF!/12)^((('Pay off vs Invest'!$B$2-'Pay off vs Invest'!$B$1)*12)-Calculations!A264))</f>
        <v>#REF!</v>
      </c>
    </row>
    <row r="265" spans="1:5" ht="15.75" customHeight="1">
      <c r="A265" s="9">
        <f t="shared" si="23"/>
        <v>264</v>
      </c>
      <c r="B265" s="8">
        <f t="shared" si="22"/>
        <v>51801.749609807201</v>
      </c>
      <c r="C265" s="9">
        <f>IF(A265&lt;=('Pay off vs Invest'!$B$2-'Pay off vs Invest'!$B$1)*12,Calculations!B265*(1+#REF!/12)^(('Pay off vs Invest'!$B$2-'Pay off vs Invest'!$B$1)*12-A265),0)</f>
        <v>0</v>
      </c>
      <c r="E265" s="9" t="e">
        <f>C265/((1+#REF!/12)^((('Pay off vs Invest'!$B$2-'Pay off vs Invest'!$B$1)*12)-Calculations!A265))</f>
        <v>#REF!</v>
      </c>
    </row>
    <row r="266" spans="1:5" ht="15.75" customHeight="1">
      <c r="A266" s="9">
        <f t="shared" si="23"/>
        <v>265</v>
      </c>
      <c r="B266" s="8">
        <f>B265*(1+'Pay off vs Invest'!$B$7)</f>
        <v>56981.924570787924</v>
      </c>
      <c r="C266" s="9">
        <f>IF(A266&lt;=('Pay off vs Invest'!$B$2-'Pay off vs Invest'!$B$1)*12,Calculations!B266*(1+#REF!/12)^(('Pay off vs Invest'!$B$2-'Pay off vs Invest'!$B$1)*12-A266),0)</f>
        <v>0</v>
      </c>
      <c r="E266" s="9" t="e">
        <f>C266/((1+#REF!/12)^((('Pay off vs Invest'!$B$2-'Pay off vs Invest'!$B$1)*12)-Calculations!A266))</f>
        <v>#REF!</v>
      </c>
    </row>
    <row r="267" spans="1:5" ht="15.75" customHeight="1">
      <c r="A267" s="9">
        <f t="shared" si="23"/>
        <v>266</v>
      </c>
      <c r="B267" s="8">
        <f t="shared" ref="B267:B277" si="24">B266</f>
        <v>56981.924570787924</v>
      </c>
      <c r="C267" s="9">
        <f>IF(A267&lt;=('Pay off vs Invest'!$B$2-'Pay off vs Invest'!$B$1)*12,Calculations!B267*(1+#REF!/12)^(('Pay off vs Invest'!$B$2-'Pay off vs Invest'!$B$1)*12-A267),0)</f>
        <v>0</v>
      </c>
      <c r="E267" s="9" t="e">
        <f>C267/((1+#REF!/12)^((('Pay off vs Invest'!$B$2-'Pay off vs Invest'!$B$1)*12)-Calculations!A267))</f>
        <v>#REF!</v>
      </c>
    </row>
    <row r="268" spans="1:5" ht="15.75" customHeight="1">
      <c r="A268" s="9">
        <f t="shared" si="23"/>
        <v>267</v>
      </c>
      <c r="B268" s="8">
        <f t="shared" si="24"/>
        <v>56981.924570787924</v>
      </c>
      <c r="C268" s="9">
        <f>IF(A268&lt;=('Pay off vs Invest'!$B$2-'Pay off vs Invest'!$B$1)*12,Calculations!B268*(1+#REF!/12)^(('Pay off vs Invest'!$B$2-'Pay off vs Invest'!$B$1)*12-A268),0)</f>
        <v>0</v>
      </c>
      <c r="E268" s="9" t="e">
        <f>C268/((1+#REF!/12)^((('Pay off vs Invest'!$B$2-'Pay off vs Invest'!$B$1)*12)-Calculations!A268))</f>
        <v>#REF!</v>
      </c>
    </row>
    <row r="269" spans="1:5" ht="15.75" customHeight="1">
      <c r="A269" s="9">
        <f t="shared" si="23"/>
        <v>268</v>
      </c>
      <c r="B269" s="8">
        <f t="shared" si="24"/>
        <v>56981.924570787924</v>
      </c>
      <c r="C269" s="9">
        <f>IF(A269&lt;=('Pay off vs Invest'!$B$2-'Pay off vs Invest'!$B$1)*12,Calculations!B269*(1+#REF!/12)^(('Pay off vs Invest'!$B$2-'Pay off vs Invest'!$B$1)*12-A269),0)</f>
        <v>0</v>
      </c>
      <c r="E269" s="9" t="e">
        <f>C269/((1+#REF!/12)^((('Pay off vs Invest'!$B$2-'Pay off vs Invest'!$B$1)*12)-Calculations!A269))</f>
        <v>#REF!</v>
      </c>
    </row>
    <row r="270" spans="1:5" ht="15.75" customHeight="1">
      <c r="A270" s="9">
        <f t="shared" si="23"/>
        <v>269</v>
      </c>
      <c r="B270" s="8">
        <f t="shared" si="24"/>
        <v>56981.924570787924</v>
      </c>
      <c r="C270" s="9">
        <f>IF(A270&lt;=('Pay off vs Invest'!$B$2-'Pay off vs Invest'!$B$1)*12,Calculations!B270*(1+#REF!/12)^(('Pay off vs Invest'!$B$2-'Pay off vs Invest'!$B$1)*12-A270),0)</f>
        <v>0</v>
      </c>
      <c r="E270" s="9" t="e">
        <f>C270/((1+#REF!/12)^((('Pay off vs Invest'!$B$2-'Pay off vs Invest'!$B$1)*12)-Calculations!A270))</f>
        <v>#REF!</v>
      </c>
    </row>
    <row r="271" spans="1:5" ht="15.75" customHeight="1">
      <c r="A271" s="9">
        <f t="shared" si="23"/>
        <v>270</v>
      </c>
      <c r="B271" s="8">
        <f t="shared" si="24"/>
        <v>56981.924570787924</v>
      </c>
      <c r="C271" s="9">
        <f>IF(A271&lt;=('Pay off vs Invest'!$B$2-'Pay off vs Invest'!$B$1)*12,Calculations!B271*(1+#REF!/12)^(('Pay off vs Invest'!$B$2-'Pay off vs Invest'!$B$1)*12-A271),0)</f>
        <v>0</v>
      </c>
      <c r="E271" s="9" t="e">
        <f>C271/((1+#REF!/12)^((('Pay off vs Invest'!$B$2-'Pay off vs Invest'!$B$1)*12)-Calculations!A271))</f>
        <v>#REF!</v>
      </c>
    </row>
    <row r="272" spans="1:5" ht="15.75" customHeight="1">
      <c r="A272" s="9">
        <f t="shared" si="23"/>
        <v>271</v>
      </c>
      <c r="B272" s="8">
        <f t="shared" si="24"/>
        <v>56981.924570787924</v>
      </c>
      <c r="C272" s="9">
        <f>IF(A272&lt;=('Pay off vs Invest'!$B$2-'Pay off vs Invest'!$B$1)*12,Calculations!B272*(1+#REF!/12)^(('Pay off vs Invest'!$B$2-'Pay off vs Invest'!$B$1)*12-A272),0)</f>
        <v>0</v>
      </c>
      <c r="E272" s="9" t="e">
        <f>C272/((1+#REF!/12)^((('Pay off vs Invest'!$B$2-'Pay off vs Invest'!$B$1)*12)-Calculations!A272))</f>
        <v>#REF!</v>
      </c>
    </row>
    <row r="273" spans="1:5" ht="15.75" customHeight="1">
      <c r="A273" s="9">
        <f t="shared" si="23"/>
        <v>272</v>
      </c>
      <c r="B273" s="8">
        <f t="shared" si="24"/>
        <v>56981.924570787924</v>
      </c>
      <c r="C273" s="9">
        <f>IF(A273&lt;=('Pay off vs Invest'!$B$2-'Pay off vs Invest'!$B$1)*12,Calculations!B273*(1+#REF!/12)^(('Pay off vs Invest'!$B$2-'Pay off vs Invest'!$B$1)*12-A273),0)</f>
        <v>0</v>
      </c>
      <c r="E273" s="9" t="e">
        <f>C273/((1+#REF!/12)^((('Pay off vs Invest'!$B$2-'Pay off vs Invest'!$B$1)*12)-Calculations!A273))</f>
        <v>#REF!</v>
      </c>
    </row>
    <row r="274" spans="1:5" ht="15.75" customHeight="1">
      <c r="A274" s="9">
        <f t="shared" si="23"/>
        <v>273</v>
      </c>
      <c r="B274" s="8">
        <f t="shared" si="24"/>
        <v>56981.924570787924</v>
      </c>
      <c r="C274" s="9">
        <f>IF(A274&lt;=('Pay off vs Invest'!$B$2-'Pay off vs Invest'!$B$1)*12,Calculations!B274*(1+#REF!/12)^(('Pay off vs Invest'!$B$2-'Pay off vs Invest'!$B$1)*12-A274),0)</f>
        <v>0</v>
      </c>
      <c r="E274" s="9" t="e">
        <f>C274/((1+#REF!/12)^((('Pay off vs Invest'!$B$2-'Pay off vs Invest'!$B$1)*12)-Calculations!A274))</f>
        <v>#REF!</v>
      </c>
    </row>
    <row r="275" spans="1:5" ht="15.75" customHeight="1">
      <c r="A275" s="9">
        <f t="shared" si="23"/>
        <v>274</v>
      </c>
      <c r="B275" s="8">
        <f t="shared" si="24"/>
        <v>56981.924570787924</v>
      </c>
      <c r="C275" s="9">
        <f>IF(A275&lt;=('Pay off vs Invest'!$B$2-'Pay off vs Invest'!$B$1)*12,Calculations!B275*(1+#REF!/12)^(('Pay off vs Invest'!$B$2-'Pay off vs Invest'!$B$1)*12-A275),0)</f>
        <v>0</v>
      </c>
      <c r="E275" s="9" t="e">
        <f>C275/((1+#REF!/12)^((('Pay off vs Invest'!$B$2-'Pay off vs Invest'!$B$1)*12)-Calculations!A275))</f>
        <v>#REF!</v>
      </c>
    </row>
    <row r="276" spans="1:5" ht="15.75" customHeight="1">
      <c r="A276" s="9">
        <f t="shared" si="23"/>
        <v>275</v>
      </c>
      <c r="B276" s="8">
        <f t="shared" si="24"/>
        <v>56981.924570787924</v>
      </c>
      <c r="C276" s="9">
        <f>IF(A276&lt;=('Pay off vs Invest'!$B$2-'Pay off vs Invest'!$B$1)*12,Calculations!B276*(1+#REF!/12)^(('Pay off vs Invest'!$B$2-'Pay off vs Invest'!$B$1)*12-A276),0)</f>
        <v>0</v>
      </c>
      <c r="E276" s="9" t="e">
        <f>C276/((1+#REF!/12)^((('Pay off vs Invest'!$B$2-'Pay off vs Invest'!$B$1)*12)-Calculations!A276))</f>
        <v>#REF!</v>
      </c>
    </row>
    <row r="277" spans="1:5" ht="15.75" customHeight="1">
      <c r="A277" s="9">
        <f t="shared" si="23"/>
        <v>276</v>
      </c>
      <c r="B277" s="8">
        <f t="shared" si="24"/>
        <v>56981.924570787924</v>
      </c>
      <c r="C277" s="9">
        <f>IF(A277&lt;=('Pay off vs Invest'!$B$2-'Pay off vs Invest'!$B$1)*12,Calculations!B277*(1+#REF!/12)^(('Pay off vs Invest'!$B$2-'Pay off vs Invest'!$B$1)*12-A277),0)</f>
        <v>0</v>
      </c>
      <c r="E277" s="9" t="e">
        <f>C277/((1+#REF!/12)^((('Pay off vs Invest'!$B$2-'Pay off vs Invest'!$B$1)*12)-Calculations!A277))</f>
        <v>#REF!</v>
      </c>
    </row>
    <row r="278" spans="1:5" ht="15.75" customHeight="1">
      <c r="A278" s="9">
        <f t="shared" si="23"/>
        <v>277</v>
      </c>
      <c r="B278" s="8">
        <f>B277*(1+'Pay off vs Invest'!$B$7)</f>
        <v>62680.11702786672</v>
      </c>
      <c r="C278" s="9">
        <f>IF(A278&lt;=('Pay off vs Invest'!$B$2-'Pay off vs Invest'!$B$1)*12,Calculations!B278*(1+#REF!/12)^(('Pay off vs Invest'!$B$2-'Pay off vs Invest'!$B$1)*12-A278),0)</f>
        <v>0</v>
      </c>
      <c r="E278" s="9" t="e">
        <f>C278/((1+#REF!/12)^((('Pay off vs Invest'!$B$2-'Pay off vs Invest'!$B$1)*12)-Calculations!A278))</f>
        <v>#REF!</v>
      </c>
    </row>
    <row r="279" spans="1:5" ht="15.75" customHeight="1">
      <c r="A279" s="9">
        <f t="shared" si="23"/>
        <v>278</v>
      </c>
      <c r="B279" s="8">
        <f t="shared" ref="B279:B289" si="25">B278</f>
        <v>62680.11702786672</v>
      </c>
      <c r="C279" s="9">
        <f>IF(A279&lt;=('Pay off vs Invest'!$B$2-'Pay off vs Invest'!$B$1)*12,Calculations!B279*(1+#REF!/12)^(('Pay off vs Invest'!$B$2-'Pay off vs Invest'!$B$1)*12-A279),0)</f>
        <v>0</v>
      </c>
      <c r="E279" s="9" t="e">
        <f>C279/((1+#REF!/12)^((('Pay off vs Invest'!$B$2-'Pay off vs Invest'!$B$1)*12)-Calculations!A279))</f>
        <v>#REF!</v>
      </c>
    </row>
    <row r="280" spans="1:5" ht="15.75" customHeight="1">
      <c r="A280" s="9">
        <f t="shared" si="23"/>
        <v>279</v>
      </c>
      <c r="B280" s="8">
        <f t="shared" si="25"/>
        <v>62680.11702786672</v>
      </c>
      <c r="C280" s="9">
        <f>IF(A280&lt;=('Pay off vs Invest'!$B$2-'Pay off vs Invest'!$B$1)*12,Calculations!B280*(1+#REF!/12)^(('Pay off vs Invest'!$B$2-'Pay off vs Invest'!$B$1)*12-A280),0)</f>
        <v>0</v>
      </c>
      <c r="E280" s="9" t="e">
        <f>C280/((1+#REF!/12)^((('Pay off vs Invest'!$B$2-'Pay off vs Invest'!$B$1)*12)-Calculations!A280))</f>
        <v>#REF!</v>
      </c>
    </row>
    <row r="281" spans="1:5" ht="15.75" customHeight="1">
      <c r="A281" s="9">
        <f t="shared" si="23"/>
        <v>280</v>
      </c>
      <c r="B281" s="8">
        <f t="shared" si="25"/>
        <v>62680.11702786672</v>
      </c>
      <c r="C281" s="9">
        <f>IF(A281&lt;=('Pay off vs Invest'!$B$2-'Pay off vs Invest'!$B$1)*12,Calculations!B281*(1+#REF!/12)^(('Pay off vs Invest'!$B$2-'Pay off vs Invest'!$B$1)*12-A281),0)</f>
        <v>0</v>
      </c>
      <c r="E281" s="9" t="e">
        <f>C281/((1+#REF!/12)^((('Pay off vs Invest'!$B$2-'Pay off vs Invest'!$B$1)*12)-Calculations!A281))</f>
        <v>#REF!</v>
      </c>
    </row>
    <row r="282" spans="1:5" ht="15.75" customHeight="1">
      <c r="A282" s="9">
        <f t="shared" si="23"/>
        <v>281</v>
      </c>
      <c r="B282" s="8">
        <f t="shared" si="25"/>
        <v>62680.11702786672</v>
      </c>
      <c r="C282" s="9">
        <f>IF(A282&lt;=('Pay off vs Invest'!$B$2-'Pay off vs Invest'!$B$1)*12,Calculations!B282*(1+#REF!/12)^(('Pay off vs Invest'!$B$2-'Pay off vs Invest'!$B$1)*12-A282),0)</f>
        <v>0</v>
      </c>
      <c r="E282" s="9" t="e">
        <f>C282/((1+#REF!/12)^((('Pay off vs Invest'!$B$2-'Pay off vs Invest'!$B$1)*12)-Calculations!A282))</f>
        <v>#REF!</v>
      </c>
    </row>
    <row r="283" spans="1:5" ht="15.75" customHeight="1">
      <c r="A283" s="9">
        <f t="shared" si="23"/>
        <v>282</v>
      </c>
      <c r="B283" s="8">
        <f t="shared" si="25"/>
        <v>62680.11702786672</v>
      </c>
      <c r="C283" s="9">
        <f>IF(A283&lt;=('Pay off vs Invest'!$B$2-'Pay off vs Invest'!$B$1)*12,Calculations!B283*(1+#REF!/12)^(('Pay off vs Invest'!$B$2-'Pay off vs Invest'!$B$1)*12-A283),0)</f>
        <v>0</v>
      </c>
      <c r="E283" s="9" t="e">
        <f>C283/((1+#REF!/12)^((('Pay off vs Invest'!$B$2-'Pay off vs Invest'!$B$1)*12)-Calculations!A283))</f>
        <v>#REF!</v>
      </c>
    </row>
    <row r="284" spans="1:5" ht="15.75" customHeight="1">
      <c r="A284" s="9">
        <f t="shared" si="23"/>
        <v>283</v>
      </c>
      <c r="B284" s="8">
        <f t="shared" si="25"/>
        <v>62680.11702786672</v>
      </c>
      <c r="C284" s="9">
        <f>IF(A284&lt;=('Pay off vs Invest'!$B$2-'Pay off vs Invest'!$B$1)*12,Calculations!B284*(1+#REF!/12)^(('Pay off vs Invest'!$B$2-'Pay off vs Invest'!$B$1)*12-A284),0)</f>
        <v>0</v>
      </c>
      <c r="E284" s="9" t="e">
        <f>C284/((1+#REF!/12)^((('Pay off vs Invest'!$B$2-'Pay off vs Invest'!$B$1)*12)-Calculations!A284))</f>
        <v>#REF!</v>
      </c>
    </row>
    <row r="285" spans="1:5" ht="15.75" customHeight="1">
      <c r="A285" s="9">
        <f t="shared" si="23"/>
        <v>284</v>
      </c>
      <c r="B285" s="8">
        <f t="shared" si="25"/>
        <v>62680.11702786672</v>
      </c>
      <c r="C285" s="9">
        <f>IF(A285&lt;=('Pay off vs Invest'!$B$2-'Pay off vs Invest'!$B$1)*12,Calculations!B285*(1+#REF!/12)^(('Pay off vs Invest'!$B$2-'Pay off vs Invest'!$B$1)*12-A285),0)</f>
        <v>0</v>
      </c>
      <c r="E285" s="9" t="e">
        <f>C285/((1+#REF!/12)^((('Pay off vs Invest'!$B$2-'Pay off vs Invest'!$B$1)*12)-Calculations!A285))</f>
        <v>#REF!</v>
      </c>
    </row>
    <row r="286" spans="1:5" ht="15.75" customHeight="1">
      <c r="A286" s="9">
        <f t="shared" si="23"/>
        <v>285</v>
      </c>
      <c r="B286" s="8">
        <f t="shared" si="25"/>
        <v>62680.11702786672</v>
      </c>
      <c r="C286" s="9">
        <f>IF(A286&lt;=('Pay off vs Invest'!$B$2-'Pay off vs Invest'!$B$1)*12,Calculations!B286*(1+#REF!/12)^(('Pay off vs Invest'!$B$2-'Pay off vs Invest'!$B$1)*12-A286),0)</f>
        <v>0</v>
      </c>
      <c r="E286" s="9" t="e">
        <f>C286/((1+#REF!/12)^((('Pay off vs Invest'!$B$2-'Pay off vs Invest'!$B$1)*12)-Calculations!A286))</f>
        <v>#REF!</v>
      </c>
    </row>
    <row r="287" spans="1:5" ht="15.75" customHeight="1">
      <c r="A287" s="9">
        <f t="shared" si="23"/>
        <v>286</v>
      </c>
      <c r="B287" s="8">
        <f t="shared" si="25"/>
        <v>62680.11702786672</v>
      </c>
      <c r="C287" s="9">
        <f>IF(A287&lt;=('Pay off vs Invest'!$B$2-'Pay off vs Invest'!$B$1)*12,Calculations!B287*(1+#REF!/12)^(('Pay off vs Invest'!$B$2-'Pay off vs Invest'!$B$1)*12-A287),0)</f>
        <v>0</v>
      </c>
      <c r="E287" s="9" t="e">
        <f>C287/((1+#REF!/12)^((('Pay off vs Invest'!$B$2-'Pay off vs Invest'!$B$1)*12)-Calculations!A287))</f>
        <v>#REF!</v>
      </c>
    </row>
    <row r="288" spans="1:5" ht="15.75" customHeight="1">
      <c r="A288" s="9">
        <f t="shared" si="23"/>
        <v>287</v>
      </c>
      <c r="B288" s="8">
        <f t="shared" si="25"/>
        <v>62680.11702786672</v>
      </c>
      <c r="C288" s="9">
        <f>IF(A288&lt;=('Pay off vs Invest'!$B$2-'Pay off vs Invest'!$B$1)*12,Calculations!B288*(1+#REF!/12)^(('Pay off vs Invest'!$B$2-'Pay off vs Invest'!$B$1)*12-A288),0)</f>
        <v>0</v>
      </c>
      <c r="E288" s="9" t="e">
        <f>C288/((1+#REF!/12)^((('Pay off vs Invest'!$B$2-'Pay off vs Invest'!$B$1)*12)-Calculations!A288))</f>
        <v>#REF!</v>
      </c>
    </row>
    <row r="289" spans="1:5" ht="15.75" customHeight="1">
      <c r="A289" s="9">
        <f t="shared" si="23"/>
        <v>288</v>
      </c>
      <c r="B289" s="8">
        <f t="shared" si="25"/>
        <v>62680.11702786672</v>
      </c>
      <c r="C289" s="9">
        <f>IF(A289&lt;=('Pay off vs Invest'!$B$2-'Pay off vs Invest'!$B$1)*12,Calculations!B289*(1+#REF!/12)^(('Pay off vs Invest'!$B$2-'Pay off vs Invest'!$B$1)*12-A289),0)</f>
        <v>0</v>
      </c>
      <c r="E289" s="9" t="e">
        <f>C289/((1+#REF!/12)^((('Pay off vs Invest'!$B$2-'Pay off vs Invest'!$B$1)*12)-Calculations!A289))</f>
        <v>#REF!</v>
      </c>
    </row>
    <row r="290" spans="1:5" ht="15.75" customHeight="1">
      <c r="A290" s="9">
        <f t="shared" si="23"/>
        <v>289</v>
      </c>
      <c r="B290" s="8">
        <f>B289*(1+'Pay off vs Invest'!$B$7)</f>
        <v>68948.128730653392</v>
      </c>
      <c r="C290" s="9">
        <f>IF(A290&lt;=('Pay off vs Invest'!$B$2-'Pay off vs Invest'!$B$1)*12,Calculations!B290*(1+#REF!/12)^(('Pay off vs Invest'!$B$2-'Pay off vs Invest'!$B$1)*12-A290),0)</f>
        <v>0</v>
      </c>
      <c r="E290" s="9" t="e">
        <f>C290/((1+#REF!/12)^((('Pay off vs Invest'!$B$2-'Pay off vs Invest'!$B$1)*12)-Calculations!A290))</f>
        <v>#REF!</v>
      </c>
    </row>
    <row r="291" spans="1:5" ht="15.75" customHeight="1">
      <c r="A291" s="9">
        <f t="shared" si="23"/>
        <v>290</v>
      </c>
      <c r="B291" s="8">
        <f t="shared" ref="B291:B301" si="26">B290</f>
        <v>68948.128730653392</v>
      </c>
      <c r="C291" s="9">
        <f>IF(A291&lt;=('Pay off vs Invest'!$B$2-'Pay off vs Invest'!$B$1)*12,Calculations!B291*(1+#REF!/12)^(('Pay off vs Invest'!$B$2-'Pay off vs Invest'!$B$1)*12-A291),0)</f>
        <v>0</v>
      </c>
      <c r="E291" s="9" t="e">
        <f>C291/((1+#REF!/12)^((('Pay off vs Invest'!$B$2-'Pay off vs Invest'!$B$1)*12)-Calculations!A291))</f>
        <v>#REF!</v>
      </c>
    </row>
    <row r="292" spans="1:5" ht="15.75" customHeight="1">
      <c r="A292" s="9">
        <f t="shared" si="23"/>
        <v>291</v>
      </c>
      <c r="B292" s="8">
        <f t="shared" si="26"/>
        <v>68948.128730653392</v>
      </c>
      <c r="C292" s="9">
        <f>IF(A292&lt;=('Pay off vs Invest'!$B$2-'Pay off vs Invest'!$B$1)*12,Calculations!B292*(1+#REF!/12)^(('Pay off vs Invest'!$B$2-'Pay off vs Invest'!$B$1)*12-A292),0)</f>
        <v>0</v>
      </c>
      <c r="E292" s="9" t="e">
        <f>C292/((1+#REF!/12)^((('Pay off vs Invest'!$B$2-'Pay off vs Invest'!$B$1)*12)-Calculations!A292))</f>
        <v>#REF!</v>
      </c>
    </row>
    <row r="293" spans="1:5" ht="15.75" customHeight="1">
      <c r="A293" s="9">
        <f t="shared" si="23"/>
        <v>292</v>
      </c>
      <c r="B293" s="8">
        <f t="shared" si="26"/>
        <v>68948.128730653392</v>
      </c>
      <c r="C293" s="9">
        <f>IF(A293&lt;=('Pay off vs Invest'!$B$2-'Pay off vs Invest'!$B$1)*12,Calculations!B293*(1+#REF!/12)^(('Pay off vs Invest'!$B$2-'Pay off vs Invest'!$B$1)*12-A293),0)</f>
        <v>0</v>
      </c>
      <c r="E293" s="9" t="e">
        <f>C293/((1+#REF!/12)^((('Pay off vs Invest'!$B$2-'Pay off vs Invest'!$B$1)*12)-Calculations!A293))</f>
        <v>#REF!</v>
      </c>
    </row>
    <row r="294" spans="1:5" ht="15.75" customHeight="1">
      <c r="A294" s="9">
        <f t="shared" si="23"/>
        <v>293</v>
      </c>
      <c r="B294" s="8">
        <f t="shared" si="26"/>
        <v>68948.128730653392</v>
      </c>
      <c r="C294" s="9">
        <f>IF(A294&lt;=('Pay off vs Invest'!$B$2-'Pay off vs Invest'!$B$1)*12,Calculations!B294*(1+#REF!/12)^(('Pay off vs Invest'!$B$2-'Pay off vs Invest'!$B$1)*12-A294),0)</f>
        <v>0</v>
      </c>
      <c r="E294" s="9" t="e">
        <f>C294/((1+#REF!/12)^((('Pay off vs Invest'!$B$2-'Pay off vs Invest'!$B$1)*12)-Calculations!A294))</f>
        <v>#REF!</v>
      </c>
    </row>
    <row r="295" spans="1:5" ht="15.75" customHeight="1">
      <c r="A295" s="9">
        <f t="shared" si="23"/>
        <v>294</v>
      </c>
      <c r="B295" s="8">
        <f t="shared" si="26"/>
        <v>68948.128730653392</v>
      </c>
      <c r="C295" s="9">
        <f>IF(A295&lt;=('Pay off vs Invest'!$B$2-'Pay off vs Invest'!$B$1)*12,Calculations!B295*(1+#REF!/12)^(('Pay off vs Invest'!$B$2-'Pay off vs Invest'!$B$1)*12-A295),0)</f>
        <v>0</v>
      </c>
      <c r="E295" s="9" t="e">
        <f>C295/((1+#REF!/12)^((('Pay off vs Invest'!$B$2-'Pay off vs Invest'!$B$1)*12)-Calculations!A295))</f>
        <v>#REF!</v>
      </c>
    </row>
    <row r="296" spans="1:5" ht="15.75" customHeight="1">
      <c r="A296" s="9">
        <f t="shared" si="23"/>
        <v>295</v>
      </c>
      <c r="B296" s="8">
        <f t="shared" si="26"/>
        <v>68948.128730653392</v>
      </c>
      <c r="C296" s="9">
        <f>IF(A296&lt;=('Pay off vs Invest'!$B$2-'Pay off vs Invest'!$B$1)*12,Calculations!B296*(1+#REF!/12)^(('Pay off vs Invest'!$B$2-'Pay off vs Invest'!$B$1)*12-A296),0)</f>
        <v>0</v>
      </c>
      <c r="E296" s="9" t="e">
        <f>C296/((1+#REF!/12)^((('Pay off vs Invest'!$B$2-'Pay off vs Invest'!$B$1)*12)-Calculations!A296))</f>
        <v>#REF!</v>
      </c>
    </row>
    <row r="297" spans="1:5" ht="15.75" customHeight="1">
      <c r="A297" s="9">
        <f t="shared" si="23"/>
        <v>296</v>
      </c>
      <c r="B297" s="8">
        <f t="shared" si="26"/>
        <v>68948.128730653392</v>
      </c>
      <c r="C297" s="9">
        <f>IF(A297&lt;=('Pay off vs Invest'!$B$2-'Pay off vs Invest'!$B$1)*12,Calculations!B297*(1+#REF!/12)^(('Pay off vs Invest'!$B$2-'Pay off vs Invest'!$B$1)*12-A297),0)</f>
        <v>0</v>
      </c>
      <c r="E297" s="9" t="e">
        <f>C297/((1+#REF!/12)^((('Pay off vs Invest'!$B$2-'Pay off vs Invest'!$B$1)*12)-Calculations!A297))</f>
        <v>#REF!</v>
      </c>
    </row>
    <row r="298" spans="1:5" ht="15.75" customHeight="1">
      <c r="A298" s="9">
        <f t="shared" si="23"/>
        <v>297</v>
      </c>
      <c r="B298" s="8">
        <f t="shared" si="26"/>
        <v>68948.128730653392</v>
      </c>
      <c r="C298" s="9">
        <f>IF(A298&lt;=('Pay off vs Invest'!$B$2-'Pay off vs Invest'!$B$1)*12,Calculations!B298*(1+#REF!/12)^(('Pay off vs Invest'!$B$2-'Pay off vs Invest'!$B$1)*12-A298),0)</f>
        <v>0</v>
      </c>
      <c r="E298" s="9" t="e">
        <f>C298/((1+#REF!/12)^((('Pay off vs Invest'!$B$2-'Pay off vs Invest'!$B$1)*12)-Calculations!A298))</f>
        <v>#REF!</v>
      </c>
    </row>
    <row r="299" spans="1:5" ht="15.75" customHeight="1">
      <c r="A299" s="9">
        <f t="shared" si="23"/>
        <v>298</v>
      </c>
      <c r="B299" s="8">
        <f t="shared" si="26"/>
        <v>68948.128730653392</v>
      </c>
      <c r="C299" s="9">
        <f>IF(A299&lt;=('Pay off vs Invest'!$B$2-'Pay off vs Invest'!$B$1)*12,Calculations!B299*(1+#REF!/12)^(('Pay off vs Invest'!$B$2-'Pay off vs Invest'!$B$1)*12-A299),0)</f>
        <v>0</v>
      </c>
      <c r="E299" s="9" t="e">
        <f>C299/((1+#REF!/12)^((('Pay off vs Invest'!$B$2-'Pay off vs Invest'!$B$1)*12)-Calculations!A299))</f>
        <v>#REF!</v>
      </c>
    </row>
    <row r="300" spans="1:5" ht="15.75" customHeight="1">
      <c r="A300" s="9">
        <f t="shared" si="23"/>
        <v>299</v>
      </c>
      <c r="B300" s="8">
        <f t="shared" si="26"/>
        <v>68948.128730653392</v>
      </c>
      <c r="C300" s="9">
        <f>IF(A300&lt;=('Pay off vs Invest'!$B$2-'Pay off vs Invest'!$B$1)*12,Calculations!B300*(1+#REF!/12)^(('Pay off vs Invest'!$B$2-'Pay off vs Invest'!$B$1)*12-A300),0)</f>
        <v>0</v>
      </c>
      <c r="E300" s="9" t="e">
        <f>C300/((1+#REF!/12)^((('Pay off vs Invest'!$B$2-'Pay off vs Invest'!$B$1)*12)-Calculations!A300))</f>
        <v>#REF!</v>
      </c>
    </row>
    <row r="301" spans="1:5" ht="15.75" customHeight="1">
      <c r="A301" s="9">
        <f t="shared" si="23"/>
        <v>300</v>
      </c>
      <c r="B301" s="8">
        <f t="shared" si="26"/>
        <v>68948.128730653392</v>
      </c>
      <c r="C301" s="9">
        <f>IF(A301&lt;=('Pay off vs Invest'!$B$2-'Pay off vs Invest'!$B$1)*12,Calculations!B301*(1+#REF!/12)^(('Pay off vs Invest'!$B$2-'Pay off vs Invest'!$B$1)*12-A301),0)</f>
        <v>0</v>
      </c>
      <c r="E301" s="9" t="e">
        <f>C301/((1+#REF!/12)^((('Pay off vs Invest'!$B$2-'Pay off vs Invest'!$B$1)*12)-Calculations!A301))</f>
        <v>#REF!</v>
      </c>
    </row>
    <row r="302" spans="1:5" ht="15.75" customHeight="1">
      <c r="A302" s="9">
        <f t="shared" si="23"/>
        <v>301</v>
      </c>
      <c r="B302" s="8">
        <f>B301*(1+'Pay off vs Invest'!$B$7)</f>
        <v>75842.941603718733</v>
      </c>
      <c r="C302" s="9">
        <f>IF(A302&lt;=('Pay off vs Invest'!$B$2-'Pay off vs Invest'!$B$1)*12,Calculations!B302*(1+#REF!/12)^(('Pay off vs Invest'!$B$2-'Pay off vs Invest'!$B$1)*12-A302),0)</f>
        <v>0</v>
      </c>
      <c r="E302" s="9" t="e">
        <f>C302/((1+#REF!/12)^((('Pay off vs Invest'!$B$2-'Pay off vs Invest'!$B$1)*12)-Calculations!A302))</f>
        <v>#REF!</v>
      </c>
    </row>
    <row r="303" spans="1:5" ht="15.75" customHeight="1">
      <c r="A303" s="9">
        <f t="shared" si="23"/>
        <v>302</v>
      </c>
      <c r="B303" s="8">
        <f t="shared" ref="B303:B313" si="27">B302</f>
        <v>75842.941603718733</v>
      </c>
      <c r="C303" s="9">
        <f>IF(A303&lt;=('Pay off vs Invest'!$B$2-'Pay off vs Invest'!$B$1)*12,Calculations!B303*(1+#REF!/12)^(('Pay off vs Invest'!$B$2-'Pay off vs Invest'!$B$1)*12-A303),0)</f>
        <v>0</v>
      </c>
      <c r="E303" s="9" t="e">
        <f>C303/((1+#REF!/12)^((('Pay off vs Invest'!$B$2-'Pay off vs Invest'!$B$1)*12)-Calculations!A303))</f>
        <v>#REF!</v>
      </c>
    </row>
    <row r="304" spans="1:5" ht="15.75" customHeight="1">
      <c r="A304" s="9">
        <f t="shared" si="23"/>
        <v>303</v>
      </c>
      <c r="B304" s="8">
        <f t="shared" si="27"/>
        <v>75842.941603718733</v>
      </c>
      <c r="C304" s="9">
        <f>IF(A304&lt;=('Pay off vs Invest'!$B$2-'Pay off vs Invest'!$B$1)*12,Calculations!B304*(1+#REF!/12)^(('Pay off vs Invest'!$B$2-'Pay off vs Invest'!$B$1)*12-A304),0)</f>
        <v>0</v>
      </c>
      <c r="E304" s="9" t="e">
        <f>C304/((1+#REF!/12)^((('Pay off vs Invest'!$B$2-'Pay off vs Invest'!$B$1)*12)-Calculations!A304))</f>
        <v>#REF!</v>
      </c>
    </row>
    <row r="305" spans="1:5" ht="15.75" customHeight="1">
      <c r="A305" s="9">
        <f t="shared" si="23"/>
        <v>304</v>
      </c>
      <c r="B305" s="8">
        <f t="shared" si="27"/>
        <v>75842.941603718733</v>
      </c>
      <c r="C305" s="9">
        <f>IF(A305&lt;=('Pay off vs Invest'!$B$2-'Pay off vs Invest'!$B$1)*12,Calculations!B305*(1+#REF!/12)^(('Pay off vs Invest'!$B$2-'Pay off vs Invest'!$B$1)*12-A305),0)</f>
        <v>0</v>
      </c>
      <c r="E305" s="9" t="e">
        <f>C305/((1+#REF!/12)^((('Pay off vs Invest'!$B$2-'Pay off vs Invest'!$B$1)*12)-Calculations!A305))</f>
        <v>#REF!</v>
      </c>
    </row>
    <row r="306" spans="1:5" ht="15.75" customHeight="1">
      <c r="A306" s="9">
        <f t="shared" si="23"/>
        <v>305</v>
      </c>
      <c r="B306" s="8">
        <f t="shared" si="27"/>
        <v>75842.941603718733</v>
      </c>
      <c r="C306" s="9">
        <f>IF(A306&lt;=('Pay off vs Invest'!$B$2-'Pay off vs Invest'!$B$1)*12,Calculations!B306*(1+#REF!/12)^(('Pay off vs Invest'!$B$2-'Pay off vs Invest'!$B$1)*12-A306),0)</f>
        <v>0</v>
      </c>
      <c r="E306" s="9" t="e">
        <f>C306/((1+#REF!/12)^((('Pay off vs Invest'!$B$2-'Pay off vs Invest'!$B$1)*12)-Calculations!A306))</f>
        <v>#REF!</v>
      </c>
    </row>
    <row r="307" spans="1:5" ht="15.75" customHeight="1">
      <c r="A307" s="9">
        <f t="shared" si="23"/>
        <v>306</v>
      </c>
      <c r="B307" s="8">
        <f t="shared" si="27"/>
        <v>75842.941603718733</v>
      </c>
      <c r="C307" s="9">
        <f>IF(A307&lt;=('Pay off vs Invest'!$B$2-'Pay off vs Invest'!$B$1)*12,Calculations!B307*(1+#REF!/12)^(('Pay off vs Invest'!$B$2-'Pay off vs Invest'!$B$1)*12-A307),0)</f>
        <v>0</v>
      </c>
      <c r="E307" s="9" t="e">
        <f>C307/((1+#REF!/12)^((('Pay off vs Invest'!$B$2-'Pay off vs Invest'!$B$1)*12)-Calculations!A307))</f>
        <v>#REF!</v>
      </c>
    </row>
    <row r="308" spans="1:5" ht="15.75" customHeight="1">
      <c r="A308" s="9">
        <f t="shared" si="23"/>
        <v>307</v>
      </c>
      <c r="B308" s="8">
        <f t="shared" si="27"/>
        <v>75842.941603718733</v>
      </c>
      <c r="C308" s="9">
        <f>IF(A308&lt;=('Pay off vs Invest'!$B$2-'Pay off vs Invest'!$B$1)*12,Calculations!B308*(1+#REF!/12)^(('Pay off vs Invest'!$B$2-'Pay off vs Invest'!$B$1)*12-A308),0)</f>
        <v>0</v>
      </c>
      <c r="E308" s="9" t="e">
        <f>C308/((1+#REF!/12)^((('Pay off vs Invest'!$B$2-'Pay off vs Invest'!$B$1)*12)-Calculations!A308))</f>
        <v>#REF!</v>
      </c>
    </row>
    <row r="309" spans="1:5" ht="15.75" customHeight="1">
      <c r="A309" s="9">
        <f t="shared" si="23"/>
        <v>308</v>
      </c>
      <c r="B309" s="8">
        <f t="shared" si="27"/>
        <v>75842.941603718733</v>
      </c>
      <c r="C309" s="9">
        <f>IF(A309&lt;=('Pay off vs Invest'!$B$2-'Pay off vs Invest'!$B$1)*12,Calculations!B309*(1+#REF!/12)^(('Pay off vs Invest'!$B$2-'Pay off vs Invest'!$B$1)*12-A309),0)</f>
        <v>0</v>
      </c>
      <c r="E309" s="9" t="e">
        <f>C309/((1+#REF!/12)^((('Pay off vs Invest'!$B$2-'Pay off vs Invest'!$B$1)*12)-Calculations!A309))</f>
        <v>#REF!</v>
      </c>
    </row>
    <row r="310" spans="1:5" ht="15.75" customHeight="1">
      <c r="A310" s="9">
        <f t="shared" si="23"/>
        <v>309</v>
      </c>
      <c r="B310" s="8">
        <f t="shared" si="27"/>
        <v>75842.941603718733</v>
      </c>
      <c r="C310" s="9">
        <f>IF(A310&lt;=('Pay off vs Invest'!$B$2-'Pay off vs Invest'!$B$1)*12,Calculations!B310*(1+#REF!/12)^(('Pay off vs Invest'!$B$2-'Pay off vs Invest'!$B$1)*12-A310),0)</f>
        <v>0</v>
      </c>
      <c r="E310" s="9" t="e">
        <f>C310/((1+#REF!/12)^((('Pay off vs Invest'!$B$2-'Pay off vs Invest'!$B$1)*12)-Calculations!A310))</f>
        <v>#REF!</v>
      </c>
    </row>
    <row r="311" spans="1:5" ht="15.75" customHeight="1">
      <c r="A311" s="9">
        <f t="shared" si="23"/>
        <v>310</v>
      </c>
      <c r="B311" s="8">
        <f t="shared" si="27"/>
        <v>75842.941603718733</v>
      </c>
      <c r="C311" s="9">
        <f>IF(A311&lt;=('Pay off vs Invest'!$B$2-'Pay off vs Invest'!$B$1)*12,Calculations!B311*(1+#REF!/12)^(('Pay off vs Invest'!$B$2-'Pay off vs Invest'!$B$1)*12-A311),0)</f>
        <v>0</v>
      </c>
      <c r="E311" s="9" t="e">
        <f>C311/((1+#REF!/12)^((('Pay off vs Invest'!$B$2-'Pay off vs Invest'!$B$1)*12)-Calculations!A311))</f>
        <v>#REF!</v>
      </c>
    </row>
    <row r="312" spans="1:5" ht="15.75" customHeight="1">
      <c r="A312" s="9">
        <f t="shared" si="23"/>
        <v>311</v>
      </c>
      <c r="B312" s="8">
        <f t="shared" si="27"/>
        <v>75842.941603718733</v>
      </c>
      <c r="C312" s="9">
        <f>IF(A312&lt;=('Pay off vs Invest'!$B$2-'Pay off vs Invest'!$B$1)*12,Calculations!B312*(1+#REF!/12)^(('Pay off vs Invest'!$B$2-'Pay off vs Invest'!$B$1)*12-A312),0)</f>
        <v>0</v>
      </c>
      <c r="E312" s="9" t="e">
        <f>C312/((1+#REF!/12)^((('Pay off vs Invest'!$B$2-'Pay off vs Invest'!$B$1)*12)-Calculations!A312))</f>
        <v>#REF!</v>
      </c>
    </row>
    <row r="313" spans="1:5" ht="15.75" customHeight="1">
      <c r="A313" s="9">
        <f t="shared" si="23"/>
        <v>312</v>
      </c>
      <c r="B313" s="8">
        <f t="shared" si="27"/>
        <v>75842.941603718733</v>
      </c>
      <c r="C313" s="9">
        <f>IF(A313&lt;=('Pay off vs Invest'!$B$2-'Pay off vs Invest'!$B$1)*12,Calculations!B313*(1+#REF!/12)^(('Pay off vs Invest'!$B$2-'Pay off vs Invest'!$B$1)*12-A313),0)</f>
        <v>0</v>
      </c>
      <c r="E313" s="9" t="e">
        <f>C313/((1+#REF!/12)^((('Pay off vs Invest'!$B$2-'Pay off vs Invest'!$B$1)*12)-Calculations!A313))</f>
        <v>#REF!</v>
      </c>
    </row>
    <row r="314" spans="1:5" ht="15.75" customHeight="1">
      <c r="A314" s="9">
        <f t="shared" si="23"/>
        <v>313</v>
      </c>
      <c r="B314" s="8">
        <f>B313*(1+'Pay off vs Invest'!$B$7)</f>
        <v>83427.235764090612</v>
      </c>
      <c r="C314" s="9">
        <f>IF(A314&lt;=('Pay off vs Invest'!$B$2-'Pay off vs Invest'!$B$1)*12,Calculations!B314*(1+#REF!/12)^(('Pay off vs Invest'!$B$2-'Pay off vs Invest'!$B$1)*12-A314),0)</f>
        <v>0</v>
      </c>
      <c r="E314" s="9" t="e">
        <f>C314/((1+#REF!/12)^((('Pay off vs Invest'!$B$2-'Pay off vs Invest'!$B$1)*12)-Calculations!A314))</f>
        <v>#REF!</v>
      </c>
    </row>
    <row r="315" spans="1:5" ht="15.75" customHeight="1">
      <c r="A315" s="9">
        <f t="shared" si="23"/>
        <v>314</v>
      </c>
      <c r="B315" s="8">
        <f t="shared" ref="B315:B325" si="28">B314</f>
        <v>83427.235764090612</v>
      </c>
      <c r="C315" s="9">
        <f>IF(A315&lt;=('Pay off vs Invest'!$B$2-'Pay off vs Invest'!$B$1)*12,Calculations!B315*(1+#REF!/12)^(('Pay off vs Invest'!$B$2-'Pay off vs Invest'!$B$1)*12-A315),0)</f>
        <v>0</v>
      </c>
      <c r="E315" s="9" t="e">
        <f>C315/((1+#REF!/12)^((('Pay off vs Invest'!$B$2-'Pay off vs Invest'!$B$1)*12)-Calculations!A315))</f>
        <v>#REF!</v>
      </c>
    </row>
    <row r="316" spans="1:5" ht="15.75" customHeight="1">
      <c r="A316" s="9">
        <f t="shared" si="23"/>
        <v>315</v>
      </c>
      <c r="B316" s="8">
        <f t="shared" si="28"/>
        <v>83427.235764090612</v>
      </c>
      <c r="C316" s="9">
        <f>IF(A316&lt;=('Pay off vs Invest'!$B$2-'Pay off vs Invest'!$B$1)*12,Calculations!B316*(1+#REF!/12)^(('Pay off vs Invest'!$B$2-'Pay off vs Invest'!$B$1)*12-A316),0)</f>
        <v>0</v>
      </c>
      <c r="E316" s="9" t="e">
        <f>C316/((1+#REF!/12)^((('Pay off vs Invest'!$B$2-'Pay off vs Invest'!$B$1)*12)-Calculations!A316))</f>
        <v>#REF!</v>
      </c>
    </row>
    <row r="317" spans="1:5" ht="15.75" customHeight="1">
      <c r="A317" s="9">
        <f t="shared" si="23"/>
        <v>316</v>
      </c>
      <c r="B317" s="8">
        <f t="shared" si="28"/>
        <v>83427.235764090612</v>
      </c>
      <c r="C317" s="9">
        <f>IF(A317&lt;=('Pay off vs Invest'!$B$2-'Pay off vs Invest'!$B$1)*12,Calculations!B317*(1+#REF!/12)^(('Pay off vs Invest'!$B$2-'Pay off vs Invest'!$B$1)*12-A317),0)</f>
        <v>0</v>
      </c>
      <c r="E317" s="9" t="e">
        <f>C317/((1+#REF!/12)^((('Pay off vs Invest'!$B$2-'Pay off vs Invest'!$B$1)*12)-Calculations!A317))</f>
        <v>#REF!</v>
      </c>
    </row>
    <row r="318" spans="1:5" ht="15.75" customHeight="1">
      <c r="A318" s="9">
        <f t="shared" si="23"/>
        <v>317</v>
      </c>
      <c r="B318" s="8">
        <f t="shared" si="28"/>
        <v>83427.235764090612</v>
      </c>
      <c r="C318" s="9">
        <f>IF(A318&lt;=('Pay off vs Invest'!$B$2-'Pay off vs Invest'!$B$1)*12,Calculations!B318*(1+#REF!/12)^(('Pay off vs Invest'!$B$2-'Pay off vs Invest'!$B$1)*12-A318),0)</f>
        <v>0</v>
      </c>
      <c r="E318" s="9" t="e">
        <f>C318/((1+#REF!/12)^((('Pay off vs Invest'!$B$2-'Pay off vs Invest'!$B$1)*12)-Calculations!A318))</f>
        <v>#REF!</v>
      </c>
    </row>
    <row r="319" spans="1:5" ht="15.75" customHeight="1">
      <c r="A319" s="9">
        <f t="shared" si="23"/>
        <v>318</v>
      </c>
      <c r="B319" s="8">
        <f t="shared" si="28"/>
        <v>83427.235764090612</v>
      </c>
      <c r="C319" s="9">
        <f>IF(A319&lt;=('Pay off vs Invest'!$B$2-'Pay off vs Invest'!$B$1)*12,Calculations!B319*(1+#REF!/12)^(('Pay off vs Invest'!$B$2-'Pay off vs Invest'!$B$1)*12-A319),0)</f>
        <v>0</v>
      </c>
      <c r="E319" s="9" t="e">
        <f>C319/((1+#REF!/12)^((('Pay off vs Invest'!$B$2-'Pay off vs Invest'!$B$1)*12)-Calculations!A319))</f>
        <v>#REF!</v>
      </c>
    </row>
    <row r="320" spans="1:5" ht="15.75" customHeight="1">
      <c r="A320" s="9">
        <f t="shared" si="23"/>
        <v>319</v>
      </c>
      <c r="B320" s="8">
        <f t="shared" si="28"/>
        <v>83427.235764090612</v>
      </c>
      <c r="C320" s="9">
        <f>IF(A320&lt;=('Pay off vs Invest'!$B$2-'Pay off vs Invest'!$B$1)*12,Calculations!B320*(1+#REF!/12)^(('Pay off vs Invest'!$B$2-'Pay off vs Invest'!$B$1)*12-A320),0)</f>
        <v>0</v>
      </c>
      <c r="E320" s="9" t="e">
        <f>C320/((1+#REF!/12)^((('Pay off vs Invest'!$B$2-'Pay off vs Invest'!$B$1)*12)-Calculations!A320))</f>
        <v>#REF!</v>
      </c>
    </row>
    <row r="321" spans="1:5" ht="15.75" customHeight="1">
      <c r="A321" s="9">
        <f t="shared" si="23"/>
        <v>320</v>
      </c>
      <c r="B321" s="8">
        <f t="shared" si="28"/>
        <v>83427.235764090612</v>
      </c>
      <c r="C321" s="9">
        <f>IF(A321&lt;=('Pay off vs Invest'!$B$2-'Pay off vs Invest'!$B$1)*12,Calculations!B321*(1+#REF!/12)^(('Pay off vs Invest'!$B$2-'Pay off vs Invest'!$B$1)*12-A321),0)</f>
        <v>0</v>
      </c>
      <c r="E321" s="9" t="e">
        <f>C321/((1+#REF!/12)^((('Pay off vs Invest'!$B$2-'Pay off vs Invest'!$B$1)*12)-Calculations!A321))</f>
        <v>#REF!</v>
      </c>
    </row>
    <row r="322" spans="1:5" ht="15.75" customHeight="1">
      <c r="A322" s="9">
        <f t="shared" si="23"/>
        <v>321</v>
      </c>
      <c r="B322" s="8">
        <f t="shared" si="28"/>
        <v>83427.235764090612</v>
      </c>
      <c r="C322" s="9">
        <f>IF(A322&lt;=('Pay off vs Invest'!$B$2-'Pay off vs Invest'!$B$1)*12,Calculations!B322*(1+#REF!/12)^(('Pay off vs Invest'!$B$2-'Pay off vs Invest'!$B$1)*12-A322),0)</f>
        <v>0</v>
      </c>
      <c r="E322" s="9" t="e">
        <f>C322/((1+#REF!/12)^((('Pay off vs Invest'!$B$2-'Pay off vs Invest'!$B$1)*12)-Calculations!A322))</f>
        <v>#REF!</v>
      </c>
    </row>
    <row r="323" spans="1:5" ht="15.75" customHeight="1">
      <c r="A323" s="9">
        <f t="shared" si="23"/>
        <v>322</v>
      </c>
      <c r="B323" s="8">
        <f t="shared" si="28"/>
        <v>83427.235764090612</v>
      </c>
      <c r="C323" s="9">
        <f>IF(A323&lt;=('Pay off vs Invest'!$B$2-'Pay off vs Invest'!$B$1)*12,Calculations!B323*(1+#REF!/12)^(('Pay off vs Invest'!$B$2-'Pay off vs Invest'!$B$1)*12-A323),0)</f>
        <v>0</v>
      </c>
      <c r="E323" s="9" t="e">
        <f>C323/((1+#REF!/12)^((('Pay off vs Invest'!$B$2-'Pay off vs Invest'!$B$1)*12)-Calculations!A323))</f>
        <v>#REF!</v>
      </c>
    </row>
    <row r="324" spans="1:5" ht="15.75" customHeight="1">
      <c r="A324" s="9">
        <f t="shared" si="23"/>
        <v>323</v>
      </c>
      <c r="B324" s="8">
        <f t="shared" si="28"/>
        <v>83427.235764090612</v>
      </c>
      <c r="C324" s="9">
        <f>IF(A324&lt;=('Pay off vs Invest'!$B$2-'Pay off vs Invest'!$B$1)*12,Calculations!B324*(1+#REF!/12)^(('Pay off vs Invest'!$B$2-'Pay off vs Invest'!$B$1)*12-A324),0)</f>
        <v>0</v>
      </c>
      <c r="E324" s="9" t="e">
        <f>C324/((1+#REF!/12)^((('Pay off vs Invest'!$B$2-'Pay off vs Invest'!$B$1)*12)-Calculations!A324))</f>
        <v>#REF!</v>
      </c>
    </row>
    <row r="325" spans="1:5" ht="15.75" customHeight="1">
      <c r="A325" s="9">
        <f t="shared" si="23"/>
        <v>324</v>
      </c>
      <c r="B325" s="8">
        <f t="shared" si="28"/>
        <v>83427.235764090612</v>
      </c>
      <c r="C325" s="9">
        <f>IF(A325&lt;=('Pay off vs Invest'!$B$2-'Pay off vs Invest'!$B$1)*12,Calculations!B325*(1+#REF!/12)^(('Pay off vs Invest'!$B$2-'Pay off vs Invest'!$B$1)*12-A325),0)</f>
        <v>0</v>
      </c>
      <c r="E325" s="9" t="e">
        <f>C325/((1+#REF!/12)^((('Pay off vs Invest'!$B$2-'Pay off vs Invest'!$B$1)*12)-Calculations!A325))</f>
        <v>#REF!</v>
      </c>
    </row>
    <row r="326" spans="1:5" ht="15.75" customHeight="1">
      <c r="A326" s="9">
        <f t="shared" si="23"/>
        <v>325</v>
      </c>
      <c r="B326" s="8">
        <f>B325*(1+'Pay off vs Invest'!$B$7)</f>
        <v>91769.959340499685</v>
      </c>
      <c r="C326" s="9">
        <f>IF(A326&lt;=('Pay off vs Invest'!$B$2-'Pay off vs Invest'!$B$1)*12,Calculations!B326*(1+#REF!/12)^(('Pay off vs Invest'!$B$2-'Pay off vs Invest'!$B$1)*12-A326),0)</f>
        <v>0</v>
      </c>
      <c r="E326" s="9" t="e">
        <f>C326/((1+#REF!/12)^((('Pay off vs Invest'!$B$2-'Pay off vs Invest'!$B$1)*12)-Calculations!A326))</f>
        <v>#REF!</v>
      </c>
    </row>
    <row r="327" spans="1:5" ht="15.75" customHeight="1">
      <c r="A327" s="9">
        <f t="shared" si="23"/>
        <v>326</v>
      </c>
      <c r="B327" s="8">
        <f t="shared" ref="B327:B337" si="29">B326</f>
        <v>91769.959340499685</v>
      </c>
      <c r="C327" s="9">
        <f>IF(A327&lt;=('Pay off vs Invest'!$B$2-'Pay off vs Invest'!$B$1)*12,Calculations!B327*(1+#REF!/12)^(('Pay off vs Invest'!$B$2-'Pay off vs Invest'!$B$1)*12-A327),0)</f>
        <v>0</v>
      </c>
      <c r="E327" s="9" t="e">
        <f>C327/((1+#REF!/12)^((('Pay off vs Invest'!$B$2-'Pay off vs Invest'!$B$1)*12)-Calculations!A327))</f>
        <v>#REF!</v>
      </c>
    </row>
    <row r="328" spans="1:5" ht="15.75" customHeight="1">
      <c r="A328" s="9">
        <f t="shared" si="23"/>
        <v>327</v>
      </c>
      <c r="B328" s="8">
        <f t="shared" si="29"/>
        <v>91769.959340499685</v>
      </c>
      <c r="C328" s="9">
        <f>IF(A328&lt;=('Pay off vs Invest'!$B$2-'Pay off vs Invest'!$B$1)*12,Calculations!B328*(1+#REF!/12)^(('Pay off vs Invest'!$B$2-'Pay off vs Invest'!$B$1)*12-A328),0)</f>
        <v>0</v>
      </c>
      <c r="E328" s="9" t="e">
        <f>C328/((1+#REF!/12)^((('Pay off vs Invest'!$B$2-'Pay off vs Invest'!$B$1)*12)-Calculations!A328))</f>
        <v>#REF!</v>
      </c>
    </row>
    <row r="329" spans="1:5" ht="15.75" customHeight="1">
      <c r="A329" s="9">
        <f t="shared" si="23"/>
        <v>328</v>
      </c>
      <c r="B329" s="8">
        <f t="shared" si="29"/>
        <v>91769.959340499685</v>
      </c>
      <c r="C329" s="9">
        <f>IF(A329&lt;=('Pay off vs Invest'!$B$2-'Pay off vs Invest'!$B$1)*12,Calculations!B329*(1+#REF!/12)^(('Pay off vs Invest'!$B$2-'Pay off vs Invest'!$B$1)*12-A329),0)</f>
        <v>0</v>
      </c>
      <c r="E329" s="9" t="e">
        <f>C329/((1+#REF!/12)^((('Pay off vs Invest'!$B$2-'Pay off vs Invest'!$B$1)*12)-Calculations!A329))</f>
        <v>#REF!</v>
      </c>
    </row>
    <row r="330" spans="1:5" ht="15.75" customHeight="1">
      <c r="A330" s="9">
        <f t="shared" si="23"/>
        <v>329</v>
      </c>
      <c r="B330" s="8">
        <f t="shared" si="29"/>
        <v>91769.959340499685</v>
      </c>
      <c r="C330" s="9">
        <f>IF(A330&lt;=('Pay off vs Invest'!$B$2-'Pay off vs Invest'!$B$1)*12,Calculations!B330*(1+#REF!/12)^(('Pay off vs Invest'!$B$2-'Pay off vs Invest'!$B$1)*12-A330),0)</f>
        <v>0</v>
      </c>
      <c r="E330" s="9" t="e">
        <f>C330/((1+#REF!/12)^((('Pay off vs Invest'!$B$2-'Pay off vs Invest'!$B$1)*12)-Calculations!A330))</f>
        <v>#REF!</v>
      </c>
    </row>
    <row r="331" spans="1:5" ht="15.75" customHeight="1">
      <c r="A331" s="9">
        <f t="shared" si="23"/>
        <v>330</v>
      </c>
      <c r="B331" s="8">
        <f t="shared" si="29"/>
        <v>91769.959340499685</v>
      </c>
      <c r="C331" s="9">
        <f>IF(A331&lt;=('Pay off vs Invest'!$B$2-'Pay off vs Invest'!$B$1)*12,Calculations!B331*(1+#REF!/12)^(('Pay off vs Invest'!$B$2-'Pay off vs Invest'!$B$1)*12-A331),0)</f>
        <v>0</v>
      </c>
      <c r="E331" s="9" t="e">
        <f>C331/((1+#REF!/12)^((('Pay off vs Invest'!$B$2-'Pay off vs Invest'!$B$1)*12)-Calculations!A331))</f>
        <v>#REF!</v>
      </c>
    </row>
    <row r="332" spans="1:5" ht="15.75" customHeight="1">
      <c r="A332" s="9">
        <f t="shared" si="23"/>
        <v>331</v>
      </c>
      <c r="B332" s="8">
        <f t="shared" si="29"/>
        <v>91769.959340499685</v>
      </c>
      <c r="C332" s="9">
        <f>IF(A332&lt;=('Pay off vs Invest'!$B$2-'Pay off vs Invest'!$B$1)*12,Calculations!B332*(1+#REF!/12)^(('Pay off vs Invest'!$B$2-'Pay off vs Invest'!$B$1)*12-A332),0)</f>
        <v>0</v>
      </c>
      <c r="E332" s="9" t="e">
        <f>C332/((1+#REF!/12)^((('Pay off vs Invest'!$B$2-'Pay off vs Invest'!$B$1)*12)-Calculations!A332))</f>
        <v>#REF!</v>
      </c>
    </row>
    <row r="333" spans="1:5" ht="15.75" customHeight="1">
      <c r="A333" s="9">
        <f t="shared" si="23"/>
        <v>332</v>
      </c>
      <c r="B333" s="8">
        <f t="shared" si="29"/>
        <v>91769.959340499685</v>
      </c>
      <c r="C333" s="9">
        <f>IF(A333&lt;=('Pay off vs Invest'!$B$2-'Pay off vs Invest'!$B$1)*12,Calculations!B333*(1+#REF!/12)^(('Pay off vs Invest'!$B$2-'Pay off vs Invest'!$B$1)*12-A333),0)</f>
        <v>0</v>
      </c>
      <c r="E333" s="9" t="e">
        <f>C333/((1+#REF!/12)^((('Pay off vs Invest'!$B$2-'Pay off vs Invest'!$B$1)*12)-Calculations!A333))</f>
        <v>#REF!</v>
      </c>
    </row>
    <row r="334" spans="1:5" ht="15.75" customHeight="1">
      <c r="A334" s="9">
        <f t="shared" si="23"/>
        <v>333</v>
      </c>
      <c r="B334" s="8">
        <f t="shared" si="29"/>
        <v>91769.959340499685</v>
      </c>
      <c r="C334" s="9">
        <f>IF(A334&lt;=('Pay off vs Invest'!$B$2-'Pay off vs Invest'!$B$1)*12,Calculations!B334*(1+#REF!/12)^(('Pay off vs Invest'!$B$2-'Pay off vs Invest'!$B$1)*12-A334),0)</f>
        <v>0</v>
      </c>
      <c r="E334" s="9" t="e">
        <f>C334/((1+#REF!/12)^((('Pay off vs Invest'!$B$2-'Pay off vs Invest'!$B$1)*12)-Calculations!A334))</f>
        <v>#REF!</v>
      </c>
    </row>
    <row r="335" spans="1:5" ht="15.75" customHeight="1">
      <c r="A335" s="9">
        <f t="shared" si="23"/>
        <v>334</v>
      </c>
      <c r="B335" s="8">
        <f t="shared" si="29"/>
        <v>91769.959340499685</v>
      </c>
      <c r="C335" s="9">
        <f>IF(A335&lt;=('Pay off vs Invest'!$B$2-'Pay off vs Invest'!$B$1)*12,Calculations!B335*(1+#REF!/12)^(('Pay off vs Invest'!$B$2-'Pay off vs Invest'!$B$1)*12-A335),0)</f>
        <v>0</v>
      </c>
      <c r="E335" s="9" t="e">
        <f>C335/((1+#REF!/12)^((('Pay off vs Invest'!$B$2-'Pay off vs Invest'!$B$1)*12)-Calculations!A335))</f>
        <v>#REF!</v>
      </c>
    </row>
    <row r="336" spans="1:5" ht="15.75" customHeight="1">
      <c r="A336" s="9">
        <f t="shared" si="23"/>
        <v>335</v>
      </c>
      <c r="B336" s="8">
        <f t="shared" si="29"/>
        <v>91769.959340499685</v>
      </c>
      <c r="C336" s="9">
        <f>IF(A336&lt;=('Pay off vs Invest'!$B$2-'Pay off vs Invest'!$B$1)*12,Calculations!B336*(1+#REF!/12)^(('Pay off vs Invest'!$B$2-'Pay off vs Invest'!$B$1)*12-A336),0)</f>
        <v>0</v>
      </c>
      <c r="E336" s="9" t="e">
        <f>C336/((1+#REF!/12)^((('Pay off vs Invest'!$B$2-'Pay off vs Invest'!$B$1)*12)-Calculations!A336))</f>
        <v>#REF!</v>
      </c>
    </row>
    <row r="337" spans="1:5" ht="15.75" customHeight="1">
      <c r="A337" s="9">
        <f t="shared" si="23"/>
        <v>336</v>
      </c>
      <c r="B337" s="8">
        <f t="shared" si="29"/>
        <v>91769.959340499685</v>
      </c>
      <c r="C337" s="9">
        <f>IF(A337&lt;=('Pay off vs Invest'!$B$2-'Pay off vs Invest'!$B$1)*12,Calculations!B337*(1+#REF!/12)^(('Pay off vs Invest'!$B$2-'Pay off vs Invest'!$B$1)*12-A337),0)</f>
        <v>0</v>
      </c>
      <c r="E337" s="9" t="e">
        <f>C337/((1+#REF!/12)^((('Pay off vs Invest'!$B$2-'Pay off vs Invest'!$B$1)*12)-Calculations!A337))</f>
        <v>#REF!</v>
      </c>
    </row>
    <row r="338" spans="1:5" ht="15.75" customHeight="1">
      <c r="A338" s="9">
        <f t="shared" si="23"/>
        <v>337</v>
      </c>
      <c r="B338" s="8">
        <f>B337*(1+'Pay off vs Invest'!$B$7)</f>
        <v>100946.95527454966</v>
      </c>
      <c r="C338" s="9">
        <f>IF(A338&lt;=('Pay off vs Invest'!$B$2-'Pay off vs Invest'!$B$1)*12,Calculations!B338*(1+#REF!/12)^(('Pay off vs Invest'!$B$2-'Pay off vs Invest'!$B$1)*12-A338),0)</f>
        <v>0</v>
      </c>
      <c r="E338" s="9" t="e">
        <f>C338/((1+#REF!/12)^((('Pay off vs Invest'!$B$2-'Pay off vs Invest'!$B$1)*12)-Calculations!A338))</f>
        <v>#REF!</v>
      </c>
    </row>
    <row r="339" spans="1:5" ht="15.75" customHeight="1">
      <c r="A339" s="9">
        <f t="shared" si="23"/>
        <v>338</v>
      </c>
      <c r="B339" s="8">
        <f t="shared" ref="B339:B349" si="30">B338</f>
        <v>100946.95527454966</v>
      </c>
      <c r="C339" s="9">
        <f>IF(A339&lt;=('Pay off vs Invest'!$B$2-'Pay off vs Invest'!$B$1)*12,Calculations!B339*(1+#REF!/12)^(('Pay off vs Invest'!$B$2-'Pay off vs Invest'!$B$1)*12-A339),0)</f>
        <v>0</v>
      </c>
      <c r="E339" s="9" t="e">
        <f>C339/((1+#REF!/12)^((('Pay off vs Invest'!$B$2-'Pay off vs Invest'!$B$1)*12)-Calculations!A339))</f>
        <v>#REF!</v>
      </c>
    </row>
    <row r="340" spans="1:5" ht="15.75" customHeight="1">
      <c r="A340" s="9">
        <f t="shared" si="23"/>
        <v>339</v>
      </c>
      <c r="B340" s="8">
        <f t="shared" si="30"/>
        <v>100946.95527454966</v>
      </c>
      <c r="C340" s="9">
        <f>IF(A340&lt;=('Pay off vs Invest'!$B$2-'Pay off vs Invest'!$B$1)*12,Calculations!B340*(1+#REF!/12)^(('Pay off vs Invest'!$B$2-'Pay off vs Invest'!$B$1)*12-A340),0)</f>
        <v>0</v>
      </c>
      <c r="E340" s="9" t="e">
        <f>C340/((1+#REF!/12)^((('Pay off vs Invest'!$B$2-'Pay off vs Invest'!$B$1)*12)-Calculations!A340))</f>
        <v>#REF!</v>
      </c>
    </row>
    <row r="341" spans="1:5" ht="15.75" customHeight="1">
      <c r="A341" s="9">
        <f t="shared" si="23"/>
        <v>340</v>
      </c>
      <c r="B341" s="8">
        <f t="shared" si="30"/>
        <v>100946.95527454966</v>
      </c>
      <c r="C341" s="9">
        <f>IF(A341&lt;=('Pay off vs Invest'!$B$2-'Pay off vs Invest'!$B$1)*12,Calculations!B341*(1+#REF!/12)^(('Pay off vs Invest'!$B$2-'Pay off vs Invest'!$B$1)*12-A341),0)</f>
        <v>0</v>
      </c>
      <c r="E341" s="9" t="e">
        <f>C341/((1+#REF!/12)^((('Pay off vs Invest'!$B$2-'Pay off vs Invest'!$B$1)*12)-Calculations!A341))</f>
        <v>#REF!</v>
      </c>
    </row>
    <row r="342" spans="1:5" ht="15.75" customHeight="1">
      <c r="A342" s="9">
        <f t="shared" si="23"/>
        <v>341</v>
      </c>
      <c r="B342" s="8">
        <f t="shared" si="30"/>
        <v>100946.95527454966</v>
      </c>
      <c r="C342" s="9">
        <f>IF(A342&lt;=('Pay off vs Invest'!$B$2-'Pay off vs Invest'!$B$1)*12,Calculations!B342*(1+#REF!/12)^(('Pay off vs Invest'!$B$2-'Pay off vs Invest'!$B$1)*12-A342),0)</f>
        <v>0</v>
      </c>
      <c r="E342" s="9" t="e">
        <f>C342/((1+#REF!/12)^((('Pay off vs Invest'!$B$2-'Pay off vs Invest'!$B$1)*12)-Calculations!A342))</f>
        <v>#REF!</v>
      </c>
    </row>
    <row r="343" spans="1:5" ht="15.75" customHeight="1">
      <c r="A343" s="9">
        <f t="shared" si="23"/>
        <v>342</v>
      </c>
      <c r="B343" s="8">
        <f t="shared" si="30"/>
        <v>100946.95527454966</v>
      </c>
      <c r="C343" s="9">
        <f>IF(A343&lt;=('Pay off vs Invest'!$B$2-'Pay off vs Invest'!$B$1)*12,Calculations!B343*(1+#REF!/12)^(('Pay off vs Invest'!$B$2-'Pay off vs Invest'!$B$1)*12-A343),0)</f>
        <v>0</v>
      </c>
      <c r="E343" s="9" t="e">
        <f>C343/((1+#REF!/12)^((('Pay off vs Invest'!$B$2-'Pay off vs Invest'!$B$1)*12)-Calculations!A343))</f>
        <v>#REF!</v>
      </c>
    </row>
    <row r="344" spans="1:5" ht="15.75" customHeight="1">
      <c r="A344" s="9">
        <f t="shared" si="23"/>
        <v>343</v>
      </c>
      <c r="B344" s="8">
        <f t="shared" si="30"/>
        <v>100946.95527454966</v>
      </c>
      <c r="C344" s="9">
        <f>IF(A344&lt;=('Pay off vs Invest'!$B$2-'Pay off vs Invest'!$B$1)*12,Calculations!B344*(1+#REF!/12)^(('Pay off vs Invest'!$B$2-'Pay off vs Invest'!$B$1)*12-A344),0)</f>
        <v>0</v>
      </c>
      <c r="E344" s="9" t="e">
        <f>C344/((1+#REF!/12)^((('Pay off vs Invest'!$B$2-'Pay off vs Invest'!$B$1)*12)-Calculations!A344))</f>
        <v>#REF!</v>
      </c>
    </row>
    <row r="345" spans="1:5" ht="15.75" customHeight="1">
      <c r="A345" s="9">
        <f t="shared" si="23"/>
        <v>344</v>
      </c>
      <c r="B345" s="8">
        <f t="shared" si="30"/>
        <v>100946.95527454966</v>
      </c>
      <c r="C345" s="9">
        <f>IF(A345&lt;=('Pay off vs Invest'!$B$2-'Pay off vs Invest'!$B$1)*12,Calculations!B345*(1+#REF!/12)^(('Pay off vs Invest'!$B$2-'Pay off vs Invest'!$B$1)*12-A345),0)</f>
        <v>0</v>
      </c>
      <c r="E345" s="9" t="e">
        <f>C345/((1+#REF!/12)^((('Pay off vs Invest'!$B$2-'Pay off vs Invest'!$B$1)*12)-Calculations!A345))</f>
        <v>#REF!</v>
      </c>
    </row>
    <row r="346" spans="1:5" ht="15.75" customHeight="1">
      <c r="A346" s="9">
        <f t="shared" si="23"/>
        <v>345</v>
      </c>
      <c r="B346" s="8">
        <f t="shared" si="30"/>
        <v>100946.95527454966</v>
      </c>
      <c r="C346" s="9">
        <f>IF(A346&lt;=('Pay off vs Invest'!$B$2-'Pay off vs Invest'!$B$1)*12,Calculations!B346*(1+#REF!/12)^(('Pay off vs Invest'!$B$2-'Pay off vs Invest'!$B$1)*12-A346),0)</f>
        <v>0</v>
      </c>
      <c r="E346" s="9" t="e">
        <f>C346/((1+#REF!/12)^((('Pay off vs Invest'!$B$2-'Pay off vs Invest'!$B$1)*12)-Calculations!A346))</f>
        <v>#REF!</v>
      </c>
    </row>
    <row r="347" spans="1:5" ht="15.75" customHeight="1">
      <c r="A347" s="9">
        <f t="shared" si="23"/>
        <v>346</v>
      </c>
      <c r="B347" s="8">
        <f t="shared" si="30"/>
        <v>100946.95527454966</v>
      </c>
      <c r="C347" s="9">
        <f>IF(A347&lt;=('Pay off vs Invest'!$B$2-'Pay off vs Invest'!$B$1)*12,Calculations!B347*(1+#REF!/12)^(('Pay off vs Invest'!$B$2-'Pay off vs Invest'!$B$1)*12-A347),0)</f>
        <v>0</v>
      </c>
      <c r="E347" s="9" t="e">
        <f>C347/((1+#REF!/12)^((('Pay off vs Invest'!$B$2-'Pay off vs Invest'!$B$1)*12)-Calculations!A347))</f>
        <v>#REF!</v>
      </c>
    </row>
    <row r="348" spans="1:5" ht="15.75" customHeight="1">
      <c r="A348" s="9">
        <f t="shared" si="23"/>
        <v>347</v>
      </c>
      <c r="B348" s="8">
        <f t="shared" si="30"/>
        <v>100946.95527454966</v>
      </c>
      <c r="C348" s="9">
        <f>IF(A348&lt;=('Pay off vs Invest'!$B$2-'Pay off vs Invest'!$B$1)*12,Calculations!B348*(1+#REF!/12)^(('Pay off vs Invest'!$B$2-'Pay off vs Invest'!$B$1)*12-A348),0)</f>
        <v>0</v>
      </c>
      <c r="E348" s="9" t="e">
        <f>C348/((1+#REF!/12)^((('Pay off vs Invest'!$B$2-'Pay off vs Invest'!$B$1)*12)-Calculations!A348))</f>
        <v>#REF!</v>
      </c>
    </row>
    <row r="349" spans="1:5" ht="15.75" customHeight="1">
      <c r="A349" s="9">
        <f t="shared" si="23"/>
        <v>348</v>
      </c>
      <c r="B349" s="8">
        <f t="shared" si="30"/>
        <v>100946.95527454966</v>
      </c>
      <c r="C349" s="9">
        <f>IF(A349&lt;=('Pay off vs Invest'!$B$2-'Pay off vs Invest'!$B$1)*12,Calculations!B349*(1+#REF!/12)^(('Pay off vs Invest'!$B$2-'Pay off vs Invest'!$B$1)*12-A349),0)</f>
        <v>0</v>
      </c>
      <c r="E349" s="9" t="e">
        <f>C349/((1+#REF!/12)^((('Pay off vs Invest'!$B$2-'Pay off vs Invest'!$B$1)*12)-Calculations!A349))</f>
        <v>#REF!</v>
      </c>
    </row>
    <row r="350" spans="1:5" ht="15.75" customHeight="1">
      <c r="A350" s="9">
        <f t="shared" si="23"/>
        <v>349</v>
      </c>
      <c r="B350" s="8">
        <f>B349*(1+'Pay off vs Invest'!$B$7)</f>
        <v>111041.65080200463</v>
      </c>
      <c r="C350" s="9">
        <f>IF(A350&lt;=('Pay off vs Invest'!$B$2-'Pay off vs Invest'!$B$1)*12,Calculations!B350*(1+#REF!/12)^(('Pay off vs Invest'!$B$2-'Pay off vs Invest'!$B$1)*12-A350),0)</f>
        <v>0</v>
      </c>
      <c r="E350" s="9" t="e">
        <f>C350/((1+#REF!/12)^((('Pay off vs Invest'!$B$2-'Pay off vs Invest'!$B$1)*12)-Calculations!A350))</f>
        <v>#REF!</v>
      </c>
    </row>
    <row r="351" spans="1:5" ht="15.75" customHeight="1">
      <c r="A351" s="9">
        <f t="shared" si="23"/>
        <v>350</v>
      </c>
      <c r="B351" s="8">
        <f t="shared" ref="B351:B361" si="31">B350</f>
        <v>111041.65080200463</v>
      </c>
      <c r="C351" s="9">
        <f>IF(A351&lt;=('Pay off vs Invest'!$B$2-'Pay off vs Invest'!$B$1)*12,Calculations!B351*(1+#REF!/12)^(('Pay off vs Invest'!$B$2-'Pay off vs Invest'!$B$1)*12-A351),0)</f>
        <v>0</v>
      </c>
      <c r="E351" s="9" t="e">
        <f>C351/((1+#REF!/12)^((('Pay off vs Invest'!$B$2-'Pay off vs Invest'!$B$1)*12)-Calculations!A351))</f>
        <v>#REF!</v>
      </c>
    </row>
    <row r="352" spans="1:5" ht="15.75" customHeight="1">
      <c r="A352" s="9">
        <f t="shared" si="23"/>
        <v>351</v>
      </c>
      <c r="B352" s="8">
        <f t="shared" si="31"/>
        <v>111041.65080200463</v>
      </c>
      <c r="C352" s="9">
        <f>IF(A352&lt;=('Pay off vs Invest'!$B$2-'Pay off vs Invest'!$B$1)*12,Calculations!B352*(1+#REF!/12)^(('Pay off vs Invest'!$B$2-'Pay off vs Invest'!$B$1)*12-A352),0)</f>
        <v>0</v>
      </c>
      <c r="E352" s="9" t="e">
        <f>C352/((1+#REF!/12)^((('Pay off vs Invest'!$B$2-'Pay off vs Invest'!$B$1)*12)-Calculations!A352))</f>
        <v>#REF!</v>
      </c>
    </row>
    <row r="353" spans="1:5" ht="15.75" customHeight="1">
      <c r="A353" s="9">
        <f t="shared" si="23"/>
        <v>352</v>
      </c>
      <c r="B353" s="8">
        <f t="shared" si="31"/>
        <v>111041.65080200463</v>
      </c>
      <c r="C353" s="9">
        <f>IF(A353&lt;=('Pay off vs Invest'!$B$2-'Pay off vs Invest'!$B$1)*12,Calculations!B353*(1+#REF!/12)^(('Pay off vs Invest'!$B$2-'Pay off vs Invest'!$B$1)*12-A353),0)</f>
        <v>0</v>
      </c>
      <c r="E353" s="9" t="e">
        <f>C353/((1+#REF!/12)^((('Pay off vs Invest'!$B$2-'Pay off vs Invest'!$B$1)*12)-Calculations!A353))</f>
        <v>#REF!</v>
      </c>
    </row>
    <row r="354" spans="1:5" ht="15.75" customHeight="1">
      <c r="A354" s="9">
        <f t="shared" si="23"/>
        <v>353</v>
      </c>
      <c r="B354" s="8">
        <f t="shared" si="31"/>
        <v>111041.65080200463</v>
      </c>
      <c r="C354" s="9">
        <f>IF(A354&lt;=('Pay off vs Invest'!$B$2-'Pay off vs Invest'!$B$1)*12,Calculations!B354*(1+#REF!/12)^(('Pay off vs Invest'!$B$2-'Pay off vs Invest'!$B$1)*12-A354),0)</f>
        <v>0</v>
      </c>
      <c r="E354" s="9" t="e">
        <f>C354/((1+#REF!/12)^((('Pay off vs Invest'!$B$2-'Pay off vs Invest'!$B$1)*12)-Calculations!A354))</f>
        <v>#REF!</v>
      </c>
    </row>
    <row r="355" spans="1:5" ht="15.75" customHeight="1">
      <c r="A355" s="9">
        <f t="shared" si="23"/>
        <v>354</v>
      </c>
      <c r="B355" s="8">
        <f t="shared" si="31"/>
        <v>111041.65080200463</v>
      </c>
      <c r="C355" s="9">
        <f>IF(A355&lt;=('Pay off vs Invest'!$B$2-'Pay off vs Invest'!$B$1)*12,Calculations!B355*(1+#REF!/12)^(('Pay off vs Invest'!$B$2-'Pay off vs Invest'!$B$1)*12-A355),0)</f>
        <v>0</v>
      </c>
      <c r="E355" s="9" t="e">
        <f>C355/((1+#REF!/12)^((('Pay off vs Invest'!$B$2-'Pay off vs Invest'!$B$1)*12)-Calculations!A355))</f>
        <v>#REF!</v>
      </c>
    </row>
    <row r="356" spans="1:5" ht="15.75" customHeight="1">
      <c r="A356" s="9">
        <f t="shared" si="23"/>
        <v>355</v>
      </c>
      <c r="B356" s="8">
        <f t="shared" si="31"/>
        <v>111041.65080200463</v>
      </c>
      <c r="C356" s="9">
        <f>IF(A356&lt;=('Pay off vs Invest'!$B$2-'Pay off vs Invest'!$B$1)*12,Calculations!B356*(1+#REF!/12)^(('Pay off vs Invest'!$B$2-'Pay off vs Invest'!$B$1)*12-A356),0)</f>
        <v>0</v>
      </c>
      <c r="E356" s="9" t="e">
        <f>C356/((1+#REF!/12)^((('Pay off vs Invest'!$B$2-'Pay off vs Invest'!$B$1)*12)-Calculations!A356))</f>
        <v>#REF!</v>
      </c>
    </row>
    <row r="357" spans="1:5" ht="15.75" customHeight="1">
      <c r="A357" s="9">
        <f t="shared" si="23"/>
        <v>356</v>
      </c>
      <c r="B357" s="8">
        <f t="shared" si="31"/>
        <v>111041.65080200463</v>
      </c>
      <c r="C357" s="9">
        <f>IF(A357&lt;=('Pay off vs Invest'!$B$2-'Pay off vs Invest'!$B$1)*12,Calculations!B357*(1+#REF!/12)^(('Pay off vs Invest'!$B$2-'Pay off vs Invest'!$B$1)*12-A357),0)</f>
        <v>0</v>
      </c>
      <c r="E357" s="9" t="e">
        <f>C357/((1+#REF!/12)^((('Pay off vs Invest'!$B$2-'Pay off vs Invest'!$B$1)*12)-Calculations!A357))</f>
        <v>#REF!</v>
      </c>
    </row>
    <row r="358" spans="1:5" ht="15.75" customHeight="1">
      <c r="A358" s="9">
        <f t="shared" si="23"/>
        <v>357</v>
      </c>
      <c r="B358" s="8">
        <f t="shared" si="31"/>
        <v>111041.65080200463</v>
      </c>
      <c r="C358" s="9">
        <f>IF(A358&lt;=('Pay off vs Invest'!$B$2-'Pay off vs Invest'!$B$1)*12,Calculations!B358*(1+#REF!/12)^(('Pay off vs Invest'!$B$2-'Pay off vs Invest'!$B$1)*12-A358),0)</f>
        <v>0</v>
      </c>
      <c r="E358" s="9" t="e">
        <f>C358/((1+#REF!/12)^((('Pay off vs Invest'!$B$2-'Pay off vs Invest'!$B$1)*12)-Calculations!A358))</f>
        <v>#REF!</v>
      </c>
    </row>
    <row r="359" spans="1:5" ht="15.75" customHeight="1">
      <c r="A359" s="9">
        <f t="shared" si="23"/>
        <v>358</v>
      </c>
      <c r="B359" s="8">
        <f t="shared" si="31"/>
        <v>111041.65080200463</v>
      </c>
      <c r="C359" s="9">
        <f>IF(A359&lt;=('Pay off vs Invest'!$B$2-'Pay off vs Invest'!$B$1)*12,Calculations!B359*(1+#REF!/12)^(('Pay off vs Invest'!$B$2-'Pay off vs Invest'!$B$1)*12-A359),0)</f>
        <v>0</v>
      </c>
      <c r="E359" s="9" t="e">
        <f>C359/((1+#REF!/12)^((('Pay off vs Invest'!$B$2-'Pay off vs Invest'!$B$1)*12)-Calculations!A359))</f>
        <v>#REF!</v>
      </c>
    </row>
    <row r="360" spans="1:5" ht="15.75" customHeight="1">
      <c r="A360" s="9">
        <f t="shared" si="23"/>
        <v>359</v>
      </c>
      <c r="B360" s="8">
        <f t="shared" si="31"/>
        <v>111041.65080200463</v>
      </c>
      <c r="C360" s="9">
        <f>IF(A360&lt;=('Pay off vs Invest'!$B$2-'Pay off vs Invest'!$B$1)*12,Calculations!B360*(1+#REF!/12)^(('Pay off vs Invest'!$B$2-'Pay off vs Invest'!$B$1)*12-A360),0)</f>
        <v>0</v>
      </c>
      <c r="E360" s="9" t="e">
        <f>C360/((1+#REF!/12)^((('Pay off vs Invest'!$B$2-'Pay off vs Invest'!$B$1)*12)-Calculations!A360))</f>
        <v>#REF!</v>
      </c>
    </row>
    <row r="361" spans="1:5" ht="15.75" customHeight="1">
      <c r="A361" s="9">
        <f t="shared" si="23"/>
        <v>360</v>
      </c>
      <c r="B361" s="8">
        <f t="shared" si="31"/>
        <v>111041.65080200463</v>
      </c>
      <c r="C361" s="9">
        <f>IF(A361&lt;=('Pay off vs Invest'!$B$2-'Pay off vs Invest'!$B$1)*12,Calculations!B361*(1+#REF!/12)^(('Pay off vs Invest'!$B$2-'Pay off vs Invest'!$B$1)*12-A361),0)</f>
        <v>0</v>
      </c>
      <c r="E361" s="9" t="e">
        <f>C361/((1+#REF!/12)^((('Pay off vs Invest'!$B$2-'Pay off vs Invest'!$B$1)*12)-Calculations!A361))</f>
        <v>#REF!</v>
      </c>
    </row>
    <row r="362" spans="1:5" ht="15.75" customHeight="1">
      <c r="A362" s="9">
        <f t="shared" si="23"/>
        <v>361</v>
      </c>
      <c r="B362" s="8">
        <f>B361*(1+'Pay off vs Invest'!$B$7)</f>
        <v>122145.8158822051</v>
      </c>
      <c r="C362" s="9">
        <f>IF(A362&lt;=('Pay off vs Invest'!$B$2-'Pay off vs Invest'!$B$1)*12,Calculations!B362*(1+#REF!/12)^(('Pay off vs Invest'!$B$2-'Pay off vs Invest'!$B$1)*12-A362),0)</f>
        <v>0</v>
      </c>
      <c r="E362" s="9" t="e">
        <f>C362/((1+#REF!/12)^((('Pay off vs Invest'!$B$2-'Pay off vs Invest'!$B$1)*12)-Calculations!A362))</f>
        <v>#REF!</v>
      </c>
    </row>
    <row r="363" spans="1:5" ht="15.75" customHeight="1">
      <c r="A363" s="9">
        <f t="shared" si="23"/>
        <v>362</v>
      </c>
      <c r="B363" s="8">
        <f t="shared" ref="B363:B373" si="32">B362</f>
        <v>122145.8158822051</v>
      </c>
      <c r="C363" s="9">
        <f>IF(A363&lt;=('Pay off vs Invest'!$B$2-'Pay off vs Invest'!$B$1)*12,Calculations!B363*(1+#REF!/12)^(('Pay off vs Invest'!$B$2-'Pay off vs Invest'!$B$1)*12-A363),0)</f>
        <v>0</v>
      </c>
      <c r="E363" s="9" t="e">
        <f>C363/((1+#REF!/12)^((('Pay off vs Invest'!$B$2-'Pay off vs Invest'!$B$1)*12)-Calculations!A363))</f>
        <v>#REF!</v>
      </c>
    </row>
    <row r="364" spans="1:5" ht="15.75" customHeight="1">
      <c r="A364" s="9">
        <f t="shared" si="23"/>
        <v>363</v>
      </c>
      <c r="B364" s="8">
        <f t="shared" si="32"/>
        <v>122145.8158822051</v>
      </c>
      <c r="C364" s="9">
        <f>IF(A364&lt;=('Pay off vs Invest'!$B$2-'Pay off vs Invest'!$B$1)*12,Calculations!B364*(1+#REF!/12)^(('Pay off vs Invest'!$B$2-'Pay off vs Invest'!$B$1)*12-A364),0)</f>
        <v>0</v>
      </c>
      <c r="E364" s="9" t="e">
        <f>C364/((1+#REF!/12)^((('Pay off vs Invest'!$B$2-'Pay off vs Invest'!$B$1)*12)-Calculations!A364))</f>
        <v>#REF!</v>
      </c>
    </row>
    <row r="365" spans="1:5" ht="15.75" customHeight="1">
      <c r="A365" s="9">
        <f t="shared" si="23"/>
        <v>364</v>
      </c>
      <c r="B365" s="8">
        <f t="shared" si="32"/>
        <v>122145.8158822051</v>
      </c>
      <c r="C365" s="9">
        <f>IF(A365&lt;=('Pay off vs Invest'!$B$2-'Pay off vs Invest'!$B$1)*12,Calculations!B365*(1+#REF!/12)^(('Pay off vs Invest'!$B$2-'Pay off vs Invest'!$B$1)*12-A365),0)</f>
        <v>0</v>
      </c>
      <c r="E365" s="9" t="e">
        <f>C365/((1+#REF!/12)^((('Pay off vs Invest'!$B$2-'Pay off vs Invest'!$B$1)*12)-Calculations!A365))</f>
        <v>#REF!</v>
      </c>
    </row>
    <row r="366" spans="1:5" ht="15.75" customHeight="1">
      <c r="A366" s="9">
        <f t="shared" si="23"/>
        <v>365</v>
      </c>
      <c r="B366" s="8">
        <f t="shared" si="32"/>
        <v>122145.8158822051</v>
      </c>
      <c r="C366" s="9">
        <f>IF(A366&lt;=('Pay off vs Invest'!$B$2-'Pay off vs Invest'!$B$1)*12,Calculations!B366*(1+#REF!/12)^(('Pay off vs Invest'!$B$2-'Pay off vs Invest'!$B$1)*12-A366),0)</f>
        <v>0</v>
      </c>
      <c r="E366" s="9" t="e">
        <f>C366/((1+#REF!/12)^((('Pay off vs Invest'!$B$2-'Pay off vs Invest'!$B$1)*12)-Calculations!A366))</f>
        <v>#REF!</v>
      </c>
    </row>
    <row r="367" spans="1:5" ht="15.75" customHeight="1">
      <c r="A367" s="9">
        <f t="shared" si="23"/>
        <v>366</v>
      </c>
      <c r="B367" s="8">
        <f t="shared" si="32"/>
        <v>122145.8158822051</v>
      </c>
      <c r="C367" s="9">
        <f>IF(A367&lt;=('Pay off vs Invest'!$B$2-'Pay off vs Invest'!$B$1)*12,Calculations!B367*(1+#REF!/12)^(('Pay off vs Invest'!$B$2-'Pay off vs Invest'!$B$1)*12-A367),0)</f>
        <v>0</v>
      </c>
      <c r="E367" s="9" t="e">
        <f>C367/((1+#REF!/12)^((('Pay off vs Invest'!$B$2-'Pay off vs Invest'!$B$1)*12)-Calculations!A367))</f>
        <v>#REF!</v>
      </c>
    </row>
    <row r="368" spans="1:5" ht="15.75" customHeight="1">
      <c r="A368" s="9">
        <f t="shared" si="23"/>
        <v>367</v>
      </c>
      <c r="B368" s="8">
        <f t="shared" si="32"/>
        <v>122145.8158822051</v>
      </c>
      <c r="C368" s="9">
        <f>IF(A368&lt;=('Pay off vs Invest'!$B$2-'Pay off vs Invest'!$B$1)*12,Calculations!B368*(1+#REF!/12)^(('Pay off vs Invest'!$B$2-'Pay off vs Invest'!$B$1)*12-A368),0)</f>
        <v>0</v>
      </c>
      <c r="E368" s="9" t="e">
        <f>C368/((1+#REF!/12)^((('Pay off vs Invest'!$B$2-'Pay off vs Invest'!$B$1)*12)-Calculations!A368))</f>
        <v>#REF!</v>
      </c>
    </row>
    <row r="369" spans="1:5" ht="15.75" customHeight="1">
      <c r="A369" s="9">
        <f t="shared" si="23"/>
        <v>368</v>
      </c>
      <c r="B369" s="8">
        <f t="shared" si="32"/>
        <v>122145.8158822051</v>
      </c>
      <c r="C369" s="9">
        <f>IF(A369&lt;=('Pay off vs Invest'!$B$2-'Pay off vs Invest'!$B$1)*12,Calculations!B369*(1+#REF!/12)^(('Pay off vs Invest'!$B$2-'Pay off vs Invest'!$B$1)*12-A369),0)</f>
        <v>0</v>
      </c>
      <c r="E369" s="9" t="e">
        <f>C369/((1+#REF!/12)^((('Pay off vs Invest'!$B$2-'Pay off vs Invest'!$B$1)*12)-Calculations!A369))</f>
        <v>#REF!</v>
      </c>
    </row>
    <row r="370" spans="1:5" ht="15.75" customHeight="1">
      <c r="A370" s="9">
        <f t="shared" si="23"/>
        <v>369</v>
      </c>
      <c r="B370" s="8">
        <f t="shared" si="32"/>
        <v>122145.8158822051</v>
      </c>
      <c r="C370" s="9">
        <f>IF(A370&lt;=('Pay off vs Invest'!$B$2-'Pay off vs Invest'!$B$1)*12,Calculations!B370*(1+#REF!/12)^(('Pay off vs Invest'!$B$2-'Pay off vs Invest'!$B$1)*12-A370),0)</f>
        <v>0</v>
      </c>
      <c r="E370" s="9" t="e">
        <f>C370/((1+#REF!/12)^((('Pay off vs Invest'!$B$2-'Pay off vs Invest'!$B$1)*12)-Calculations!A370))</f>
        <v>#REF!</v>
      </c>
    </row>
    <row r="371" spans="1:5" ht="15.75" customHeight="1">
      <c r="A371" s="9">
        <f t="shared" si="23"/>
        <v>370</v>
      </c>
      <c r="B371" s="8">
        <f t="shared" si="32"/>
        <v>122145.8158822051</v>
      </c>
      <c r="C371" s="9">
        <f>IF(A371&lt;=('Pay off vs Invest'!$B$2-'Pay off vs Invest'!$B$1)*12,Calculations!B371*(1+#REF!/12)^(('Pay off vs Invest'!$B$2-'Pay off vs Invest'!$B$1)*12-A371),0)</f>
        <v>0</v>
      </c>
      <c r="E371" s="9" t="e">
        <f>C371/((1+#REF!/12)^((('Pay off vs Invest'!$B$2-'Pay off vs Invest'!$B$1)*12)-Calculations!A371))</f>
        <v>#REF!</v>
      </c>
    </row>
    <row r="372" spans="1:5" ht="15.75" customHeight="1">
      <c r="A372" s="9">
        <f t="shared" si="23"/>
        <v>371</v>
      </c>
      <c r="B372" s="8">
        <f t="shared" si="32"/>
        <v>122145.8158822051</v>
      </c>
      <c r="C372" s="9">
        <f>IF(A372&lt;=('Pay off vs Invest'!$B$2-'Pay off vs Invest'!$B$1)*12,Calculations!B372*(1+#REF!/12)^(('Pay off vs Invest'!$B$2-'Pay off vs Invest'!$B$1)*12-A372),0)</f>
        <v>0</v>
      </c>
      <c r="E372" s="9" t="e">
        <f>C372/((1+#REF!/12)^((('Pay off vs Invest'!$B$2-'Pay off vs Invest'!$B$1)*12)-Calculations!A372))</f>
        <v>#REF!</v>
      </c>
    </row>
    <row r="373" spans="1:5" ht="15.75" customHeight="1">
      <c r="A373" s="9">
        <f t="shared" si="23"/>
        <v>372</v>
      </c>
      <c r="B373" s="8">
        <f t="shared" si="32"/>
        <v>122145.8158822051</v>
      </c>
      <c r="C373" s="9">
        <f>IF(A373&lt;=('Pay off vs Invest'!$B$2-'Pay off vs Invest'!$B$1)*12,Calculations!B373*(1+#REF!/12)^(('Pay off vs Invest'!$B$2-'Pay off vs Invest'!$B$1)*12-A373),0)</f>
        <v>0</v>
      </c>
      <c r="E373" s="9" t="e">
        <f>C373/((1+#REF!/12)^((('Pay off vs Invest'!$B$2-'Pay off vs Invest'!$B$1)*12)-Calculations!A373))</f>
        <v>#REF!</v>
      </c>
    </row>
    <row r="374" spans="1:5" ht="15.75" customHeight="1">
      <c r="A374" s="9">
        <f t="shared" si="23"/>
        <v>373</v>
      </c>
      <c r="B374" s="8">
        <f>B373*(1+'Pay off vs Invest'!$B$7)</f>
        <v>134360.39747042564</v>
      </c>
      <c r="C374" s="9">
        <f>IF(A374&lt;=('Pay off vs Invest'!$B$2-'Pay off vs Invest'!$B$1)*12,Calculations!B374*(1+#REF!/12)^(('Pay off vs Invest'!$B$2-'Pay off vs Invest'!$B$1)*12-A374),0)</f>
        <v>0</v>
      </c>
      <c r="E374" s="9" t="e">
        <f>C374/((1+#REF!/12)^((('Pay off vs Invest'!$B$2-'Pay off vs Invest'!$B$1)*12)-Calculations!A374))</f>
        <v>#REF!</v>
      </c>
    </row>
    <row r="375" spans="1:5" ht="15.75" customHeight="1">
      <c r="A375" s="9">
        <f t="shared" si="23"/>
        <v>374</v>
      </c>
      <c r="B375" s="8">
        <f t="shared" ref="B375:B385" si="33">B374</f>
        <v>134360.39747042564</v>
      </c>
      <c r="C375" s="9">
        <f>IF(A375&lt;=('Pay off vs Invest'!$B$2-'Pay off vs Invest'!$B$1)*12,Calculations!B375*(1+#REF!/12)^(('Pay off vs Invest'!$B$2-'Pay off vs Invest'!$B$1)*12-A375),0)</f>
        <v>0</v>
      </c>
      <c r="E375" s="9" t="e">
        <f>C375/((1+#REF!/12)^((('Pay off vs Invest'!$B$2-'Pay off vs Invest'!$B$1)*12)-Calculations!A375))</f>
        <v>#REF!</v>
      </c>
    </row>
    <row r="376" spans="1:5" ht="15.75" customHeight="1">
      <c r="A376" s="9">
        <f t="shared" si="23"/>
        <v>375</v>
      </c>
      <c r="B376" s="8">
        <f t="shared" si="33"/>
        <v>134360.39747042564</v>
      </c>
      <c r="C376" s="9">
        <f>IF(A376&lt;=('Pay off vs Invest'!$B$2-'Pay off vs Invest'!$B$1)*12,Calculations!B376*(1+#REF!/12)^(('Pay off vs Invest'!$B$2-'Pay off vs Invest'!$B$1)*12-A376),0)</f>
        <v>0</v>
      </c>
      <c r="E376" s="9" t="e">
        <f>C376/((1+#REF!/12)^((('Pay off vs Invest'!$B$2-'Pay off vs Invest'!$B$1)*12)-Calculations!A376))</f>
        <v>#REF!</v>
      </c>
    </row>
    <row r="377" spans="1:5" ht="15.75" customHeight="1">
      <c r="A377" s="9">
        <f t="shared" si="23"/>
        <v>376</v>
      </c>
      <c r="B377" s="8">
        <f t="shared" si="33"/>
        <v>134360.39747042564</v>
      </c>
      <c r="C377" s="9">
        <f>IF(A377&lt;=('Pay off vs Invest'!$B$2-'Pay off vs Invest'!$B$1)*12,Calculations!B377*(1+#REF!/12)^(('Pay off vs Invest'!$B$2-'Pay off vs Invest'!$B$1)*12-A377),0)</f>
        <v>0</v>
      </c>
      <c r="E377" s="9" t="e">
        <f>C377/((1+#REF!/12)^((('Pay off vs Invest'!$B$2-'Pay off vs Invest'!$B$1)*12)-Calculations!A377))</f>
        <v>#REF!</v>
      </c>
    </row>
    <row r="378" spans="1:5" ht="15.75" customHeight="1">
      <c r="A378" s="9">
        <f t="shared" si="23"/>
        <v>377</v>
      </c>
      <c r="B378" s="8">
        <f t="shared" si="33"/>
        <v>134360.39747042564</v>
      </c>
      <c r="C378" s="9">
        <f>IF(A378&lt;=('Pay off vs Invest'!$B$2-'Pay off vs Invest'!$B$1)*12,Calculations!B378*(1+#REF!/12)^(('Pay off vs Invest'!$B$2-'Pay off vs Invest'!$B$1)*12-A378),0)</f>
        <v>0</v>
      </c>
      <c r="E378" s="9" t="e">
        <f>C378/((1+#REF!/12)^((('Pay off vs Invest'!$B$2-'Pay off vs Invest'!$B$1)*12)-Calculations!A378))</f>
        <v>#REF!</v>
      </c>
    </row>
    <row r="379" spans="1:5" ht="15.75" customHeight="1">
      <c r="A379" s="9">
        <f t="shared" si="23"/>
        <v>378</v>
      </c>
      <c r="B379" s="8">
        <f t="shared" si="33"/>
        <v>134360.39747042564</v>
      </c>
      <c r="C379" s="9">
        <f>IF(A379&lt;=('Pay off vs Invest'!$B$2-'Pay off vs Invest'!$B$1)*12,Calculations!B379*(1+#REF!/12)^(('Pay off vs Invest'!$B$2-'Pay off vs Invest'!$B$1)*12-A379),0)</f>
        <v>0</v>
      </c>
      <c r="E379" s="9" t="e">
        <f>C379/((1+#REF!/12)^((('Pay off vs Invest'!$B$2-'Pay off vs Invest'!$B$1)*12)-Calculations!A379))</f>
        <v>#REF!</v>
      </c>
    </row>
    <row r="380" spans="1:5" ht="15.75" customHeight="1">
      <c r="A380" s="9">
        <f t="shared" si="23"/>
        <v>379</v>
      </c>
      <c r="B380" s="8">
        <f t="shared" si="33"/>
        <v>134360.39747042564</v>
      </c>
      <c r="C380" s="9">
        <f>IF(A380&lt;=('Pay off vs Invest'!$B$2-'Pay off vs Invest'!$B$1)*12,Calculations!B380*(1+#REF!/12)^(('Pay off vs Invest'!$B$2-'Pay off vs Invest'!$B$1)*12-A380),0)</f>
        <v>0</v>
      </c>
      <c r="E380" s="9" t="e">
        <f>C380/((1+#REF!/12)^((('Pay off vs Invest'!$B$2-'Pay off vs Invest'!$B$1)*12)-Calculations!A380))</f>
        <v>#REF!</v>
      </c>
    </row>
    <row r="381" spans="1:5" ht="15.75" customHeight="1">
      <c r="A381" s="9">
        <f t="shared" si="23"/>
        <v>380</v>
      </c>
      <c r="B381" s="8">
        <f t="shared" si="33"/>
        <v>134360.39747042564</v>
      </c>
      <c r="C381" s="9">
        <f>IF(A381&lt;=('Pay off vs Invest'!$B$2-'Pay off vs Invest'!$B$1)*12,Calculations!B381*(1+#REF!/12)^(('Pay off vs Invest'!$B$2-'Pay off vs Invest'!$B$1)*12-A381),0)</f>
        <v>0</v>
      </c>
      <c r="E381" s="9" t="e">
        <f>C381/((1+#REF!/12)^((('Pay off vs Invest'!$B$2-'Pay off vs Invest'!$B$1)*12)-Calculations!A381))</f>
        <v>#REF!</v>
      </c>
    </row>
    <row r="382" spans="1:5" ht="15.75" customHeight="1">
      <c r="A382" s="9">
        <f t="shared" si="23"/>
        <v>381</v>
      </c>
      <c r="B382" s="8">
        <f t="shared" si="33"/>
        <v>134360.39747042564</v>
      </c>
      <c r="C382" s="9">
        <f>IF(A382&lt;=('Pay off vs Invest'!$B$2-'Pay off vs Invest'!$B$1)*12,Calculations!B382*(1+#REF!/12)^(('Pay off vs Invest'!$B$2-'Pay off vs Invest'!$B$1)*12-A382),0)</f>
        <v>0</v>
      </c>
      <c r="E382" s="9" t="e">
        <f>C382/((1+#REF!/12)^((('Pay off vs Invest'!$B$2-'Pay off vs Invest'!$B$1)*12)-Calculations!A382))</f>
        <v>#REF!</v>
      </c>
    </row>
    <row r="383" spans="1:5" ht="15.75" customHeight="1">
      <c r="A383" s="9">
        <f t="shared" si="23"/>
        <v>382</v>
      </c>
      <c r="B383" s="8">
        <f t="shared" si="33"/>
        <v>134360.39747042564</v>
      </c>
      <c r="C383" s="9">
        <f>IF(A383&lt;=('Pay off vs Invest'!$B$2-'Pay off vs Invest'!$B$1)*12,Calculations!B383*(1+#REF!/12)^(('Pay off vs Invest'!$B$2-'Pay off vs Invest'!$B$1)*12-A383),0)</f>
        <v>0</v>
      </c>
      <c r="E383" s="9" t="e">
        <f>C383/((1+#REF!/12)^((('Pay off vs Invest'!$B$2-'Pay off vs Invest'!$B$1)*12)-Calculations!A383))</f>
        <v>#REF!</v>
      </c>
    </row>
    <row r="384" spans="1:5" ht="15.75" customHeight="1">
      <c r="A384" s="9">
        <f t="shared" si="23"/>
        <v>383</v>
      </c>
      <c r="B384" s="8">
        <f t="shared" si="33"/>
        <v>134360.39747042564</v>
      </c>
      <c r="C384" s="9">
        <f>IF(A384&lt;=('Pay off vs Invest'!$B$2-'Pay off vs Invest'!$B$1)*12,Calculations!B384*(1+#REF!/12)^(('Pay off vs Invest'!$B$2-'Pay off vs Invest'!$B$1)*12-A384),0)</f>
        <v>0</v>
      </c>
      <c r="E384" s="9" t="e">
        <f>C384/((1+#REF!/12)^((('Pay off vs Invest'!$B$2-'Pay off vs Invest'!$B$1)*12)-Calculations!A384))</f>
        <v>#REF!</v>
      </c>
    </row>
    <row r="385" spans="1:5" ht="15.75" customHeight="1">
      <c r="A385" s="9">
        <f t="shared" si="23"/>
        <v>384</v>
      </c>
      <c r="B385" s="8">
        <f t="shared" si="33"/>
        <v>134360.39747042564</v>
      </c>
      <c r="C385" s="9">
        <f>IF(A385&lt;=('Pay off vs Invest'!$B$2-'Pay off vs Invest'!$B$1)*12,Calculations!B385*(1+#REF!/12)^(('Pay off vs Invest'!$B$2-'Pay off vs Invest'!$B$1)*12-A385),0)</f>
        <v>0</v>
      </c>
      <c r="E385" s="9" t="e">
        <f>C385/((1+#REF!/12)^((('Pay off vs Invest'!$B$2-'Pay off vs Invest'!$B$1)*12)-Calculations!A385))</f>
        <v>#REF!</v>
      </c>
    </row>
    <row r="386" spans="1:5" ht="15.75" customHeight="1">
      <c r="A386" s="9">
        <f t="shared" si="23"/>
        <v>385</v>
      </c>
      <c r="B386" s="8">
        <f>B385*(1+'Pay off vs Invest'!$B$7)</f>
        <v>147796.43721746822</v>
      </c>
      <c r="C386" s="9">
        <f>IF(A386&lt;=('Pay off vs Invest'!$B$2-'Pay off vs Invest'!$B$1)*12,Calculations!B386*(1+#REF!/12)^(('Pay off vs Invest'!$B$2-'Pay off vs Invest'!$B$1)*12-A386),0)</f>
        <v>0</v>
      </c>
      <c r="E386" s="9" t="e">
        <f>C386/((1+#REF!/12)^((('Pay off vs Invest'!$B$2-'Pay off vs Invest'!$B$1)*12)-Calculations!A386))</f>
        <v>#REF!</v>
      </c>
    </row>
    <row r="387" spans="1:5" ht="15.75" customHeight="1">
      <c r="A387" s="9">
        <f t="shared" si="23"/>
        <v>386</v>
      </c>
      <c r="B387" s="8">
        <f t="shared" ref="B387:B397" si="34">B386</f>
        <v>147796.43721746822</v>
      </c>
      <c r="C387" s="9">
        <f>IF(A387&lt;=('Pay off vs Invest'!$B$2-'Pay off vs Invest'!$B$1)*12,Calculations!B387*(1+#REF!/12)^(('Pay off vs Invest'!$B$2-'Pay off vs Invest'!$B$1)*12-A387),0)</f>
        <v>0</v>
      </c>
      <c r="E387" s="9" t="e">
        <f>C387/((1+#REF!/12)^((('Pay off vs Invest'!$B$2-'Pay off vs Invest'!$B$1)*12)-Calculations!A387))</f>
        <v>#REF!</v>
      </c>
    </row>
    <row r="388" spans="1:5" ht="15.75" customHeight="1">
      <c r="A388" s="9">
        <f t="shared" si="23"/>
        <v>387</v>
      </c>
      <c r="B388" s="8">
        <f t="shared" si="34"/>
        <v>147796.43721746822</v>
      </c>
      <c r="C388" s="9">
        <f>IF(A388&lt;=('Pay off vs Invest'!$B$2-'Pay off vs Invest'!$B$1)*12,Calculations!B388*(1+#REF!/12)^(('Pay off vs Invest'!$B$2-'Pay off vs Invest'!$B$1)*12-A388),0)</f>
        <v>0</v>
      </c>
      <c r="E388" s="9" t="e">
        <f>C388/((1+#REF!/12)^((('Pay off vs Invest'!$B$2-'Pay off vs Invest'!$B$1)*12)-Calculations!A388))</f>
        <v>#REF!</v>
      </c>
    </row>
    <row r="389" spans="1:5" ht="15.75" customHeight="1">
      <c r="A389" s="9">
        <f t="shared" si="23"/>
        <v>388</v>
      </c>
      <c r="B389" s="8">
        <f t="shared" si="34"/>
        <v>147796.43721746822</v>
      </c>
      <c r="C389" s="9">
        <f>IF(A389&lt;=('Pay off vs Invest'!$B$2-'Pay off vs Invest'!$B$1)*12,Calculations!B389*(1+#REF!/12)^(('Pay off vs Invest'!$B$2-'Pay off vs Invest'!$B$1)*12-A389),0)</f>
        <v>0</v>
      </c>
      <c r="E389" s="9" t="e">
        <f>C389/((1+#REF!/12)^((('Pay off vs Invest'!$B$2-'Pay off vs Invest'!$B$1)*12)-Calculations!A389))</f>
        <v>#REF!</v>
      </c>
    </row>
    <row r="390" spans="1:5" ht="15.75" customHeight="1">
      <c r="A390" s="9">
        <f t="shared" si="23"/>
        <v>389</v>
      </c>
      <c r="B390" s="8">
        <f t="shared" si="34"/>
        <v>147796.43721746822</v>
      </c>
      <c r="C390" s="9">
        <f>IF(A390&lt;=('Pay off vs Invest'!$B$2-'Pay off vs Invest'!$B$1)*12,Calculations!B390*(1+#REF!/12)^(('Pay off vs Invest'!$B$2-'Pay off vs Invest'!$B$1)*12-A390),0)</f>
        <v>0</v>
      </c>
      <c r="E390" s="9" t="e">
        <f>C390/((1+#REF!/12)^((('Pay off vs Invest'!$B$2-'Pay off vs Invest'!$B$1)*12)-Calculations!A390))</f>
        <v>#REF!</v>
      </c>
    </row>
    <row r="391" spans="1:5" ht="15.75" customHeight="1">
      <c r="A391" s="9">
        <f t="shared" si="23"/>
        <v>390</v>
      </c>
      <c r="B391" s="8">
        <f t="shared" si="34"/>
        <v>147796.43721746822</v>
      </c>
      <c r="C391" s="9">
        <f>IF(A391&lt;=('Pay off vs Invest'!$B$2-'Pay off vs Invest'!$B$1)*12,Calculations!B391*(1+#REF!/12)^(('Pay off vs Invest'!$B$2-'Pay off vs Invest'!$B$1)*12-A391),0)</f>
        <v>0</v>
      </c>
      <c r="E391" s="9" t="e">
        <f>C391/((1+#REF!/12)^((('Pay off vs Invest'!$B$2-'Pay off vs Invest'!$B$1)*12)-Calculations!A391))</f>
        <v>#REF!</v>
      </c>
    </row>
    <row r="392" spans="1:5" ht="15.75" customHeight="1">
      <c r="A392" s="9">
        <f t="shared" si="23"/>
        <v>391</v>
      </c>
      <c r="B392" s="8">
        <f t="shared" si="34"/>
        <v>147796.43721746822</v>
      </c>
      <c r="C392" s="9">
        <f>IF(A392&lt;=('Pay off vs Invest'!$B$2-'Pay off vs Invest'!$B$1)*12,Calculations!B392*(1+#REF!/12)^(('Pay off vs Invest'!$B$2-'Pay off vs Invest'!$B$1)*12-A392),0)</f>
        <v>0</v>
      </c>
      <c r="E392" s="9" t="e">
        <f>C392/((1+#REF!/12)^((('Pay off vs Invest'!$B$2-'Pay off vs Invest'!$B$1)*12)-Calculations!A392))</f>
        <v>#REF!</v>
      </c>
    </row>
    <row r="393" spans="1:5" ht="15.75" customHeight="1">
      <c r="A393" s="9">
        <f t="shared" si="23"/>
        <v>392</v>
      </c>
      <c r="B393" s="8">
        <f t="shared" si="34"/>
        <v>147796.43721746822</v>
      </c>
      <c r="C393" s="9">
        <f>IF(A393&lt;=('Pay off vs Invest'!$B$2-'Pay off vs Invest'!$B$1)*12,Calculations!B393*(1+#REF!/12)^(('Pay off vs Invest'!$B$2-'Pay off vs Invest'!$B$1)*12-A393),0)</f>
        <v>0</v>
      </c>
      <c r="E393" s="9" t="e">
        <f>C393/((1+#REF!/12)^((('Pay off vs Invest'!$B$2-'Pay off vs Invest'!$B$1)*12)-Calculations!A393))</f>
        <v>#REF!</v>
      </c>
    </row>
    <row r="394" spans="1:5" ht="15.75" customHeight="1">
      <c r="A394" s="9">
        <f t="shared" si="23"/>
        <v>393</v>
      </c>
      <c r="B394" s="8">
        <f t="shared" si="34"/>
        <v>147796.43721746822</v>
      </c>
      <c r="C394" s="9">
        <f>IF(A394&lt;=('Pay off vs Invest'!$B$2-'Pay off vs Invest'!$B$1)*12,Calculations!B394*(1+#REF!/12)^(('Pay off vs Invest'!$B$2-'Pay off vs Invest'!$B$1)*12-A394),0)</f>
        <v>0</v>
      </c>
      <c r="E394" s="9" t="e">
        <f>C394/((1+#REF!/12)^((('Pay off vs Invest'!$B$2-'Pay off vs Invest'!$B$1)*12)-Calculations!A394))</f>
        <v>#REF!</v>
      </c>
    </row>
    <row r="395" spans="1:5" ht="15.75" customHeight="1">
      <c r="A395" s="9">
        <f t="shared" si="23"/>
        <v>394</v>
      </c>
      <c r="B395" s="8">
        <f t="shared" si="34"/>
        <v>147796.43721746822</v>
      </c>
      <c r="C395" s="9">
        <f>IF(A395&lt;=('Pay off vs Invest'!$B$2-'Pay off vs Invest'!$B$1)*12,Calculations!B395*(1+#REF!/12)^(('Pay off vs Invest'!$B$2-'Pay off vs Invest'!$B$1)*12-A395),0)</f>
        <v>0</v>
      </c>
      <c r="E395" s="9" t="e">
        <f>C395/((1+#REF!/12)^((('Pay off vs Invest'!$B$2-'Pay off vs Invest'!$B$1)*12)-Calculations!A395))</f>
        <v>#REF!</v>
      </c>
    </row>
    <row r="396" spans="1:5" ht="15.75" customHeight="1">
      <c r="A396" s="9">
        <f t="shared" si="23"/>
        <v>395</v>
      </c>
      <c r="B396" s="8">
        <f t="shared" si="34"/>
        <v>147796.43721746822</v>
      </c>
      <c r="C396" s="9">
        <f>IF(A396&lt;=('Pay off vs Invest'!$B$2-'Pay off vs Invest'!$B$1)*12,Calculations!B396*(1+#REF!/12)^(('Pay off vs Invest'!$B$2-'Pay off vs Invest'!$B$1)*12-A396),0)</f>
        <v>0</v>
      </c>
      <c r="E396" s="9" t="e">
        <f>C396/((1+#REF!/12)^((('Pay off vs Invest'!$B$2-'Pay off vs Invest'!$B$1)*12)-Calculations!A396))</f>
        <v>#REF!</v>
      </c>
    </row>
    <row r="397" spans="1:5" ht="15.75" customHeight="1">
      <c r="A397" s="9">
        <f t="shared" si="23"/>
        <v>396</v>
      </c>
      <c r="B397" s="8">
        <f t="shared" si="34"/>
        <v>147796.43721746822</v>
      </c>
      <c r="C397" s="9">
        <f>IF(A397&lt;=('Pay off vs Invest'!$B$2-'Pay off vs Invest'!$B$1)*12,Calculations!B397*(1+#REF!/12)^(('Pay off vs Invest'!$B$2-'Pay off vs Invest'!$B$1)*12-A397),0)</f>
        <v>0</v>
      </c>
      <c r="E397" s="9" t="e">
        <f>C397/((1+#REF!/12)^((('Pay off vs Invest'!$B$2-'Pay off vs Invest'!$B$1)*12)-Calculations!A397))</f>
        <v>#REF!</v>
      </c>
    </row>
    <row r="398" spans="1:5" ht="15.75" customHeight="1">
      <c r="A398" s="9">
        <f t="shared" si="23"/>
        <v>397</v>
      </c>
      <c r="B398" s="8">
        <f>B397*(1+'Pay off vs Invest'!$B$7)</f>
        <v>162576.08093921505</v>
      </c>
      <c r="C398" s="9">
        <f>IF(A398&lt;=('Pay off vs Invest'!$B$2-'Pay off vs Invest'!$B$1)*12,Calculations!B398*(1+#REF!/12)^(('Pay off vs Invest'!$B$2-'Pay off vs Invest'!$B$1)*12-A398),0)</f>
        <v>0</v>
      </c>
      <c r="E398" s="9" t="e">
        <f>C398/((1+#REF!/12)^((('Pay off vs Invest'!$B$2-'Pay off vs Invest'!$B$1)*12)-Calculations!A398))</f>
        <v>#REF!</v>
      </c>
    </row>
    <row r="399" spans="1:5" ht="15.75" customHeight="1">
      <c r="A399" s="9">
        <f t="shared" si="23"/>
        <v>398</v>
      </c>
      <c r="B399" s="8">
        <f t="shared" ref="B399:B409" si="35">B398</f>
        <v>162576.08093921505</v>
      </c>
      <c r="C399" s="9">
        <f>IF(A399&lt;=('Pay off vs Invest'!$B$2-'Pay off vs Invest'!$B$1)*12,Calculations!B399*(1+#REF!/12)^(('Pay off vs Invest'!$B$2-'Pay off vs Invest'!$B$1)*12-A399),0)</f>
        <v>0</v>
      </c>
      <c r="E399" s="9" t="e">
        <f>C399/((1+#REF!/12)^((('Pay off vs Invest'!$B$2-'Pay off vs Invest'!$B$1)*12)-Calculations!A399))</f>
        <v>#REF!</v>
      </c>
    </row>
    <row r="400" spans="1:5" ht="15.75" customHeight="1">
      <c r="A400" s="9">
        <f t="shared" si="23"/>
        <v>399</v>
      </c>
      <c r="B400" s="8">
        <f t="shared" si="35"/>
        <v>162576.08093921505</v>
      </c>
      <c r="C400" s="9">
        <f>IF(A400&lt;=('Pay off vs Invest'!$B$2-'Pay off vs Invest'!$B$1)*12,Calculations!B400*(1+#REF!/12)^(('Pay off vs Invest'!$B$2-'Pay off vs Invest'!$B$1)*12-A400),0)</f>
        <v>0</v>
      </c>
      <c r="E400" s="9" t="e">
        <f>C400/((1+#REF!/12)^((('Pay off vs Invest'!$B$2-'Pay off vs Invest'!$B$1)*12)-Calculations!A400))</f>
        <v>#REF!</v>
      </c>
    </row>
    <row r="401" spans="1:5" ht="15.75" customHeight="1">
      <c r="A401" s="9">
        <f t="shared" si="23"/>
        <v>400</v>
      </c>
      <c r="B401" s="8">
        <f t="shared" si="35"/>
        <v>162576.08093921505</v>
      </c>
      <c r="C401" s="9">
        <f>IF(A401&lt;=('Pay off vs Invest'!$B$2-'Pay off vs Invest'!$B$1)*12,Calculations!B401*(1+#REF!/12)^(('Pay off vs Invest'!$B$2-'Pay off vs Invest'!$B$1)*12-A401),0)</f>
        <v>0</v>
      </c>
      <c r="E401" s="9" t="e">
        <f>C401/((1+#REF!/12)^((('Pay off vs Invest'!$B$2-'Pay off vs Invest'!$B$1)*12)-Calculations!A401))</f>
        <v>#REF!</v>
      </c>
    </row>
    <row r="402" spans="1:5" ht="15.75" customHeight="1">
      <c r="A402" s="9">
        <f t="shared" si="23"/>
        <v>401</v>
      </c>
      <c r="B402" s="8">
        <f t="shared" si="35"/>
        <v>162576.08093921505</v>
      </c>
      <c r="C402" s="9">
        <f>IF(A402&lt;=('Pay off vs Invest'!$B$2-'Pay off vs Invest'!$B$1)*12,Calculations!B402*(1+#REF!/12)^(('Pay off vs Invest'!$B$2-'Pay off vs Invest'!$B$1)*12-A402),0)</f>
        <v>0</v>
      </c>
      <c r="E402" s="9" t="e">
        <f>C402/((1+#REF!/12)^((('Pay off vs Invest'!$B$2-'Pay off vs Invest'!$B$1)*12)-Calculations!A402))</f>
        <v>#REF!</v>
      </c>
    </row>
    <row r="403" spans="1:5" ht="15.75" customHeight="1">
      <c r="A403" s="9">
        <f t="shared" si="23"/>
        <v>402</v>
      </c>
      <c r="B403" s="8">
        <f t="shared" si="35"/>
        <v>162576.08093921505</v>
      </c>
      <c r="C403" s="9">
        <f>IF(A403&lt;=('Pay off vs Invest'!$B$2-'Pay off vs Invest'!$B$1)*12,Calculations!B403*(1+#REF!/12)^(('Pay off vs Invest'!$B$2-'Pay off vs Invest'!$B$1)*12-A403),0)</f>
        <v>0</v>
      </c>
      <c r="E403" s="9" t="e">
        <f>C403/((1+#REF!/12)^((('Pay off vs Invest'!$B$2-'Pay off vs Invest'!$B$1)*12)-Calculations!A403))</f>
        <v>#REF!</v>
      </c>
    </row>
    <row r="404" spans="1:5" ht="15.75" customHeight="1">
      <c r="A404" s="9">
        <f t="shared" si="23"/>
        <v>403</v>
      </c>
      <c r="B404" s="8">
        <f t="shared" si="35"/>
        <v>162576.08093921505</v>
      </c>
      <c r="C404" s="9">
        <f>IF(A404&lt;=('Pay off vs Invest'!$B$2-'Pay off vs Invest'!$B$1)*12,Calculations!B404*(1+#REF!/12)^(('Pay off vs Invest'!$B$2-'Pay off vs Invest'!$B$1)*12-A404),0)</f>
        <v>0</v>
      </c>
      <c r="E404" s="9" t="e">
        <f>C404/((1+#REF!/12)^((('Pay off vs Invest'!$B$2-'Pay off vs Invest'!$B$1)*12)-Calculations!A404))</f>
        <v>#REF!</v>
      </c>
    </row>
    <row r="405" spans="1:5" ht="15.75" customHeight="1">
      <c r="A405" s="9">
        <f t="shared" si="23"/>
        <v>404</v>
      </c>
      <c r="B405" s="8">
        <f t="shared" si="35"/>
        <v>162576.08093921505</v>
      </c>
      <c r="C405" s="9">
        <f>IF(A405&lt;=('Pay off vs Invest'!$B$2-'Pay off vs Invest'!$B$1)*12,Calculations!B405*(1+#REF!/12)^(('Pay off vs Invest'!$B$2-'Pay off vs Invest'!$B$1)*12-A405),0)</f>
        <v>0</v>
      </c>
      <c r="E405" s="9" t="e">
        <f>C405/((1+#REF!/12)^((('Pay off vs Invest'!$B$2-'Pay off vs Invest'!$B$1)*12)-Calculations!A405))</f>
        <v>#REF!</v>
      </c>
    </row>
    <row r="406" spans="1:5" ht="15.75" customHeight="1">
      <c r="A406" s="9">
        <f t="shared" si="23"/>
        <v>405</v>
      </c>
      <c r="B406" s="8">
        <f t="shared" si="35"/>
        <v>162576.08093921505</v>
      </c>
      <c r="C406" s="9">
        <f>IF(A406&lt;=('Pay off vs Invest'!$B$2-'Pay off vs Invest'!$B$1)*12,Calculations!B406*(1+#REF!/12)^(('Pay off vs Invest'!$B$2-'Pay off vs Invest'!$B$1)*12-A406),0)</f>
        <v>0</v>
      </c>
      <c r="E406" s="9" t="e">
        <f>C406/((1+#REF!/12)^((('Pay off vs Invest'!$B$2-'Pay off vs Invest'!$B$1)*12)-Calculations!A406))</f>
        <v>#REF!</v>
      </c>
    </row>
    <row r="407" spans="1:5" ht="15.75" customHeight="1">
      <c r="A407" s="9">
        <f t="shared" si="23"/>
        <v>406</v>
      </c>
      <c r="B407" s="8">
        <f t="shared" si="35"/>
        <v>162576.08093921505</v>
      </c>
      <c r="C407" s="9">
        <f>IF(A407&lt;=('Pay off vs Invest'!$B$2-'Pay off vs Invest'!$B$1)*12,Calculations!B407*(1+#REF!/12)^(('Pay off vs Invest'!$B$2-'Pay off vs Invest'!$B$1)*12-A407),0)</f>
        <v>0</v>
      </c>
      <c r="E407" s="9" t="e">
        <f>C407/((1+#REF!/12)^((('Pay off vs Invest'!$B$2-'Pay off vs Invest'!$B$1)*12)-Calculations!A407))</f>
        <v>#REF!</v>
      </c>
    </row>
    <row r="408" spans="1:5" ht="15.75" customHeight="1">
      <c r="A408" s="9">
        <f t="shared" si="23"/>
        <v>407</v>
      </c>
      <c r="B408" s="8">
        <f t="shared" si="35"/>
        <v>162576.08093921505</v>
      </c>
      <c r="C408" s="9">
        <f>IF(A408&lt;=('Pay off vs Invest'!$B$2-'Pay off vs Invest'!$B$1)*12,Calculations!B408*(1+#REF!/12)^(('Pay off vs Invest'!$B$2-'Pay off vs Invest'!$B$1)*12-A408),0)</f>
        <v>0</v>
      </c>
      <c r="E408" s="9" t="e">
        <f>C408/((1+#REF!/12)^((('Pay off vs Invest'!$B$2-'Pay off vs Invest'!$B$1)*12)-Calculations!A408))</f>
        <v>#REF!</v>
      </c>
    </row>
    <row r="409" spans="1:5" ht="15.75" customHeight="1">
      <c r="A409" s="9">
        <f t="shared" si="23"/>
        <v>408</v>
      </c>
      <c r="B409" s="8">
        <f t="shared" si="35"/>
        <v>162576.08093921505</v>
      </c>
      <c r="C409" s="9">
        <f>IF(A409&lt;=('Pay off vs Invest'!$B$2-'Pay off vs Invest'!$B$1)*12,Calculations!B409*(1+#REF!/12)^(('Pay off vs Invest'!$B$2-'Pay off vs Invest'!$B$1)*12-A409),0)</f>
        <v>0</v>
      </c>
      <c r="E409" s="9" t="e">
        <f>C409/((1+#REF!/12)^((('Pay off vs Invest'!$B$2-'Pay off vs Invest'!$B$1)*12)-Calculations!A409))</f>
        <v>#REF!</v>
      </c>
    </row>
    <row r="410" spans="1:5" ht="15.75" customHeight="1">
      <c r="A410" s="9">
        <f t="shared" si="23"/>
        <v>409</v>
      </c>
      <c r="B410" s="8">
        <f>B409*(1+'Pay off vs Invest'!$B$7)</f>
        <v>178833.68903313659</v>
      </c>
      <c r="C410" s="9">
        <f>IF(A410&lt;=('Pay off vs Invest'!$B$2-'Pay off vs Invest'!$B$1)*12,Calculations!B410*(1+#REF!/12)^(('Pay off vs Invest'!$B$2-'Pay off vs Invest'!$B$1)*12-A410),0)</f>
        <v>0</v>
      </c>
      <c r="E410" s="9" t="e">
        <f>C410/((1+#REF!/12)^((('Pay off vs Invest'!$B$2-'Pay off vs Invest'!$B$1)*12)-Calculations!A410))</f>
        <v>#REF!</v>
      </c>
    </row>
    <row r="411" spans="1:5" ht="15.75" customHeight="1">
      <c r="A411" s="9">
        <f t="shared" si="23"/>
        <v>410</v>
      </c>
      <c r="B411" s="8">
        <f t="shared" ref="B411:B421" si="36">B410</f>
        <v>178833.68903313659</v>
      </c>
      <c r="C411" s="9">
        <f>IF(A411&lt;=('Pay off vs Invest'!$B$2-'Pay off vs Invest'!$B$1)*12,Calculations!B411*(1+#REF!/12)^(('Pay off vs Invest'!$B$2-'Pay off vs Invest'!$B$1)*12-A411),0)</f>
        <v>0</v>
      </c>
      <c r="E411" s="9" t="e">
        <f>C411/((1+#REF!/12)^((('Pay off vs Invest'!$B$2-'Pay off vs Invest'!$B$1)*12)-Calculations!A411))</f>
        <v>#REF!</v>
      </c>
    </row>
    <row r="412" spans="1:5" ht="15.75" customHeight="1">
      <c r="A412" s="9">
        <f t="shared" si="23"/>
        <v>411</v>
      </c>
      <c r="B412" s="8">
        <f t="shared" si="36"/>
        <v>178833.68903313659</v>
      </c>
      <c r="C412" s="9">
        <f>IF(A412&lt;=('Pay off vs Invest'!$B$2-'Pay off vs Invest'!$B$1)*12,Calculations!B412*(1+#REF!/12)^(('Pay off vs Invest'!$B$2-'Pay off vs Invest'!$B$1)*12-A412),0)</f>
        <v>0</v>
      </c>
      <c r="E412" s="9" t="e">
        <f>C412/((1+#REF!/12)^((('Pay off vs Invest'!$B$2-'Pay off vs Invest'!$B$1)*12)-Calculations!A412))</f>
        <v>#REF!</v>
      </c>
    </row>
    <row r="413" spans="1:5" ht="15.75" customHeight="1">
      <c r="A413" s="9">
        <f t="shared" si="23"/>
        <v>412</v>
      </c>
      <c r="B413" s="8">
        <f t="shared" si="36"/>
        <v>178833.68903313659</v>
      </c>
      <c r="C413" s="9">
        <f>IF(A413&lt;=('Pay off vs Invest'!$B$2-'Pay off vs Invest'!$B$1)*12,Calculations!B413*(1+#REF!/12)^(('Pay off vs Invest'!$B$2-'Pay off vs Invest'!$B$1)*12-A413),0)</f>
        <v>0</v>
      </c>
      <c r="E413" s="9" t="e">
        <f>C413/((1+#REF!/12)^((('Pay off vs Invest'!$B$2-'Pay off vs Invest'!$B$1)*12)-Calculations!A413))</f>
        <v>#REF!</v>
      </c>
    </row>
    <row r="414" spans="1:5" ht="15.75" customHeight="1">
      <c r="A414" s="9">
        <f t="shared" si="23"/>
        <v>413</v>
      </c>
      <c r="B414" s="8">
        <f t="shared" si="36"/>
        <v>178833.68903313659</v>
      </c>
      <c r="C414" s="9">
        <f>IF(A414&lt;=('Pay off vs Invest'!$B$2-'Pay off vs Invest'!$B$1)*12,Calculations!B414*(1+#REF!/12)^(('Pay off vs Invest'!$B$2-'Pay off vs Invest'!$B$1)*12-A414),0)</f>
        <v>0</v>
      </c>
      <c r="E414" s="9" t="e">
        <f>C414/((1+#REF!/12)^((('Pay off vs Invest'!$B$2-'Pay off vs Invest'!$B$1)*12)-Calculations!A414))</f>
        <v>#REF!</v>
      </c>
    </row>
    <row r="415" spans="1:5" ht="15.75" customHeight="1">
      <c r="A415" s="9">
        <f t="shared" si="23"/>
        <v>414</v>
      </c>
      <c r="B415" s="8">
        <f t="shared" si="36"/>
        <v>178833.68903313659</v>
      </c>
      <c r="C415" s="9">
        <f>IF(A415&lt;=('Pay off vs Invest'!$B$2-'Pay off vs Invest'!$B$1)*12,Calculations!B415*(1+#REF!/12)^(('Pay off vs Invest'!$B$2-'Pay off vs Invest'!$B$1)*12-A415),0)</f>
        <v>0</v>
      </c>
      <c r="E415" s="9" t="e">
        <f>C415/((1+#REF!/12)^((('Pay off vs Invest'!$B$2-'Pay off vs Invest'!$B$1)*12)-Calculations!A415))</f>
        <v>#REF!</v>
      </c>
    </row>
    <row r="416" spans="1:5" ht="15.75" customHeight="1">
      <c r="A416" s="9">
        <f t="shared" si="23"/>
        <v>415</v>
      </c>
      <c r="B416" s="8">
        <f t="shared" si="36"/>
        <v>178833.68903313659</v>
      </c>
      <c r="C416" s="9">
        <f>IF(A416&lt;=('Pay off vs Invest'!$B$2-'Pay off vs Invest'!$B$1)*12,Calculations!B416*(1+#REF!/12)^(('Pay off vs Invest'!$B$2-'Pay off vs Invest'!$B$1)*12-A416),0)</f>
        <v>0</v>
      </c>
      <c r="E416" s="9" t="e">
        <f>C416/((1+#REF!/12)^((('Pay off vs Invest'!$B$2-'Pay off vs Invest'!$B$1)*12)-Calculations!A416))</f>
        <v>#REF!</v>
      </c>
    </row>
    <row r="417" spans="1:5" ht="15.75" customHeight="1">
      <c r="A417" s="9">
        <f t="shared" si="23"/>
        <v>416</v>
      </c>
      <c r="B417" s="8">
        <f t="shared" si="36"/>
        <v>178833.68903313659</v>
      </c>
      <c r="C417" s="9">
        <f>IF(A417&lt;=('Pay off vs Invest'!$B$2-'Pay off vs Invest'!$B$1)*12,Calculations!B417*(1+#REF!/12)^(('Pay off vs Invest'!$B$2-'Pay off vs Invest'!$B$1)*12-A417),0)</f>
        <v>0</v>
      </c>
      <c r="E417" s="9" t="e">
        <f>C417/((1+#REF!/12)^((('Pay off vs Invest'!$B$2-'Pay off vs Invest'!$B$1)*12)-Calculations!A417))</f>
        <v>#REF!</v>
      </c>
    </row>
    <row r="418" spans="1:5" ht="15.75" customHeight="1">
      <c r="A418" s="9">
        <f t="shared" si="23"/>
        <v>417</v>
      </c>
      <c r="B418" s="8">
        <f t="shared" si="36"/>
        <v>178833.68903313659</v>
      </c>
      <c r="C418" s="9">
        <f>IF(A418&lt;=('Pay off vs Invest'!$B$2-'Pay off vs Invest'!$B$1)*12,Calculations!B418*(1+#REF!/12)^(('Pay off vs Invest'!$B$2-'Pay off vs Invest'!$B$1)*12-A418),0)</f>
        <v>0</v>
      </c>
      <c r="E418" s="9" t="e">
        <f>C418/((1+#REF!/12)^((('Pay off vs Invest'!$B$2-'Pay off vs Invest'!$B$1)*12)-Calculations!A418))</f>
        <v>#REF!</v>
      </c>
    </row>
    <row r="419" spans="1:5" ht="15.75" customHeight="1">
      <c r="A419" s="9">
        <f t="shared" si="23"/>
        <v>418</v>
      </c>
      <c r="B419" s="8">
        <f t="shared" si="36"/>
        <v>178833.68903313659</v>
      </c>
      <c r="C419" s="9">
        <f>IF(A419&lt;=('Pay off vs Invest'!$B$2-'Pay off vs Invest'!$B$1)*12,Calculations!B419*(1+#REF!/12)^(('Pay off vs Invest'!$B$2-'Pay off vs Invest'!$B$1)*12-A419),0)</f>
        <v>0</v>
      </c>
      <c r="E419" s="9" t="e">
        <f>C419/((1+#REF!/12)^((('Pay off vs Invest'!$B$2-'Pay off vs Invest'!$B$1)*12)-Calculations!A419))</f>
        <v>#REF!</v>
      </c>
    </row>
    <row r="420" spans="1:5" ht="15.75" customHeight="1">
      <c r="A420" s="9">
        <f t="shared" si="23"/>
        <v>419</v>
      </c>
      <c r="B420" s="8">
        <f t="shared" si="36"/>
        <v>178833.68903313659</v>
      </c>
      <c r="C420" s="9">
        <f>IF(A420&lt;=('Pay off vs Invest'!$B$2-'Pay off vs Invest'!$B$1)*12,Calculations!B420*(1+#REF!/12)^(('Pay off vs Invest'!$B$2-'Pay off vs Invest'!$B$1)*12-A420),0)</f>
        <v>0</v>
      </c>
      <c r="E420" s="9" t="e">
        <f>C420/((1+#REF!/12)^((('Pay off vs Invest'!$B$2-'Pay off vs Invest'!$B$1)*12)-Calculations!A420))</f>
        <v>#REF!</v>
      </c>
    </row>
    <row r="421" spans="1:5" ht="15.75" customHeight="1">
      <c r="A421" s="9">
        <f t="shared" si="23"/>
        <v>420</v>
      </c>
      <c r="B421" s="8">
        <f t="shared" si="36"/>
        <v>178833.68903313659</v>
      </c>
      <c r="C421" s="9">
        <f>IF(A421&lt;=('Pay off vs Invest'!$B$2-'Pay off vs Invest'!$B$1)*12,Calculations!B421*(1+#REF!/12)^(('Pay off vs Invest'!$B$2-'Pay off vs Invest'!$B$1)*12-A421),0)</f>
        <v>0</v>
      </c>
      <c r="E421" s="9" t="e">
        <f>C421/((1+#REF!/12)^((('Pay off vs Invest'!$B$2-'Pay off vs Invest'!$B$1)*12)-Calculations!A421))</f>
        <v>#REF!</v>
      </c>
    </row>
    <row r="422" spans="1:5" ht="15.75" customHeight="1">
      <c r="A422" s="9">
        <f t="shared" si="23"/>
        <v>421</v>
      </c>
      <c r="B422" s="8">
        <f>B421*(1+'Pay off vs Invest'!$B$7)</f>
        <v>196717.05793645026</v>
      </c>
      <c r="C422" s="9">
        <f>IF(A422&lt;=('Pay off vs Invest'!$B$2-'Pay off vs Invest'!$B$1)*12,Calculations!B422*(1+#REF!/12)^(('Pay off vs Invest'!$B$2-'Pay off vs Invest'!$B$1)*12-A422),0)</f>
        <v>0</v>
      </c>
      <c r="E422" s="9" t="e">
        <f>C422/((1+#REF!/12)^((('Pay off vs Invest'!$B$2-'Pay off vs Invest'!$B$1)*12)-Calculations!A422))</f>
        <v>#REF!</v>
      </c>
    </row>
    <row r="423" spans="1:5" ht="15.75" customHeight="1">
      <c r="A423" s="9">
        <f t="shared" si="23"/>
        <v>422</v>
      </c>
      <c r="B423" s="8">
        <f t="shared" ref="B423:B433" si="37">B422</f>
        <v>196717.05793645026</v>
      </c>
      <c r="C423" s="9">
        <f>IF(A423&lt;=('Pay off vs Invest'!$B$2-'Pay off vs Invest'!$B$1)*12,Calculations!B423*(1+#REF!/12)^(('Pay off vs Invest'!$B$2-'Pay off vs Invest'!$B$1)*12-A423),0)</f>
        <v>0</v>
      </c>
      <c r="E423" s="9" t="e">
        <f>C423/((1+#REF!/12)^((('Pay off vs Invest'!$B$2-'Pay off vs Invest'!$B$1)*12)-Calculations!A423))</f>
        <v>#REF!</v>
      </c>
    </row>
    <row r="424" spans="1:5" ht="15.75" customHeight="1">
      <c r="A424" s="9">
        <f t="shared" si="23"/>
        <v>423</v>
      </c>
      <c r="B424" s="8">
        <f t="shared" si="37"/>
        <v>196717.05793645026</v>
      </c>
      <c r="C424" s="9">
        <f>IF(A424&lt;=('Pay off vs Invest'!$B$2-'Pay off vs Invest'!$B$1)*12,Calculations!B424*(1+#REF!/12)^(('Pay off vs Invest'!$B$2-'Pay off vs Invest'!$B$1)*12-A424),0)</f>
        <v>0</v>
      </c>
      <c r="E424" s="9" t="e">
        <f>C424/((1+#REF!/12)^((('Pay off vs Invest'!$B$2-'Pay off vs Invest'!$B$1)*12)-Calculations!A424))</f>
        <v>#REF!</v>
      </c>
    </row>
    <row r="425" spans="1:5" ht="15.75" customHeight="1">
      <c r="A425" s="9">
        <f t="shared" si="23"/>
        <v>424</v>
      </c>
      <c r="B425" s="8">
        <f t="shared" si="37"/>
        <v>196717.05793645026</v>
      </c>
      <c r="C425" s="9">
        <f>IF(A425&lt;=('Pay off vs Invest'!$B$2-'Pay off vs Invest'!$B$1)*12,Calculations!B425*(1+#REF!/12)^(('Pay off vs Invest'!$B$2-'Pay off vs Invest'!$B$1)*12-A425),0)</f>
        <v>0</v>
      </c>
      <c r="E425" s="9" t="e">
        <f>C425/((1+#REF!/12)^((('Pay off vs Invest'!$B$2-'Pay off vs Invest'!$B$1)*12)-Calculations!A425))</f>
        <v>#REF!</v>
      </c>
    </row>
    <row r="426" spans="1:5" ht="15.75" customHeight="1">
      <c r="A426" s="9">
        <f t="shared" si="23"/>
        <v>425</v>
      </c>
      <c r="B426" s="8">
        <f t="shared" si="37"/>
        <v>196717.05793645026</v>
      </c>
      <c r="C426" s="9">
        <f>IF(A426&lt;=('Pay off vs Invest'!$B$2-'Pay off vs Invest'!$B$1)*12,Calculations!B426*(1+#REF!/12)^(('Pay off vs Invest'!$B$2-'Pay off vs Invest'!$B$1)*12-A426),0)</f>
        <v>0</v>
      </c>
      <c r="E426" s="9" t="e">
        <f>C426/((1+#REF!/12)^((('Pay off vs Invest'!$B$2-'Pay off vs Invest'!$B$1)*12)-Calculations!A426))</f>
        <v>#REF!</v>
      </c>
    </row>
    <row r="427" spans="1:5" ht="15.75" customHeight="1">
      <c r="A427" s="9">
        <f t="shared" si="23"/>
        <v>426</v>
      </c>
      <c r="B427" s="8">
        <f t="shared" si="37"/>
        <v>196717.05793645026</v>
      </c>
      <c r="C427" s="9">
        <f>IF(A427&lt;=('Pay off vs Invest'!$B$2-'Pay off vs Invest'!$B$1)*12,Calculations!B427*(1+#REF!/12)^(('Pay off vs Invest'!$B$2-'Pay off vs Invest'!$B$1)*12-A427),0)</f>
        <v>0</v>
      </c>
      <c r="E427" s="9" t="e">
        <f>C427/((1+#REF!/12)^((('Pay off vs Invest'!$B$2-'Pay off vs Invest'!$B$1)*12)-Calculations!A427))</f>
        <v>#REF!</v>
      </c>
    </row>
    <row r="428" spans="1:5" ht="15.75" customHeight="1">
      <c r="A428" s="9">
        <f t="shared" si="23"/>
        <v>427</v>
      </c>
      <c r="B428" s="8">
        <f t="shared" si="37"/>
        <v>196717.05793645026</v>
      </c>
      <c r="C428" s="9">
        <f>IF(A428&lt;=('Pay off vs Invest'!$B$2-'Pay off vs Invest'!$B$1)*12,Calculations!B428*(1+#REF!/12)^(('Pay off vs Invest'!$B$2-'Pay off vs Invest'!$B$1)*12-A428),0)</f>
        <v>0</v>
      </c>
      <c r="E428" s="9" t="e">
        <f>C428/((1+#REF!/12)^((('Pay off vs Invest'!$B$2-'Pay off vs Invest'!$B$1)*12)-Calculations!A428))</f>
        <v>#REF!</v>
      </c>
    </row>
    <row r="429" spans="1:5" ht="15.75" customHeight="1">
      <c r="A429" s="9">
        <f t="shared" si="23"/>
        <v>428</v>
      </c>
      <c r="B429" s="8">
        <f t="shared" si="37"/>
        <v>196717.05793645026</v>
      </c>
      <c r="C429" s="9">
        <f>IF(A429&lt;=('Pay off vs Invest'!$B$2-'Pay off vs Invest'!$B$1)*12,Calculations!B429*(1+#REF!/12)^(('Pay off vs Invest'!$B$2-'Pay off vs Invest'!$B$1)*12-A429),0)</f>
        <v>0</v>
      </c>
      <c r="E429" s="9" t="e">
        <f>C429/((1+#REF!/12)^((('Pay off vs Invest'!$B$2-'Pay off vs Invest'!$B$1)*12)-Calculations!A429))</f>
        <v>#REF!</v>
      </c>
    </row>
    <row r="430" spans="1:5" ht="15.75" customHeight="1">
      <c r="A430" s="9">
        <f t="shared" si="23"/>
        <v>429</v>
      </c>
      <c r="B430" s="8">
        <f t="shared" si="37"/>
        <v>196717.05793645026</v>
      </c>
      <c r="C430" s="9">
        <f>IF(A430&lt;=('Pay off vs Invest'!$B$2-'Pay off vs Invest'!$B$1)*12,Calculations!B430*(1+#REF!/12)^(('Pay off vs Invest'!$B$2-'Pay off vs Invest'!$B$1)*12-A430),0)</f>
        <v>0</v>
      </c>
      <c r="E430" s="9" t="e">
        <f>C430/((1+#REF!/12)^((('Pay off vs Invest'!$B$2-'Pay off vs Invest'!$B$1)*12)-Calculations!A430))</f>
        <v>#REF!</v>
      </c>
    </row>
    <row r="431" spans="1:5" ht="15.75" customHeight="1">
      <c r="A431" s="9">
        <f t="shared" si="23"/>
        <v>430</v>
      </c>
      <c r="B431" s="8">
        <f t="shared" si="37"/>
        <v>196717.05793645026</v>
      </c>
      <c r="C431" s="9">
        <f>IF(A431&lt;=('Pay off vs Invest'!$B$2-'Pay off vs Invest'!$B$1)*12,Calculations!B431*(1+#REF!/12)^(('Pay off vs Invest'!$B$2-'Pay off vs Invest'!$B$1)*12-A431),0)</f>
        <v>0</v>
      </c>
      <c r="E431" s="9" t="e">
        <f>C431/((1+#REF!/12)^((('Pay off vs Invest'!$B$2-'Pay off vs Invest'!$B$1)*12)-Calculations!A431))</f>
        <v>#REF!</v>
      </c>
    </row>
    <row r="432" spans="1:5" ht="15.75" customHeight="1">
      <c r="A432" s="9">
        <f t="shared" si="23"/>
        <v>431</v>
      </c>
      <c r="B432" s="8">
        <f t="shared" si="37"/>
        <v>196717.05793645026</v>
      </c>
      <c r="C432" s="9">
        <f>IF(A432&lt;=('Pay off vs Invest'!$B$2-'Pay off vs Invest'!$B$1)*12,Calculations!B432*(1+#REF!/12)^(('Pay off vs Invest'!$B$2-'Pay off vs Invest'!$B$1)*12-A432),0)</f>
        <v>0</v>
      </c>
      <c r="E432" s="9" t="e">
        <f>C432/((1+#REF!/12)^((('Pay off vs Invest'!$B$2-'Pay off vs Invest'!$B$1)*12)-Calculations!A432))</f>
        <v>#REF!</v>
      </c>
    </row>
    <row r="433" spans="1:5" ht="15.75" customHeight="1">
      <c r="A433" s="9">
        <f t="shared" si="23"/>
        <v>432</v>
      </c>
      <c r="B433" s="8">
        <f t="shared" si="37"/>
        <v>196717.05793645026</v>
      </c>
      <c r="C433" s="9">
        <f>IF(A433&lt;=('Pay off vs Invest'!$B$2-'Pay off vs Invest'!$B$1)*12,Calculations!B433*(1+#REF!/12)^(('Pay off vs Invest'!$B$2-'Pay off vs Invest'!$B$1)*12-A433),0)</f>
        <v>0</v>
      </c>
      <c r="E433" s="9" t="e">
        <f>C433/((1+#REF!/12)^((('Pay off vs Invest'!$B$2-'Pay off vs Invest'!$B$1)*12)-Calculations!A433))</f>
        <v>#REF!</v>
      </c>
    </row>
    <row r="434" spans="1:5" ht="15.75" customHeight="1">
      <c r="A434" s="9">
        <f t="shared" si="23"/>
        <v>433</v>
      </c>
      <c r="B434" s="8">
        <f>B433*(1+'Pay off vs Invest'!$B$7)</f>
        <v>216388.76373009532</v>
      </c>
      <c r="C434" s="9">
        <f>IF(A434&lt;=('Pay off vs Invest'!$B$2-'Pay off vs Invest'!$B$1)*12,Calculations!B434*(1+#REF!/12)^(('Pay off vs Invest'!$B$2-'Pay off vs Invest'!$B$1)*12-A434),0)</f>
        <v>0</v>
      </c>
      <c r="E434" s="9" t="e">
        <f>C434/((1+#REF!/12)^((('Pay off vs Invest'!$B$2-'Pay off vs Invest'!$B$1)*12)-Calculations!A434))</f>
        <v>#REF!</v>
      </c>
    </row>
    <row r="435" spans="1:5" ht="15.75" customHeight="1">
      <c r="A435" s="9">
        <f t="shared" si="23"/>
        <v>434</v>
      </c>
      <c r="B435" s="8">
        <f t="shared" ref="B435:B445" si="38">B434</f>
        <v>216388.76373009532</v>
      </c>
      <c r="C435" s="9">
        <f>IF(A435&lt;=('Pay off vs Invest'!$B$2-'Pay off vs Invest'!$B$1)*12,Calculations!B435*(1+#REF!/12)^(('Pay off vs Invest'!$B$2-'Pay off vs Invest'!$B$1)*12-A435),0)</f>
        <v>0</v>
      </c>
      <c r="E435" s="9" t="e">
        <f>C435/((1+#REF!/12)^((('Pay off vs Invest'!$B$2-'Pay off vs Invest'!$B$1)*12)-Calculations!A435))</f>
        <v>#REF!</v>
      </c>
    </row>
    <row r="436" spans="1:5" ht="15.75" customHeight="1">
      <c r="A436" s="9">
        <f t="shared" si="23"/>
        <v>435</v>
      </c>
      <c r="B436" s="8">
        <f t="shared" si="38"/>
        <v>216388.76373009532</v>
      </c>
      <c r="C436" s="9">
        <f>IF(A436&lt;=('Pay off vs Invest'!$B$2-'Pay off vs Invest'!$B$1)*12,Calculations!B436*(1+#REF!/12)^(('Pay off vs Invest'!$B$2-'Pay off vs Invest'!$B$1)*12-A436),0)</f>
        <v>0</v>
      </c>
      <c r="E436" s="9" t="e">
        <f>C436/((1+#REF!/12)^((('Pay off vs Invest'!$B$2-'Pay off vs Invest'!$B$1)*12)-Calculations!A436))</f>
        <v>#REF!</v>
      </c>
    </row>
    <row r="437" spans="1:5" ht="15.75" customHeight="1">
      <c r="A437" s="9">
        <f t="shared" si="23"/>
        <v>436</v>
      </c>
      <c r="B437" s="8">
        <f t="shared" si="38"/>
        <v>216388.76373009532</v>
      </c>
      <c r="C437" s="9">
        <f>IF(A437&lt;=('Pay off vs Invest'!$B$2-'Pay off vs Invest'!$B$1)*12,Calculations!B437*(1+#REF!/12)^(('Pay off vs Invest'!$B$2-'Pay off vs Invest'!$B$1)*12-A437),0)</f>
        <v>0</v>
      </c>
      <c r="E437" s="9" t="e">
        <f>C437/((1+#REF!/12)^((('Pay off vs Invest'!$B$2-'Pay off vs Invest'!$B$1)*12)-Calculations!A437))</f>
        <v>#REF!</v>
      </c>
    </row>
    <row r="438" spans="1:5" ht="15.75" customHeight="1">
      <c r="A438" s="9">
        <f t="shared" si="23"/>
        <v>437</v>
      </c>
      <c r="B438" s="8">
        <f t="shared" si="38"/>
        <v>216388.76373009532</v>
      </c>
      <c r="C438" s="9">
        <f>IF(A438&lt;=('Pay off vs Invest'!$B$2-'Pay off vs Invest'!$B$1)*12,Calculations!B438*(1+#REF!/12)^(('Pay off vs Invest'!$B$2-'Pay off vs Invest'!$B$1)*12-A438),0)</f>
        <v>0</v>
      </c>
      <c r="E438" s="9" t="e">
        <f>C438/((1+#REF!/12)^((('Pay off vs Invest'!$B$2-'Pay off vs Invest'!$B$1)*12)-Calculations!A438))</f>
        <v>#REF!</v>
      </c>
    </row>
    <row r="439" spans="1:5" ht="15.75" customHeight="1">
      <c r="A439" s="9">
        <f t="shared" si="23"/>
        <v>438</v>
      </c>
      <c r="B439" s="8">
        <f t="shared" si="38"/>
        <v>216388.76373009532</v>
      </c>
      <c r="C439" s="9">
        <f>IF(A439&lt;=('Pay off vs Invest'!$B$2-'Pay off vs Invest'!$B$1)*12,Calculations!B439*(1+#REF!/12)^(('Pay off vs Invest'!$B$2-'Pay off vs Invest'!$B$1)*12-A439),0)</f>
        <v>0</v>
      </c>
      <c r="E439" s="9" t="e">
        <f>C439/((1+#REF!/12)^((('Pay off vs Invest'!$B$2-'Pay off vs Invest'!$B$1)*12)-Calculations!A439))</f>
        <v>#REF!</v>
      </c>
    </row>
    <row r="440" spans="1:5" ht="15.75" customHeight="1">
      <c r="A440" s="9">
        <f t="shared" si="23"/>
        <v>439</v>
      </c>
      <c r="B440" s="8">
        <f t="shared" si="38"/>
        <v>216388.76373009532</v>
      </c>
      <c r="C440" s="9">
        <f>IF(A440&lt;=('Pay off vs Invest'!$B$2-'Pay off vs Invest'!$B$1)*12,Calculations!B440*(1+#REF!/12)^(('Pay off vs Invest'!$B$2-'Pay off vs Invest'!$B$1)*12-A440),0)</f>
        <v>0</v>
      </c>
      <c r="E440" s="9" t="e">
        <f>C440/((1+#REF!/12)^((('Pay off vs Invest'!$B$2-'Pay off vs Invest'!$B$1)*12)-Calculations!A440))</f>
        <v>#REF!</v>
      </c>
    </row>
    <row r="441" spans="1:5" ht="15.75" customHeight="1">
      <c r="A441" s="9">
        <f t="shared" si="23"/>
        <v>440</v>
      </c>
      <c r="B441" s="8">
        <f t="shared" si="38"/>
        <v>216388.76373009532</v>
      </c>
      <c r="C441" s="9">
        <f>IF(A441&lt;=('Pay off vs Invest'!$B$2-'Pay off vs Invest'!$B$1)*12,Calculations!B441*(1+#REF!/12)^(('Pay off vs Invest'!$B$2-'Pay off vs Invest'!$B$1)*12-A441),0)</f>
        <v>0</v>
      </c>
      <c r="E441" s="9" t="e">
        <f>C441/((1+#REF!/12)^((('Pay off vs Invest'!$B$2-'Pay off vs Invest'!$B$1)*12)-Calculations!A441))</f>
        <v>#REF!</v>
      </c>
    </row>
    <row r="442" spans="1:5" ht="15.75" customHeight="1">
      <c r="A442" s="9">
        <f t="shared" si="23"/>
        <v>441</v>
      </c>
      <c r="B442" s="8">
        <f t="shared" si="38"/>
        <v>216388.76373009532</v>
      </c>
      <c r="C442" s="9">
        <f>IF(A442&lt;=('Pay off vs Invest'!$B$2-'Pay off vs Invest'!$B$1)*12,Calculations!B442*(1+#REF!/12)^(('Pay off vs Invest'!$B$2-'Pay off vs Invest'!$B$1)*12-A442),0)</f>
        <v>0</v>
      </c>
      <c r="E442" s="9" t="e">
        <f>C442/((1+#REF!/12)^((('Pay off vs Invest'!$B$2-'Pay off vs Invest'!$B$1)*12)-Calculations!A442))</f>
        <v>#REF!</v>
      </c>
    </row>
    <row r="443" spans="1:5" ht="15.75" customHeight="1">
      <c r="A443" s="9">
        <f t="shared" si="23"/>
        <v>442</v>
      </c>
      <c r="B443" s="8">
        <f t="shared" si="38"/>
        <v>216388.76373009532</v>
      </c>
      <c r="C443" s="9">
        <f>IF(A443&lt;=('Pay off vs Invest'!$B$2-'Pay off vs Invest'!$B$1)*12,Calculations!B443*(1+#REF!/12)^(('Pay off vs Invest'!$B$2-'Pay off vs Invest'!$B$1)*12-A443),0)</f>
        <v>0</v>
      </c>
      <c r="E443" s="9" t="e">
        <f>C443/((1+#REF!/12)^((('Pay off vs Invest'!$B$2-'Pay off vs Invest'!$B$1)*12)-Calculations!A443))</f>
        <v>#REF!</v>
      </c>
    </row>
    <row r="444" spans="1:5" ht="15.75" customHeight="1">
      <c r="A444" s="9">
        <f t="shared" si="23"/>
        <v>443</v>
      </c>
      <c r="B444" s="8">
        <f t="shared" si="38"/>
        <v>216388.76373009532</v>
      </c>
      <c r="C444" s="9">
        <f>IF(A444&lt;=('Pay off vs Invest'!$B$2-'Pay off vs Invest'!$B$1)*12,Calculations!B444*(1+#REF!/12)^(('Pay off vs Invest'!$B$2-'Pay off vs Invest'!$B$1)*12-A444),0)</f>
        <v>0</v>
      </c>
      <c r="E444" s="9" t="e">
        <f>C444/((1+#REF!/12)^((('Pay off vs Invest'!$B$2-'Pay off vs Invest'!$B$1)*12)-Calculations!A444))</f>
        <v>#REF!</v>
      </c>
    </row>
    <row r="445" spans="1:5" ht="15.75" customHeight="1">
      <c r="A445" s="9">
        <f t="shared" si="23"/>
        <v>444</v>
      </c>
      <c r="B445" s="8">
        <f t="shared" si="38"/>
        <v>216388.76373009532</v>
      </c>
      <c r="C445" s="9">
        <f>IF(A445&lt;=('Pay off vs Invest'!$B$2-'Pay off vs Invest'!$B$1)*12,Calculations!B445*(1+#REF!/12)^(('Pay off vs Invest'!$B$2-'Pay off vs Invest'!$B$1)*12-A445),0)</f>
        <v>0</v>
      </c>
      <c r="E445" s="9" t="e">
        <f>C445/((1+#REF!/12)^((('Pay off vs Invest'!$B$2-'Pay off vs Invest'!$B$1)*12)-Calculations!A445))</f>
        <v>#REF!</v>
      </c>
    </row>
    <row r="446" spans="1:5" ht="15.75" customHeight="1">
      <c r="A446" s="9">
        <f t="shared" si="23"/>
        <v>445</v>
      </c>
      <c r="B446" s="8">
        <f>B445*(1+'Pay off vs Invest'!$B$7)</f>
        <v>238027.64010310487</v>
      </c>
      <c r="C446" s="9">
        <f>IF(A446&lt;=('Pay off vs Invest'!$B$2-'Pay off vs Invest'!$B$1)*12,Calculations!B446*(1+#REF!/12)^(('Pay off vs Invest'!$B$2-'Pay off vs Invest'!$B$1)*12-A446),0)</f>
        <v>0</v>
      </c>
      <c r="E446" s="9" t="e">
        <f>C446/((1+#REF!/12)^((('Pay off vs Invest'!$B$2-'Pay off vs Invest'!$B$1)*12)-Calculations!A446))</f>
        <v>#REF!</v>
      </c>
    </row>
    <row r="447" spans="1:5" ht="15.75" customHeight="1">
      <c r="A447" s="9">
        <f t="shared" si="23"/>
        <v>446</v>
      </c>
      <c r="B447" s="8">
        <f t="shared" ref="B447:B457" si="39">B446</f>
        <v>238027.64010310487</v>
      </c>
      <c r="C447" s="9">
        <f>IF(A447&lt;=('Pay off vs Invest'!$B$2-'Pay off vs Invest'!$B$1)*12,Calculations!B447*(1+#REF!/12)^(('Pay off vs Invest'!$B$2-'Pay off vs Invest'!$B$1)*12-A447),0)</f>
        <v>0</v>
      </c>
      <c r="E447" s="9" t="e">
        <f>C447/((1+#REF!/12)^((('Pay off vs Invest'!$B$2-'Pay off vs Invest'!$B$1)*12)-Calculations!A447))</f>
        <v>#REF!</v>
      </c>
    </row>
    <row r="448" spans="1:5" ht="15.75" customHeight="1">
      <c r="A448" s="9">
        <f t="shared" si="23"/>
        <v>447</v>
      </c>
      <c r="B448" s="8">
        <f t="shared" si="39"/>
        <v>238027.64010310487</v>
      </c>
      <c r="C448" s="9">
        <f>IF(A448&lt;=('Pay off vs Invest'!$B$2-'Pay off vs Invest'!$B$1)*12,Calculations!B448*(1+#REF!/12)^(('Pay off vs Invest'!$B$2-'Pay off vs Invest'!$B$1)*12-A448),0)</f>
        <v>0</v>
      </c>
      <c r="E448" s="9" t="e">
        <f>C448/((1+#REF!/12)^((('Pay off vs Invest'!$B$2-'Pay off vs Invest'!$B$1)*12)-Calculations!A448))</f>
        <v>#REF!</v>
      </c>
    </row>
    <row r="449" spans="1:5" ht="15.75" customHeight="1">
      <c r="A449" s="9">
        <f t="shared" si="23"/>
        <v>448</v>
      </c>
      <c r="B449" s="8">
        <f t="shared" si="39"/>
        <v>238027.64010310487</v>
      </c>
      <c r="C449" s="9">
        <f>IF(A449&lt;=('Pay off vs Invest'!$B$2-'Pay off vs Invest'!$B$1)*12,Calculations!B449*(1+#REF!/12)^(('Pay off vs Invest'!$B$2-'Pay off vs Invest'!$B$1)*12-A449),0)</f>
        <v>0</v>
      </c>
      <c r="E449" s="9" t="e">
        <f>C449/((1+#REF!/12)^((('Pay off vs Invest'!$B$2-'Pay off vs Invest'!$B$1)*12)-Calculations!A449))</f>
        <v>#REF!</v>
      </c>
    </row>
    <row r="450" spans="1:5" ht="15.75" customHeight="1">
      <c r="A450" s="9">
        <f t="shared" si="23"/>
        <v>449</v>
      </c>
      <c r="B450" s="8">
        <f t="shared" si="39"/>
        <v>238027.64010310487</v>
      </c>
      <c r="C450" s="9">
        <f>IF(A450&lt;=('Pay off vs Invest'!$B$2-'Pay off vs Invest'!$B$1)*12,Calculations!B450*(1+#REF!/12)^(('Pay off vs Invest'!$B$2-'Pay off vs Invest'!$B$1)*12-A450),0)</f>
        <v>0</v>
      </c>
      <c r="E450" s="9" t="e">
        <f>C450/((1+#REF!/12)^((('Pay off vs Invest'!$B$2-'Pay off vs Invest'!$B$1)*12)-Calculations!A450))</f>
        <v>#REF!</v>
      </c>
    </row>
    <row r="451" spans="1:5" ht="15.75" customHeight="1">
      <c r="A451" s="9">
        <f t="shared" si="23"/>
        <v>450</v>
      </c>
      <c r="B451" s="8">
        <f t="shared" si="39"/>
        <v>238027.64010310487</v>
      </c>
      <c r="C451" s="9">
        <f>IF(A451&lt;=('Pay off vs Invest'!$B$2-'Pay off vs Invest'!$B$1)*12,Calculations!B451*(1+#REF!/12)^(('Pay off vs Invest'!$B$2-'Pay off vs Invest'!$B$1)*12-A451),0)</f>
        <v>0</v>
      </c>
      <c r="E451" s="9" t="e">
        <f>C451/((1+#REF!/12)^((('Pay off vs Invest'!$B$2-'Pay off vs Invest'!$B$1)*12)-Calculations!A451))</f>
        <v>#REF!</v>
      </c>
    </row>
    <row r="452" spans="1:5" ht="15.75" customHeight="1">
      <c r="A452" s="9">
        <f t="shared" si="23"/>
        <v>451</v>
      </c>
      <c r="B452" s="8">
        <f t="shared" si="39"/>
        <v>238027.64010310487</v>
      </c>
      <c r="C452" s="9">
        <f>IF(A452&lt;=('Pay off vs Invest'!$B$2-'Pay off vs Invest'!$B$1)*12,Calculations!B452*(1+#REF!/12)^(('Pay off vs Invest'!$B$2-'Pay off vs Invest'!$B$1)*12-A452),0)</f>
        <v>0</v>
      </c>
      <c r="E452" s="9" t="e">
        <f>C452/((1+#REF!/12)^((('Pay off vs Invest'!$B$2-'Pay off vs Invest'!$B$1)*12)-Calculations!A452))</f>
        <v>#REF!</v>
      </c>
    </row>
    <row r="453" spans="1:5" ht="15.75" customHeight="1">
      <c r="A453" s="9">
        <f t="shared" si="23"/>
        <v>452</v>
      </c>
      <c r="B453" s="8">
        <f t="shared" si="39"/>
        <v>238027.64010310487</v>
      </c>
      <c r="C453" s="9">
        <f>IF(A453&lt;=('Pay off vs Invest'!$B$2-'Pay off vs Invest'!$B$1)*12,Calculations!B453*(1+#REF!/12)^(('Pay off vs Invest'!$B$2-'Pay off vs Invest'!$B$1)*12-A453),0)</f>
        <v>0</v>
      </c>
      <c r="E453" s="9" t="e">
        <f>C453/((1+#REF!/12)^((('Pay off vs Invest'!$B$2-'Pay off vs Invest'!$B$1)*12)-Calculations!A453))</f>
        <v>#REF!</v>
      </c>
    </row>
    <row r="454" spans="1:5" ht="15.75" customHeight="1">
      <c r="A454" s="9">
        <f t="shared" si="23"/>
        <v>453</v>
      </c>
      <c r="B454" s="8">
        <f t="shared" si="39"/>
        <v>238027.64010310487</v>
      </c>
      <c r="C454" s="9">
        <f>IF(A454&lt;=('Pay off vs Invest'!$B$2-'Pay off vs Invest'!$B$1)*12,Calculations!B454*(1+#REF!/12)^(('Pay off vs Invest'!$B$2-'Pay off vs Invest'!$B$1)*12-A454),0)</f>
        <v>0</v>
      </c>
      <c r="E454" s="9" t="e">
        <f>C454/((1+#REF!/12)^((('Pay off vs Invest'!$B$2-'Pay off vs Invest'!$B$1)*12)-Calculations!A454))</f>
        <v>#REF!</v>
      </c>
    </row>
    <row r="455" spans="1:5" ht="15.75" customHeight="1">
      <c r="A455" s="9">
        <f t="shared" si="23"/>
        <v>454</v>
      </c>
      <c r="B455" s="8">
        <f t="shared" si="39"/>
        <v>238027.64010310487</v>
      </c>
      <c r="C455" s="9">
        <f>IF(A455&lt;=('Pay off vs Invest'!$B$2-'Pay off vs Invest'!$B$1)*12,Calculations!B455*(1+#REF!/12)^(('Pay off vs Invest'!$B$2-'Pay off vs Invest'!$B$1)*12-A455),0)</f>
        <v>0</v>
      </c>
      <c r="E455" s="9" t="e">
        <f>C455/((1+#REF!/12)^((('Pay off vs Invest'!$B$2-'Pay off vs Invest'!$B$1)*12)-Calculations!A455))</f>
        <v>#REF!</v>
      </c>
    </row>
    <row r="456" spans="1:5" ht="15.75" customHeight="1">
      <c r="A456" s="9">
        <f t="shared" si="23"/>
        <v>455</v>
      </c>
      <c r="B456" s="8">
        <f t="shared" si="39"/>
        <v>238027.64010310487</v>
      </c>
      <c r="C456" s="9">
        <f>IF(A456&lt;=('Pay off vs Invest'!$B$2-'Pay off vs Invest'!$B$1)*12,Calculations!B456*(1+#REF!/12)^(('Pay off vs Invest'!$B$2-'Pay off vs Invest'!$B$1)*12-A456),0)</f>
        <v>0</v>
      </c>
      <c r="E456" s="9" t="e">
        <f>C456/((1+#REF!/12)^((('Pay off vs Invest'!$B$2-'Pay off vs Invest'!$B$1)*12)-Calculations!A456))</f>
        <v>#REF!</v>
      </c>
    </row>
    <row r="457" spans="1:5" ht="15.75" customHeight="1">
      <c r="A457" s="9">
        <f t="shared" si="23"/>
        <v>456</v>
      </c>
      <c r="B457" s="8">
        <f t="shared" si="39"/>
        <v>238027.64010310487</v>
      </c>
      <c r="C457" s="9">
        <f>IF(A457&lt;=('Pay off vs Invest'!$B$2-'Pay off vs Invest'!$B$1)*12,Calculations!B457*(1+#REF!/12)^(('Pay off vs Invest'!$B$2-'Pay off vs Invest'!$B$1)*12-A457),0)</f>
        <v>0</v>
      </c>
      <c r="E457" s="9" t="e">
        <f>C457/((1+#REF!/12)^((('Pay off vs Invest'!$B$2-'Pay off vs Invest'!$B$1)*12)-Calculations!A457))</f>
        <v>#REF!</v>
      </c>
    </row>
    <row r="458" spans="1:5" ht="15.75" customHeight="1">
      <c r="A458" s="9">
        <f t="shared" si="23"/>
        <v>457</v>
      </c>
      <c r="B458" s="8">
        <f>B457*(1+'Pay off vs Invest'!$B$7)</f>
        <v>261830.4041134154</v>
      </c>
      <c r="C458" s="9">
        <f>IF(A458&lt;=('Pay off vs Invest'!$B$2-'Pay off vs Invest'!$B$1)*12,Calculations!B458*(1+#REF!/12)^(('Pay off vs Invest'!$B$2-'Pay off vs Invest'!$B$1)*12-A458),0)</f>
        <v>0</v>
      </c>
      <c r="E458" s="9" t="e">
        <f>C458/((1+#REF!/12)^((('Pay off vs Invest'!$B$2-'Pay off vs Invest'!$B$1)*12)-Calculations!A458))</f>
        <v>#REF!</v>
      </c>
    </row>
    <row r="459" spans="1:5" ht="15.75" customHeight="1">
      <c r="A459" s="9">
        <f t="shared" si="23"/>
        <v>458</v>
      </c>
      <c r="B459" s="8">
        <f t="shared" ref="B459:B469" si="40">B458</f>
        <v>261830.4041134154</v>
      </c>
      <c r="C459" s="9">
        <f>IF(A459&lt;=('Pay off vs Invest'!$B$2-'Pay off vs Invest'!$B$1)*12,Calculations!B459*(1+#REF!/12)^(('Pay off vs Invest'!$B$2-'Pay off vs Invest'!$B$1)*12-A459),0)</f>
        <v>0</v>
      </c>
      <c r="E459" s="9" t="e">
        <f>C459/((1+#REF!/12)^((('Pay off vs Invest'!$B$2-'Pay off vs Invest'!$B$1)*12)-Calculations!A459))</f>
        <v>#REF!</v>
      </c>
    </row>
    <row r="460" spans="1:5" ht="15.75" customHeight="1">
      <c r="A460" s="9">
        <f t="shared" si="23"/>
        <v>459</v>
      </c>
      <c r="B460" s="8">
        <f t="shared" si="40"/>
        <v>261830.4041134154</v>
      </c>
      <c r="C460" s="9">
        <f>IF(A460&lt;=('Pay off vs Invest'!$B$2-'Pay off vs Invest'!$B$1)*12,Calculations!B460*(1+#REF!/12)^(('Pay off vs Invest'!$B$2-'Pay off vs Invest'!$B$1)*12-A460),0)</f>
        <v>0</v>
      </c>
      <c r="E460" s="9" t="e">
        <f>C460/((1+#REF!/12)^((('Pay off vs Invest'!$B$2-'Pay off vs Invest'!$B$1)*12)-Calculations!A460))</f>
        <v>#REF!</v>
      </c>
    </row>
    <row r="461" spans="1:5" ht="15.75" customHeight="1">
      <c r="A461" s="9">
        <f t="shared" si="23"/>
        <v>460</v>
      </c>
      <c r="B461" s="8">
        <f t="shared" si="40"/>
        <v>261830.4041134154</v>
      </c>
      <c r="C461" s="9">
        <f>IF(A461&lt;=('Pay off vs Invest'!$B$2-'Pay off vs Invest'!$B$1)*12,Calculations!B461*(1+#REF!/12)^(('Pay off vs Invest'!$B$2-'Pay off vs Invest'!$B$1)*12-A461),0)</f>
        <v>0</v>
      </c>
      <c r="E461" s="9" t="e">
        <f>C461/((1+#REF!/12)^((('Pay off vs Invest'!$B$2-'Pay off vs Invest'!$B$1)*12)-Calculations!A461))</f>
        <v>#REF!</v>
      </c>
    </row>
    <row r="462" spans="1:5" ht="15.75" customHeight="1">
      <c r="A462" s="9">
        <f t="shared" si="23"/>
        <v>461</v>
      </c>
      <c r="B462" s="8">
        <f t="shared" si="40"/>
        <v>261830.4041134154</v>
      </c>
      <c r="C462" s="9">
        <f>IF(A462&lt;=('Pay off vs Invest'!$B$2-'Pay off vs Invest'!$B$1)*12,Calculations!B462*(1+#REF!/12)^(('Pay off vs Invest'!$B$2-'Pay off vs Invest'!$B$1)*12-A462),0)</f>
        <v>0</v>
      </c>
      <c r="E462" s="9" t="e">
        <f>C462/((1+#REF!/12)^((('Pay off vs Invest'!$B$2-'Pay off vs Invest'!$B$1)*12)-Calculations!A462))</f>
        <v>#REF!</v>
      </c>
    </row>
    <row r="463" spans="1:5" ht="15.75" customHeight="1">
      <c r="A463" s="9">
        <f t="shared" si="23"/>
        <v>462</v>
      </c>
      <c r="B463" s="8">
        <f t="shared" si="40"/>
        <v>261830.4041134154</v>
      </c>
      <c r="C463" s="9">
        <f>IF(A463&lt;=('Pay off vs Invest'!$B$2-'Pay off vs Invest'!$B$1)*12,Calculations!B463*(1+#REF!/12)^(('Pay off vs Invest'!$B$2-'Pay off vs Invest'!$B$1)*12-A463),0)</f>
        <v>0</v>
      </c>
      <c r="E463" s="9" t="e">
        <f>C463/((1+#REF!/12)^((('Pay off vs Invest'!$B$2-'Pay off vs Invest'!$B$1)*12)-Calculations!A463))</f>
        <v>#REF!</v>
      </c>
    </row>
    <row r="464" spans="1:5" ht="15.75" customHeight="1">
      <c r="A464" s="9">
        <f t="shared" si="23"/>
        <v>463</v>
      </c>
      <c r="B464" s="8">
        <f t="shared" si="40"/>
        <v>261830.4041134154</v>
      </c>
      <c r="C464" s="9">
        <f>IF(A464&lt;=('Pay off vs Invest'!$B$2-'Pay off vs Invest'!$B$1)*12,Calculations!B464*(1+#REF!/12)^(('Pay off vs Invest'!$B$2-'Pay off vs Invest'!$B$1)*12-A464),0)</f>
        <v>0</v>
      </c>
      <c r="E464" s="9" t="e">
        <f>C464/((1+#REF!/12)^((('Pay off vs Invest'!$B$2-'Pay off vs Invest'!$B$1)*12)-Calculations!A464))</f>
        <v>#REF!</v>
      </c>
    </row>
    <row r="465" spans="1:5" ht="15.75" customHeight="1">
      <c r="A465" s="9">
        <f t="shared" si="23"/>
        <v>464</v>
      </c>
      <c r="B465" s="8">
        <f t="shared" si="40"/>
        <v>261830.4041134154</v>
      </c>
      <c r="C465" s="9">
        <f>IF(A465&lt;=('Pay off vs Invest'!$B$2-'Pay off vs Invest'!$B$1)*12,Calculations!B465*(1+#REF!/12)^(('Pay off vs Invest'!$B$2-'Pay off vs Invest'!$B$1)*12-A465),0)</f>
        <v>0</v>
      </c>
      <c r="E465" s="9" t="e">
        <f>C465/((1+#REF!/12)^((('Pay off vs Invest'!$B$2-'Pay off vs Invest'!$B$1)*12)-Calculations!A465))</f>
        <v>#REF!</v>
      </c>
    </row>
    <row r="466" spans="1:5" ht="15.75" customHeight="1">
      <c r="A466" s="9">
        <f t="shared" si="23"/>
        <v>465</v>
      </c>
      <c r="B466" s="8">
        <f t="shared" si="40"/>
        <v>261830.4041134154</v>
      </c>
      <c r="C466" s="9">
        <f>IF(A466&lt;=('Pay off vs Invest'!$B$2-'Pay off vs Invest'!$B$1)*12,Calculations!B466*(1+#REF!/12)^(('Pay off vs Invest'!$B$2-'Pay off vs Invest'!$B$1)*12-A466),0)</f>
        <v>0</v>
      </c>
      <c r="E466" s="9" t="e">
        <f>C466/((1+#REF!/12)^((('Pay off vs Invest'!$B$2-'Pay off vs Invest'!$B$1)*12)-Calculations!A466))</f>
        <v>#REF!</v>
      </c>
    </row>
    <row r="467" spans="1:5" ht="15.75" customHeight="1">
      <c r="A467" s="9">
        <f t="shared" si="23"/>
        <v>466</v>
      </c>
      <c r="B467" s="8">
        <f t="shared" si="40"/>
        <v>261830.4041134154</v>
      </c>
      <c r="C467" s="9">
        <f>IF(A467&lt;=('Pay off vs Invest'!$B$2-'Pay off vs Invest'!$B$1)*12,Calculations!B467*(1+#REF!/12)^(('Pay off vs Invest'!$B$2-'Pay off vs Invest'!$B$1)*12-A467),0)</f>
        <v>0</v>
      </c>
      <c r="E467" s="9" t="e">
        <f>C467/((1+#REF!/12)^((('Pay off vs Invest'!$B$2-'Pay off vs Invest'!$B$1)*12)-Calculations!A467))</f>
        <v>#REF!</v>
      </c>
    </row>
    <row r="468" spans="1:5" ht="15.75" customHeight="1">
      <c r="A468" s="9">
        <f t="shared" si="23"/>
        <v>467</v>
      </c>
      <c r="B468" s="8">
        <f t="shared" si="40"/>
        <v>261830.4041134154</v>
      </c>
      <c r="C468" s="9">
        <f>IF(A468&lt;=('Pay off vs Invest'!$B$2-'Pay off vs Invest'!$B$1)*12,Calculations!B468*(1+#REF!/12)^(('Pay off vs Invest'!$B$2-'Pay off vs Invest'!$B$1)*12-A468),0)</f>
        <v>0</v>
      </c>
      <c r="E468" s="9" t="e">
        <f>C468/((1+#REF!/12)^((('Pay off vs Invest'!$B$2-'Pay off vs Invest'!$B$1)*12)-Calculations!A468))</f>
        <v>#REF!</v>
      </c>
    </row>
    <row r="469" spans="1:5" ht="15.75" customHeight="1">
      <c r="A469" s="9">
        <f t="shared" si="23"/>
        <v>468</v>
      </c>
      <c r="B469" s="8">
        <f t="shared" si="40"/>
        <v>261830.4041134154</v>
      </c>
      <c r="C469" s="9">
        <f>IF(A469&lt;=('Pay off vs Invest'!$B$2-'Pay off vs Invest'!$B$1)*12,Calculations!B469*(1+#REF!/12)^(('Pay off vs Invest'!$B$2-'Pay off vs Invest'!$B$1)*12-A469),0)</f>
        <v>0</v>
      </c>
      <c r="E469" s="9" t="e">
        <f>C469/((1+#REF!/12)^((('Pay off vs Invest'!$B$2-'Pay off vs Invest'!$B$1)*12)-Calculations!A469))</f>
        <v>#REF!</v>
      </c>
    </row>
    <row r="470" spans="1:5" ht="15.75" customHeight="1">
      <c r="A470" s="9">
        <f t="shared" si="23"/>
        <v>469</v>
      </c>
      <c r="B470" s="8">
        <f>B469*(1+'Pay off vs Invest'!$B$7)</f>
        <v>288013.44452475698</v>
      </c>
      <c r="C470" s="9">
        <f>IF(A470&lt;=('Pay off vs Invest'!$B$2-'Pay off vs Invest'!$B$1)*12,Calculations!B470*(1+#REF!/12)^(('Pay off vs Invest'!$B$2-'Pay off vs Invest'!$B$1)*12-A470),0)</f>
        <v>0</v>
      </c>
      <c r="E470" s="9" t="e">
        <f>C470/((1+#REF!/12)^((('Pay off vs Invest'!$B$2-'Pay off vs Invest'!$B$1)*12)-Calculations!A470))</f>
        <v>#REF!</v>
      </c>
    </row>
    <row r="471" spans="1:5" ht="15.75" customHeight="1">
      <c r="A471" s="9">
        <f t="shared" si="23"/>
        <v>470</v>
      </c>
      <c r="B471" s="8">
        <f t="shared" ref="B471:B481" si="41">B470</f>
        <v>288013.44452475698</v>
      </c>
      <c r="C471" s="9">
        <f>IF(A471&lt;=('Pay off vs Invest'!$B$2-'Pay off vs Invest'!$B$1)*12,Calculations!B471*(1+#REF!/12)^(('Pay off vs Invest'!$B$2-'Pay off vs Invest'!$B$1)*12-A471),0)</f>
        <v>0</v>
      </c>
      <c r="E471" s="9" t="e">
        <f>C471/((1+#REF!/12)^((('Pay off vs Invest'!$B$2-'Pay off vs Invest'!$B$1)*12)-Calculations!A471))</f>
        <v>#REF!</v>
      </c>
    </row>
    <row r="472" spans="1:5" ht="15.75" customHeight="1">
      <c r="A472" s="9">
        <f t="shared" si="23"/>
        <v>471</v>
      </c>
      <c r="B472" s="8">
        <f t="shared" si="41"/>
        <v>288013.44452475698</v>
      </c>
      <c r="C472" s="9">
        <f>IF(A472&lt;=('Pay off vs Invest'!$B$2-'Pay off vs Invest'!$B$1)*12,Calculations!B472*(1+#REF!/12)^(('Pay off vs Invest'!$B$2-'Pay off vs Invest'!$B$1)*12-A472),0)</f>
        <v>0</v>
      </c>
      <c r="E472" s="9" t="e">
        <f>C472/((1+#REF!/12)^((('Pay off vs Invest'!$B$2-'Pay off vs Invest'!$B$1)*12)-Calculations!A472))</f>
        <v>#REF!</v>
      </c>
    </row>
    <row r="473" spans="1:5" ht="15.75" customHeight="1">
      <c r="A473" s="9">
        <f t="shared" si="23"/>
        <v>472</v>
      </c>
      <c r="B473" s="8">
        <f t="shared" si="41"/>
        <v>288013.44452475698</v>
      </c>
      <c r="C473" s="9">
        <f>IF(A473&lt;=('Pay off vs Invest'!$B$2-'Pay off vs Invest'!$B$1)*12,Calculations!B473*(1+#REF!/12)^(('Pay off vs Invest'!$B$2-'Pay off vs Invest'!$B$1)*12-A473),0)</f>
        <v>0</v>
      </c>
      <c r="E473" s="9" t="e">
        <f>C473/((1+#REF!/12)^((('Pay off vs Invest'!$B$2-'Pay off vs Invest'!$B$1)*12)-Calculations!A473))</f>
        <v>#REF!</v>
      </c>
    </row>
    <row r="474" spans="1:5" ht="15.75" customHeight="1">
      <c r="A474" s="9">
        <f t="shared" si="23"/>
        <v>473</v>
      </c>
      <c r="B474" s="8">
        <f t="shared" si="41"/>
        <v>288013.44452475698</v>
      </c>
      <c r="C474" s="9">
        <f>IF(A474&lt;=('Pay off vs Invest'!$B$2-'Pay off vs Invest'!$B$1)*12,Calculations!B474*(1+#REF!/12)^(('Pay off vs Invest'!$B$2-'Pay off vs Invest'!$B$1)*12-A474),0)</f>
        <v>0</v>
      </c>
      <c r="E474" s="9" t="e">
        <f>C474/((1+#REF!/12)^((('Pay off vs Invest'!$B$2-'Pay off vs Invest'!$B$1)*12)-Calculations!A474))</f>
        <v>#REF!</v>
      </c>
    </row>
    <row r="475" spans="1:5" ht="15.75" customHeight="1">
      <c r="A475" s="9">
        <f t="shared" si="23"/>
        <v>474</v>
      </c>
      <c r="B475" s="8">
        <f t="shared" si="41"/>
        <v>288013.44452475698</v>
      </c>
      <c r="C475" s="9">
        <f>IF(A475&lt;=('Pay off vs Invest'!$B$2-'Pay off vs Invest'!$B$1)*12,Calculations!B475*(1+#REF!/12)^(('Pay off vs Invest'!$B$2-'Pay off vs Invest'!$B$1)*12-A475),0)</f>
        <v>0</v>
      </c>
      <c r="E475" s="9" t="e">
        <f>C475/((1+#REF!/12)^((('Pay off vs Invest'!$B$2-'Pay off vs Invest'!$B$1)*12)-Calculations!A475))</f>
        <v>#REF!</v>
      </c>
    </row>
    <row r="476" spans="1:5" ht="15.75" customHeight="1">
      <c r="A476" s="9">
        <f t="shared" si="23"/>
        <v>475</v>
      </c>
      <c r="B476" s="8">
        <f t="shared" si="41"/>
        <v>288013.44452475698</v>
      </c>
      <c r="C476" s="9">
        <f>IF(A476&lt;=('Pay off vs Invest'!$B$2-'Pay off vs Invest'!$B$1)*12,Calculations!B476*(1+#REF!/12)^(('Pay off vs Invest'!$B$2-'Pay off vs Invest'!$B$1)*12-A476),0)</f>
        <v>0</v>
      </c>
      <c r="E476" s="9" t="e">
        <f>C476/((1+#REF!/12)^((('Pay off vs Invest'!$B$2-'Pay off vs Invest'!$B$1)*12)-Calculations!A476))</f>
        <v>#REF!</v>
      </c>
    </row>
    <row r="477" spans="1:5" ht="15.75" customHeight="1">
      <c r="A477" s="9">
        <f t="shared" si="23"/>
        <v>476</v>
      </c>
      <c r="B477" s="8">
        <f t="shared" si="41"/>
        <v>288013.44452475698</v>
      </c>
      <c r="C477" s="9">
        <f>IF(A477&lt;=('Pay off vs Invest'!$B$2-'Pay off vs Invest'!$B$1)*12,Calculations!B477*(1+#REF!/12)^(('Pay off vs Invest'!$B$2-'Pay off vs Invest'!$B$1)*12-A477),0)</f>
        <v>0</v>
      </c>
      <c r="E477" s="9" t="e">
        <f>C477/((1+#REF!/12)^((('Pay off vs Invest'!$B$2-'Pay off vs Invest'!$B$1)*12)-Calculations!A477))</f>
        <v>#REF!</v>
      </c>
    </row>
    <row r="478" spans="1:5" ht="15.75" customHeight="1">
      <c r="A478" s="9">
        <f t="shared" si="23"/>
        <v>477</v>
      </c>
      <c r="B478" s="8">
        <f t="shared" si="41"/>
        <v>288013.44452475698</v>
      </c>
      <c r="C478" s="9">
        <f>IF(A478&lt;=('Pay off vs Invest'!$B$2-'Pay off vs Invest'!$B$1)*12,Calculations!B478*(1+#REF!/12)^(('Pay off vs Invest'!$B$2-'Pay off vs Invest'!$B$1)*12-A478),0)</f>
        <v>0</v>
      </c>
      <c r="E478" s="9" t="e">
        <f>C478/((1+#REF!/12)^((('Pay off vs Invest'!$B$2-'Pay off vs Invest'!$B$1)*12)-Calculations!A478))</f>
        <v>#REF!</v>
      </c>
    </row>
    <row r="479" spans="1:5" ht="15.75" customHeight="1">
      <c r="A479" s="9">
        <f t="shared" si="23"/>
        <v>478</v>
      </c>
      <c r="B479" s="8">
        <f t="shared" si="41"/>
        <v>288013.44452475698</v>
      </c>
      <c r="C479" s="9">
        <f>IF(A479&lt;=('Pay off vs Invest'!$B$2-'Pay off vs Invest'!$B$1)*12,Calculations!B479*(1+#REF!/12)^(('Pay off vs Invest'!$B$2-'Pay off vs Invest'!$B$1)*12-A479),0)</f>
        <v>0</v>
      </c>
      <c r="E479" s="9" t="e">
        <f>C479/((1+#REF!/12)^((('Pay off vs Invest'!$B$2-'Pay off vs Invest'!$B$1)*12)-Calculations!A479))</f>
        <v>#REF!</v>
      </c>
    </row>
    <row r="480" spans="1:5" ht="15.75" customHeight="1">
      <c r="A480" s="9">
        <f t="shared" si="23"/>
        <v>479</v>
      </c>
      <c r="B480" s="8">
        <f t="shared" si="41"/>
        <v>288013.44452475698</v>
      </c>
      <c r="C480" s="9">
        <f>IF(A480&lt;=('Pay off vs Invest'!$B$2-'Pay off vs Invest'!$B$1)*12,Calculations!B480*(1+#REF!/12)^(('Pay off vs Invest'!$B$2-'Pay off vs Invest'!$B$1)*12-A480),0)</f>
        <v>0</v>
      </c>
      <c r="E480" s="9" t="e">
        <f>C480/((1+#REF!/12)^((('Pay off vs Invest'!$B$2-'Pay off vs Invest'!$B$1)*12)-Calculations!A480))</f>
        <v>#REF!</v>
      </c>
    </row>
    <row r="481" spans="1:5" ht="15.75" customHeight="1">
      <c r="A481" s="9">
        <f t="shared" si="23"/>
        <v>480</v>
      </c>
      <c r="B481" s="8">
        <f t="shared" si="41"/>
        <v>288013.44452475698</v>
      </c>
      <c r="C481" s="9">
        <f>IF(A481&lt;=('Pay off vs Invest'!$B$2-'Pay off vs Invest'!$B$1)*12,Calculations!B481*(1+#REF!/12)^(('Pay off vs Invest'!$B$2-'Pay off vs Invest'!$B$1)*12-A481),0)</f>
        <v>0</v>
      </c>
      <c r="E481" s="9" t="e">
        <f>C481/((1+#REF!/12)^((('Pay off vs Invest'!$B$2-'Pay off vs Invest'!$B$1)*12)-Calculations!A481))</f>
        <v>#REF!</v>
      </c>
    </row>
    <row r="482" spans="1:5" ht="15.75" customHeight="1">
      <c r="B482" s="8"/>
    </row>
    <row r="483" spans="1:5" ht="15.75" customHeight="1">
      <c r="B483" s="8"/>
    </row>
    <row r="484" spans="1:5" ht="15.75" customHeight="1">
      <c r="B484" s="8"/>
    </row>
    <row r="485" spans="1:5" ht="15.75" customHeight="1">
      <c r="B485" s="8"/>
    </row>
    <row r="486" spans="1:5" ht="15.75" customHeight="1">
      <c r="B486" s="8"/>
    </row>
    <row r="487" spans="1:5" ht="15.75" customHeight="1">
      <c r="B487" s="8"/>
    </row>
    <row r="488" spans="1:5" ht="15.75" customHeight="1">
      <c r="B488" s="8"/>
    </row>
    <row r="489" spans="1:5" ht="15.75" customHeight="1">
      <c r="B489" s="8"/>
    </row>
    <row r="490" spans="1:5" ht="15.75" customHeight="1">
      <c r="B490" s="8"/>
    </row>
    <row r="491" spans="1:5" ht="15.75" customHeight="1">
      <c r="B491" s="8"/>
    </row>
    <row r="492" spans="1:5" ht="15.75" customHeight="1">
      <c r="B492" s="8"/>
    </row>
    <row r="493" spans="1:5" ht="15.75" customHeight="1">
      <c r="B493" s="8"/>
    </row>
    <row r="494" spans="1:5" ht="15.75" customHeight="1">
      <c r="B494" s="8"/>
    </row>
    <row r="495" spans="1:5" ht="15.75" customHeight="1">
      <c r="B495" s="8"/>
    </row>
    <row r="496" spans="1:5" ht="15.75" customHeight="1">
      <c r="B496" s="8"/>
    </row>
    <row r="497" spans="2:2" ht="15.75" customHeight="1">
      <c r="B497" s="8"/>
    </row>
    <row r="498" spans="2:2" ht="15.75" customHeight="1">
      <c r="B498" s="8"/>
    </row>
    <row r="499" spans="2:2" ht="15.75" customHeight="1">
      <c r="B499" s="8"/>
    </row>
    <row r="500" spans="2:2" ht="15.75" customHeight="1">
      <c r="B500" s="8"/>
    </row>
    <row r="501" spans="2:2" ht="15.75" customHeight="1">
      <c r="B501" s="8"/>
    </row>
    <row r="502" spans="2:2" ht="15.75" customHeight="1">
      <c r="B502" s="8"/>
    </row>
    <row r="503" spans="2:2" ht="15.75" customHeight="1">
      <c r="B503" s="8"/>
    </row>
    <row r="504" spans="2:2" ht="15.75" customHeight="1">
      <c r="B504" s="8"/>
    </row>
    <row r="505" spans="2:2" ht="15.75" customHeight="1">
      <c r="B505" s="8"/>
    </row>
    <row r="506" spans="2:2" ht="15.75" customHeight="1">
      <c r="B506" s="8"/>
    </row>
    <row r="507" spans="2:2" ht="15.75" customHeight="1">
      <c r="B507" s="8"/>
    </row>
    <row r="508" spans="2:2" ht="15.75" customHeight="1">
      <c r="B508" s="8"/>
    </row>
    <row r="509" spans="2:2" ht="15.75" customHeight="1">
      <c r="B509" s="8"/>
    </row>
    <row r="510" spans="2:2" ht="15.75" customHeight="1">
      <c r="B510" s="8"/>
    </row>
    <row r="511" spans="2:2" ht="15.75" customHeight="1">
      <c r="B511" s="8"/>
    </row>
    <row r="512" spans="2:2" ht="15.75" customHeight="1">
      <c r="B512" s="8"/>
    </row>
    <row r="513" spans="2:2" ht="15.75" customHeight="1">
      <c r="B513" s="8"/>
    </row>
    <row r="514" spans="2:2" ht="15.75" customHeight="1">
      <c r="B514" s="8"/>
    </row>
    <row r="515" spans="2:2" ht="15.75" customHeight="1">
      <c r="B515" s="8"/>
    </row>
    <row r="516" spans="2:2" ht="15.75" customHeight="1">
      <c r="B516" s="8"/>
    </row>
    <row r="517" spans="2:2" ht="15.75" customHeight="1">
      <c r="B517" s="8"/>
    </row>
    <row r="518" spans="2:2" ht="15.75" customHeight="1">
      <c r="B518" s="8"/>
    </row>
    <row r="519" spans="2:2" ht="15.75" customHeight="1">
      <c r="B519" s="8"/>
    </row>
    <row r="520" spans="2:2" ht="15.75" customHeight="1">
      <c r="B520" s="8"/>
    </row>
    <row r="521" spans="2:2" ht="15.75" customHeight="1">
      <c r="B521" s="8"/>
    </row>
    <row r="522" spans="2:2" ht="15.75" customHeight="1">
      <c r="B522" s="8"/>
    </row>
    <row r="523" spans="2:2" ht="15.75" customHeight="1">
      <c r="B523" s="8"/>
    </row>
    <row r="524" spans="2:2" ht="15.75" customHeight="1">
      <c r="B524" s="8"/>
    </row>
    <row r="525" spans="2:2" ht="15.75" customHeight="1">
      <c r="B525" s="8"/>
    </row>
    <row r="526" spans="2:2" ht="15.75" customHeight="1">
      <c r="B526" s="8"/>
    </row>
    <row r="527" spans="2:2" ht="15.75" customHeight="1">
      <c r="B527" s="8"/>
    </row>
    <row r="528" spans="2:2" ht="15.75" customHeight="1">
      <c r="B528" s="8"/>
    </row>
    <row r="529" spans="2:2" ht="15.75" customHeight="1">
      <c r="B529" s="8"/>
    </row>
    <row r="530" spans="2:2" ht="15.75" customHeight="1">
      <c r="B530" s="8"/>
    </row>
    <row r="531" spans="2:2" ht="15.75" customHeight="1">
      <c r="B531" s="8"/>
    </row>
    <row r="532" spans="2:2" ht="15.75" customHeight="1">
      <c r="B532" s="8"/>
    </row>
    <row r="533" spans="2:2" ht="15.75" customHeight="1">
      <c r="B533" s="8"/>
    </row>
    <row r="534" spans="2:2" ht="15.75" customHeight="1">
      <c r="B534" s="8"/>
    </row>
    <row r="535" spans="2:2" ht="15.75" customHeight="1">
      <c r="B535" s="8"/>
    </row>
    <row r="536" spans="2:2" ht="15.75" customHeight="1">
      <c r="B536" s="8"/>
    </row>
    <row r="537" spans="2:2" ht="15.75" customHeight="1">
      <c r="B537" s="8"/>
    </row>
    <row r="538" spans="2:2" ht="15.75" customHeight="1">
      <c r="B538" s="8"/>
    </row>
    <row r="539" spans="2:2" ht="15.75" customHeight="1">
      <c r="B539" s="8"/>
    </row>
    <row r="540" spans="2:2" ht="15.75" customHeight="1">
      <c r="B540" s="8"/>
    </row>
    <row r="541" spans="2:2" ht="15.75" customHeight="1">
      <c r="B541" s="8"/>
    </row>
    <row r="542" spans="2:2" ht="15.75" customHeight="1">
      <c r="B542" s="8"/>
    </row>
    <row r="543" spans="2:2" ht="15.75" customHeight="1">
      <c r="B543" s="8"/>
    </row>
    <row r="544" spans="2:2" ht="15.75" customHeight="1">
      <c r="B544" s="8"/>
    </row>
    <row r="545" spans="2:2" ht="15.75" customHeight="1">
      <c r="B545" s="8"/>
    </row>
    <row r="546" spans="2:2" ht="15.75" customHeight="1">
      <c r="B546" s="8"/>
    </row>
    <row r="547" spans="2:2" ht="15.75" customHeight="1">
      <c r="B547" s="8"/>
    </row>
    <row r="548" spans="2:2" ht="15.75" customHeight="1">
      <c r="B548" s="8"/>
    </row>
    <row r="549" spans="2:2" ht="15.75" customHeight="1">
      <c r="B549" s="8"/>
    </row>
    <row r="550" spans="2:2" ht="15.75" customHeight="1">
      <c r="B550" s="8"/>
    </row>
    <row r="551" spans="2:2" ht="15.75" customHeight="1">
      <c r="B551" s="8"/>
    </row>
    <row r="552" spans="2:2" ht="15.75" customHeight="1">
      <c r="B552" s="8"/>
    </row>
    <row r="553" spans="2:2" ht="15.75" customHeight="1">
      <c r="B553" s="8"/>
    </row>
    <row r="554" spans="2:2" ht="15.75" customHeight="1">
      <c r="B554" s="8"/>
    </row>
    <row r="555" spans="2:2" ht="15.75" customHeight="1">
      <c r="B555" s="8"/>
    </row>
    <row r="556" spans="2:2" ht="15.75" customHeight="1">
      <c r="B556" s="8"/>
    </row>
    <row r="557" spans="2:2" ht="15.75" customHeight="1">
      <c r="B557" s="8"/>
    </row>
    <row r="558" spans="2:2" ht="15.75" customHeight="1">
      <c r="B558" s="8"/>
    </row>
    <row r="559" spans="2:2" ht="15.75" customHeight="1">
      <c r="B559" s="8"/>
    </row>
    <row r="560" spans="2:2" ht="15.75" customHeight="1">
      <c r="B560" s="8"/>
    </row>
    <row r="561" spans="2:2" ht="15.75" customHeight="1">
      <c r="B561" s="8"/>
    </row>
    <row r="562" spans="2:2" ht="15.75" customHeight="1">
      <c r="B562" s="8"/>
    </row>
    <row r="563" spans="2:2" ht="15.75" customHeight="1">
      <c r="B563" s="8"/>
    </row>
    <row r="564" spans="2:2" ht="15.75" customHeight="1">
      <c r="B564" s="8"/>
    </row>
    <row r="565" spans="2:2" ht="15.75" customHeight="1">
      <c r="B565" s="8"/>
    </row>
    <row r="566" spans="2:2" ht="15.75" customHeight="1">
      <c r="B566" s="8"/>
    </row>
    <row r="567" spans="2:2" ht="15.75" customHeight="1">
      <c r="B567" s="8"/>
    </row>
    <row r="568" spans="2:2" ht="15.75" customHeight="1">
      <c r="B568" s="8"/>
    </row>
    <row r="569" spans="2:2" ht="15.75" customHeight="1">
      <c r="B569" s="8"/>
    </row>
    <row r="570" spans="2:2" ht="15.75" customHeight="1">
      <c r="B570" s="8"/>
    </row>
    <row r="571" spans="2:2" ht="15.75" customHeight="1">
      <c r="B571" s="8"/>
    </row>
    <row r="572" spans="2:2" ht="15.75" customHeight="1">
      <c r="B572" s="8"/>
    </row>
    <row r="573" spans="2:2" ht="15.75" customHeight="1">
      <c r="B573" s="8"/>
    </row>
    <row r="574" spans="2:2" ht="15.75" customHeight="1">
      <c r="B574" s="8"/>
    </row>
    <row r="575" spans="2:2" ht="15.75" customHeight="1">
      <c r="B575" s="8"/>
    </row>
    <row r="576" spans="2:2" ht="15.75" customHeight="1">
      <c r="B576" s="8"/>
    </row>
    <row r="577" spans="2:2" ht="15.75" customHeight="1">
      <c r="B577" s="8"/>
    </row>
    <row r="578" spans="2:2" ht="15.75" customHeight="1">
      <c r="B578" s="8"/>
    </row>
    <row r="579" spans="2:2" ht="15.75" customHeight="1">
      <c r="B579" s="8"/>
    </row>
    <row r="580" spans="2:2" ht="15.75" customHeight="1">
      <c r="B580" s="8"/>
    </row>
    <row r="581" spans="2:2" ht="15.75" customHeight="1">
      <c r="B581" s="8"/>
    </row>
    <row r="582" spans="2:2" ht="15.75" customHeight="1">
      <c r="B582" s="8"/>
    </row>
    <row r="583" spans="2:2" ht="15.75" customHeight="1">
      <c r="B583" s="8"/>
    </row>
    <row r="584" spans="2:2" ht="15.75" customHeight="1">
      <c r="B584" s="8"/>
    </row>
    <row r="585" spans="2:2" ht="15.75" customHeight="1">
      <c r="B585" s="8"/>
    </row>
    <row r="586" spans="2:2" ht="15.75" customHeight="1">
      <c r="B586" s="8"/>
    </row>
    <row r="587" spans="2:2" ht="15.75" customHeight="1">
      <c r="B587" s="8"/>
    </row>
    <row r="588" spans="2:2" ht="15.75" customHeight="1">
      <c r="B588" s="8"/>
    </row>
    <row r="589" spans="2:2" ht="15.75" customHeight="1">
      <c r="B589" s="8"/>
    </row>
    <row r="590" spans="2:2" ht="15.75" customHeight="1">
      <c r="B590" s="8"/>
    </row>
    <row r="591" spans="2:2" ht="15.75" customHeight="1">
      <c r="B591" s="8"/>
    </row>
    <row r="592" spans="2:2" ht="15.75" customHeight="1">
      <c r="B592" s="8"/>
    </row>
    <row r="593" spans="2:2" ht="15.75" customHeight="1">
      <c r="B593" s="8"/>
    </row>
    <row r="594" spans="2:2" ht="15.75" customHeight="1">
      <c r="B594" s="8"/>
    </row>
    <row r="595" spans="2:2" ht="15.75" customHeight="1">
      <c r="B595" s="8"/>
    </row>
    <row r="596" spans="2:2" ht="15.75" customHeight="1">
      <c r="B596" s="8"/>
    </row>
    <row r="597" spans="2:2" ht="15.75" customHeight="1">
      <c r="B597" s="8"/>
    </row>
    <row r="598" spans="2:2" ht="15.75" customHeight="1">
      <c r="B598" s="8"/>
    </row>
    <row r="599" spans="2:2" ht="15.75" customHeight="1">
      <c r="B599" s="8"/>
    </row>
    <row r="600" spans="2:2" ht="15.75" customHeight="1">
      <c r="B600" s="8"/>
    </row>
    <row r="601" spans="2:2" ht="15.75" customHeight="1">
      <c r="B601" s="8"/>
    </row>
    <row r="602" spans="2:2" ht="15.75" customHeight="1">
      <c r="B602" s="8"/>
    </row>
    <row r="603" spans="2:2" ht="15.75" customHeight="1">
      <c r="B603" s="8"/>
    </row>
    <row r="604" spans="2:2" ht="15.75" customHeight="1">
      <c r="B604" s="8"/>
    </row>
    <row r="605" spans="2:2" ht="15.75" customHeight="1">
      <c r="B605" s="8"/>
    </row>
    <row r="606" spans="2:2" ht="15.75" customHeight="1">
      <c r="B606" s="8"/>
    </row>
    <row r="607" spans="2:2" ht="15.75" customHeight="1">
      <c r="B607" s="8"/>
    </row>
    <row r="608" spans="2:2" ht="15.75" customHeight="1">
      <c r="B608" s="8"/>
    </row>
    <row r="609" spans="2:2" ht="15.75" customHeight="1">
      <c r="B609" s="8"/>
    </row>
    <row r="610" spans="2:2" ht="15.75" customHeight="1">
      <c r="B610" s="8"/>
    </row>
    <row r="611" spans="2:2" ht="15.75" customHeight="1">
      <c r="B611" s="8"/>
    </row>
    <row r="612" spans="2:2" ht="15.75" customHeight="1">
      <c r="B612" s="8"/>
    </row>
    <row r="613" spans="2:2" ht="15.75" customHeight="1">
      <c r="B613" s="8"/>
    </row>
    <row r="614" spans="2:2" ht="15.75" customHeight="1">
      <c r="B614" s="8"/>
    </row>
    <row r="615" spans="2:2" ht="15.75" customHeight="1">
      <c r="B615" s="8"/>
    </row>
    <row r="616" spans="2:2" ht="15.75" customHeight="1">
      <c r="B616" s="8"/>
    </row>
    <row r="617" spans="2:2" ht="15.75" customHeight="1">
      <c r="B617" s="8"/>
    </row>
    <row r="618" spans="2:2" ht="15.75" customHeight="1">
      <c r="B618" s="8"/>
    </row>
    <row r="619" spans="2:2" ht="15.75" customHeight="1">
      <c r="B619" s="8"/>
    </row>
    <row r="620" spans="2:2" ht="15.75" customHeight="1">
      <c r="B620" s="8"/>
    </row>
    <row r="621" spans="2:2" ht="15.75" customHeight="1">
      <c r="B621" s="8"/>
    </row>
    <row r="622" spans="2:2" ht="15.75" customHeight="1">
      <c r="B622" s="8"/>
    </row>
    <row r="623" spans="2:2" ht="15.75" customHeight="1">
      <c r="B623" s="8"/>
    </row>
    <row r="624" spans="2:2" ht="15.75" customHeight="1">
      <c r="B624" s="8"/>
    </row>
    <row r="625" spans="2:2" ht="15.75" customHeight="1">
      <c r="B625" s="8"/>
    </row>
    <row r="626" spans="2:2" ht="15.75" customHeight="1">
      <c r="B626" s="8"/>
    </row>
    <row r="627" spans="2:2" ht="15.75" customHeight="1">
      <c r="B627" s="8"/>
    </row>
    <row r="628" spans="2:2" ht="15.75" customHeight="1">
      <c r="B628" s="8"/>
    </row>
    <row r="629" spans="2:2" ht="15.75" customHeight="1">
      <c r="B629" s="8"/>
    </row>
    <row r="630" spans="2:2" ht="15.75" customHeight="1">
      <c r="B630" s="8"/>
    </row>
    <row r="631" spans="2:2" ht="15.75" customHeight="1">
      <c r="B631" s="8"/>
    </row>
    <row r="632" spans="2:2" ht="15.75" customHeight="1">
      <c r="B632" s="8"/>
    </row>
    <row r="633" spans="2:2" ht="15.75" customHeight="1">
      <c r="B633" s="8"/>
    </row>
    <row r="634" spans="2:2" ht="15.75" customHeight="1">
      <c r="B634" s="8"/>
    </row>
    <row r="635" spans="2:2" ht="15.75" customHeight="1">
      <c r="B635" s="8"/>
    </row>
    <row r="636" spans="2:2" ht="15.75" customHeight="1">
      <c r="B636" s="8"/>
    </row>
    <row r="637" spans="2:2" ht="15.75" customHeight="1">
      <c r="B637" s="8"/>
    </row>
    <row r="638" spans="2:2" ht="15.75" customHeight="1">
      <c r="B638" s="8"/>
    </row>
    <row r="639" spans="2:2" ht="15.75" customHeight="1">
      <c r="B639" s="8"/>
    </row>
    <row r="640" spans="2:2" ht="15.75" customHeight="1">
      <c r="B640" s="8"/>
    </row>
    <row r="641" spans="2:2" ht="15.75" customHeight="1">
      <c r="B641" s="8"/>
    </row>
    <row r="642" spans="2:2" ht="15.75" customHeight="1">
      <c r="B642" s="8"/>
    </row>
    <row r="643" spans="2:2" ht="15.75" customHeight="1">
      <c r="B643" s="8"/>
    </row>
    <row r="644" spans="2:2" ht="15.75" customHeight="1">
      <c r="B644" s="8"/>
    </row>
    <row r="645" spans="2:2" ht="15.75" customHeight="1">
      <c r="B645" s="8"/>
    </row>
    <row r="646" spans="2:2" ht="15.75" customHeight="1">
      <c r="B646" s="8"/>
    </row>
    <row r="647" spans="2:2" ht="15.75" customHeight="1">
      <c r="B647" s="8"/>
    </row>
    <row r="648" spans="2:2" ht="15.75" customHeight="1">
      <c r="B648" s="8"/>
    </row>
    <row r="649" spans="2:2" ht="15.75" customHeight="1">
      <c r="B649" s="8"/>
    </row>
    <row r="650" spans="2:2" ht="15.75" customHeight="1">
      <c r="B650" s="8"/>
    </row>
    <row r="651" spans="2:2" ht="15.75" customHeight="1">
      <c r="B651" s="8"/>
    </row>
    <row r="652" spans="2:2" ht="15.75" customHeight="1">
      <c r="B652" s="8"/>
    </row>
    <row r="653" spans="2:2" ht="15.75" customHeight="1">
      <c r="B653" s="8"/>
    </row>
    <row r="654" spans="2:2" ht="15.75" customHeight="1">
      <c r="B654" s="8"/>
    </row>
    <row r="655" spans="2:2" ht="15.75" customHeight="1">
      <c r="B655" s="8"/>
    </row>
    <row r="656" spans="2:2" ht="15.75" customHeight="1">
      <c r="B656" s="8"/>
    </row>
    <row r="657" spans="2:2" ht="15.75" customHeight="1">
      <c r="B657" s="8"/>
    </row>
    <row r="658" spans="2:2" ht="15.75" customHeight="1">
      <c r="B658" s="8"/>
    </row>
    <row r="659" spans="2:2" ht="15.75" customHeight="1">
      <c r="B659" s="8"/>
    </row>
    <row r="660" spans="2:2" ht="15.75" customHeight="1">
      <c r="B660" s="8"/>
    </row>
    <row r="661" spans="2:2" ht="15.75" customHeight="1">
      <c r="B661" s="8"/>
    </row>
    <row r="662" spans="2:2" ht="15.75" customHeight="1">
      <c r="B662" s="8"/>
    </row>
    <row r="663" spans="2:2" ht="15.75" customHeight="1">
      <c r="B663" s="8"/>
    </row>
    <row r="664" spans="2:2" ht="15.75" customHeight="1">
      <c r="B664" s="8"/>
    </row>
    <row r="665" spans="2:2" ht="15.75" customHeight="1">
      <c r="B665" s="8"/>
    </row>
    <row r="666" spans="2:2" ht="15.75" customHeight="1">
      <c r="B666" s="8"/>
    </row>
    <row r="667" spans="2:2" ht="15.75" customHeight="1">
      <c r="B667" s="8"/>
    </row>
    <row r="668" spans="2:2" ht="15.75" customHeight="1">
      <c r="B668" s="8"/>
    </row>
    <row r="669" spans="2:2" ht="15.75" customHeight="1">
      <c r="B669" s="8"/>
    </row>
    <row r="670" spans="2:2" ht="15.75" customHeight="1">
      <c r="B670" s="8"/>
    </row>
    <row r="671" spans="2:2" ht="15.75" customHeight="1">
      <c r="B671" s="8"/>
    </row>
    <row r="672" spans="2:2" ht="15.75" customHeight="1">
      <c r="B672" s="8"/>
    </row>
    <row r="673" spans="2:2" ht="15.75" customHeight="1">
      <c r="B673" s="8"/>
    </row>
    <row r="674" spans="2:2" ht="15.75" customHeight="1">
      <c r="B674" s="8"/>
    </row>
    <row r="675" spans="2:2" ht="15.75" customHeight="1">
      <c r="B675" s="8"/>
    </row>
    <row r="676" spans="2:2" ht="15.75" customHeight="1">
      <c r="B676" s="8"/>
    </row>
    <row r="677" spans="2:2" ht="15.75" customHeight="1">
      <c r="B677" s="8"/>
    </row>
    <row r="678" spans="2:2" ht="15.75" customHeight="1">
      <c r="B678" s="8"/>
    </row>
    <row r="679" spans="2:2" ht="15.75" customHeight="1">
      <c r="B679" s="8"/>
    </row>
    <row r="680" spans="2:2" ht="15.75" customHeight="1">
      <c r="B680" s="8"/>
    </row>
    <row r="681" spans="2:2" ht="15.75" customHeight="1">
      <c r="B681" s="8"/>
    </row>
    <row r="682" spans="2:2" ht="15.75" customHeight="1">
      <c r="B682" s="8"/>
    </row>
    <row r="683" spans="2:2" ht="15.75" customHeight="1">
      <c r="B683" s="8"/>
    </row>
    <row r="684" spans="2:2" ht="15.75" customHeight="1">
      <c r="B684" s="8"/>
    </row>
    <row r="685" spans="2:2" ht="15.75" customHeight="1">
      <c r="B685" s="8"/>
    </row>
    <row r="686" spans="2:2" ht="15.75" customHeight="1">
      <c r="B686" s="8"/>
    </row>
    <row r="687" spans="2:2" ht="15.75" customHeight="1">
      <c r="B687" s="8"/>
    </row>
    <row r="688" spans="2:2" ht="15.75" customHeight="1">
      <c r="B688" s="8"/>
    </row>
    <row r="689" spans="2:2" ht="15.75" customHeight="1">
      <c r="B689" s="8"/>
    </row>
    <row r="690" spans="2:2" ht="15.75" customHeight="1">
      <c r="B690" s="8"/>
    </row>
    <row r="691" spans="2:2" ht="15.75" customHeight="1">
      <c r="B691" s="8"/>
    </row>
    <row r="692" spans="2:2" ht="15.75" customHeight="1">
      <c r="B692" s="8"/>
    </row>
    <row r="693" spans="2:2" ht="15.75" customHeight="1">
      <c r="B693" s="8"/>
    </row>
    <row r="694" spans="2:2" ht="15.75" customHeight="1">
      <c r="B694" s="8"/>
    </row>
    <row r="695" spans="2:2" ht="15.75" customHeight="1">
      <c r="B695" s="8"/>
    </row>
    <row r="696" spans="2:2" ht="15.75" customHeight="1">
      <c r="B696" s="8"/>
    </row>
    <row r="697" spans="2:2" ht="15.75" customHeight="1">
      <c r="B697" s="8"/>
    </row>
    <row r="698" spans="2:2" ht="15.75" customHeight="1">
      <c r="B698" s="8"/>
    </row>
    <row r="699" spans="2:2" ht="15.75" customHeight="1">
      <c r="B699" s="8"/>
    </row>
    <row r="700" spans="2:2" ht="15.75" customHeight="1">
      <c r="B700" s="8"/>
    </row>
    <row r="701" spans="2:2" ht="15.75" customHeight="1">
      <c r="B701" s="8"/>
    </row>
    <row r="702" spans="2:2" ht="15.75" customHeight="1">
      <c r="B702" s="8"/>
    </row>
    <row r="703" spans="2:2" ht="15.75" customHeight="1">
      <c r="B703" s="8"/>
    </row>
    <row r="704" spans="2:2" ht="15.75" customHeight="1">
      <c r="B704" s="8"/>
    </row>
    <row r="705" spans="2:2" ht="15.75" customHeight="1">
      <c r="B705" s="8"/>
    </row>
    <row r="706" spans="2:2" ht="15.75" customHeight="1">
      <c r="B706" s="8"/>
    </row>
    <row r="707" spans="2:2" ht="15.75" customHeight="1">
      <c r="B707" s="8"/>
    </row>
    <row r="708" spans="2:2" ht="15.75" customHeight="1">
      <c r="B708" s="8"/>
    </row>
    <row r="709" spans="2:2" ht="15.75" customHeight="1">
      <c r="B709" s="8"/>
    </row>
    <row r="710" spans="2:2" ht="15.75" customHeight="1">
      <c r="B710" s="8"/>
    </row>
    <row r="711" spans="2:2" ht="15.75" customHeight="1">
      <c r="B711" s="8"/>
    </row>
    <row r="712" spans="2:2" ht="15.75" customHeight="1">
      <c r="B712" s="8"/>
    </row>
    <row r="713" spans="2:2" ht="15.75" customHeight="1">
      <c r="B713" s="8"/>
    </row>
    <row r="714" spans="2:2" ht="15.75" customHeight="1">
      <c r="B714" s="8"/>
    </row>
    <row r="715" spans="2:2" ht="15.75" customHeight="1">
      <c r="B715" s="8"/>
    </row>
    <row r="716" spans="2:2" ht="15.75" customHeight="1">
      <c r="B716" s="8"/>
    </row>
    <row r="717" spans="2:2" ht="15.75" customHeight="1">
      <c r="B717" s="8"/>
    </row>
    <row r="718" spans="2:2" ht="15.75" customHeight="1">
      <c r="B718" s="8"/>
    </row>
    <row r="719" spans="2:2" ht="15.75" customHeight="1">
      <c r="B719" s="8"/>
    </row>
    <row r="720" spans="2:2" ht="15.75" customHeight="1">
      <c r="B720" s="8"/>
    </row>
    <row r="721" spans="2:2" ht="15.75" customHeight="1">
      <c r="B721" s="8"/>
    </row>
    <row r="722" spans="2:2" ht="15.75" customHeight="1">
      <c r="B722" s="8"/>
    </row>
    <row r="723" spans="2:2" ht="15.75" customHeight="1">
      <c r="B723" s="8"/>
    </row>
    <row r="724" spans="2:2" ht="15.75" customHeight="1">
      <c r="B724" s="8"/>
    </row>
    <row r="725" spans="2:2" ht="15.75" customHeight="1">
      <c r="B725" s="8"/>
    </row>
    <row r="726" spans="2:2" ht="15.75" customHeight="1">
      <c r="B726" s="8"/>
    </row>
    <row r="727" spans="2:2" ht="15.75" customHeight="1">
      <c r="B727" s="8"/>
    </row>
    <row r="728" spans="2:2" ht="15.75" customHeight="1">
      <c r="B728" s="8"/>
    </row>
    <row r="729" spans="2:2" ht="15.75" customHeight="1">
      <c r="B729" s="8"/>
    </row>
    <row r="730" spans="2:2" ht="15.75" customHeight="1">
      <c r="B730" s="8"/>
    </row>
    <row r="731" spans="2:2" ht="15.75" customHeight="1">
      <c r="B731" s="8"/>
    </row>
    <row r="732" spans="2:2" ht="15.75" customHeight="1">
      <c r="B732" s="8"/>
    </row>
    <row r="733" spans="2:2" ht="15.75" customHeight="1">
      <c r="B733" s="8"/>
    </row>
    <row r="734" spans="2:2" ht="15.75" customHeight="1">
      <c r="B734" s="8"/>
    </row>
    <row r="735" spans="2:2" ht="15.75" customHeight="1">
      <c r="B735" s="8"/>
    </row>
    <row r="736" spans="2:2" ht="15.75" customHeight="1">
      <c r="B736" s="8"/>
    </row>
    <row r="737" spans="2:2" ht="15.75" customHeight="1">
      <c r="B737" s="8"/>
    </row>
    <row r="738" spans="2:2" ht="15.75" customHeight="1">
      <c r="B738" s="8"/>
    </row>
    <row r="739" spans="2:2" ht="15.75" customHeight="1">
      <c r="B739" s="8"/>
    </row>
    <row r="740" spans="2:2" ht="15.75" customHeight="1">
      <c r="B740" s="8"/>
    </row>
    <row r="741" spans="2:2" ht="15.75" customHeight="1">
      <c r="B741" s="8"/>
    </row>
    <row r="742" spans="2:2" ht="15.75" customHeight="1">
      <c r="B742" s="8"/>
    </row>
    <row r="743" spans="2:2" ht="15.75" customHeight="1">
      <c r="B743" s="8"/>
    </row>
    <row r="744" spans="2:2" ht="15.75" customHeight="1">
      <c r="B744" s="8"/>
    </row>
    <row r="745" spans="2:2" ht="15.75" customHeight="1">
      <c r="B745" s="8"/>
    </row>
    <row r="746" spans="2:2" ht="15.75" customHeight="1">
      <c r="B746" s="8"/>
    </row>
    <row r="747" spans="2:2" ht="15.75" customHeight="1">
      <c r="B747" s="8"/>
    </row>
    <row r="748" spans="2:2" ht="15.75" customHeight="1">
      <c r="B748" s="8"/>
    </row>
    <row r="749" spans="2:2" ht="15.75" customHeight="1">
      <c r="B749" s="8"/>
    </row>
    <row r="750" spans="2:2" ht="15.75" customHeight="1">
      <c r="B750" s="8"/>
    </row>
    <row r="751" spans="2:2" ht="15.75" customHeight="1">
      <c r="B751" s="8"/>
    </row>
    <row r="752" spans="2:2" ht="15.75" customHeight="1">
      <c r="B752" s="8"/>
    </row>
    <row r="753" spans="2:2" ht="15.75" customHeight="1">
      <c r="B753" s="8"/>
    </row>
    <row r="754" spans="2:2" ht="15.75" customHeight="1">
      <c r="B754" s="8"/>
    </row>
    <row r="755" spans="2:2" ht="15.75" customHeight="1">
      <c r="B755" s="8"/>
    </row>
    <row r="756" spans="2:2" ht="15.75" customHeight="1">
      <c r="B756" s="8"/>
    </row>
    <row r="757" spans="2:2" ht="15.75" customHeight="1">
      <c r="B757" s="8"/>
    </row>
    <row r="758" spans="2:2" ht="15.75" customHeight="1">
      <c r="B758" s="8"/>
    </row>
    <row r="759" spans="2:2" ht="15.75" customHeight="1">
      <c r="B759" s="8"/>
    </row>
    <row r="760" spans="2:2" ht="15.75" customHeight="1">
      <c r="B760" s="8"/>
    </row>
    <row r="761" spans="2:2" ht="15.75" customHeight="1">
      <c r="B761" s="8"/>
    </row>
    <row r="762" spans="2:2" ht="15.75" customHeight="1">
      <c r="B762" s="8"/>
    </row>
    <row r="763" spans="2:2" ht="15.75" customHeight="1">
      <c r="B763" s="8"/>
    </row>
    <row r="764" spans="2:2" ht="15.75" customHeight="1">
      <c r="B764" s="8"/>
    </row>
    <row r="765" spans="2:2" ht="15.75" customHeight="1">
      <c r="B765" s="8"/>
    </row>
    <row r="766" spans="2:2" ht="15.75" customHeight="1">
      <c r="B766" s="8"/>
    </row>
    <row r="767" spans="2:2" ht="15.75" customHeight="1">
      <c r="B767" s="8"/>
    </row>
    <row r="768" spans="2:2" ht="15.75" customHeight="1">
      <c r="B768" s="8"/>
    </row>
    <row r="769" spans="2:2" ht="15.75" customHeight="1">
      <c r="B769" s="8"/>
    </row>
    <row r="770" spans="2:2" ht="15.75" customHeight="1">
      <c r="B770" s="8"/>
    </row>
    <row r="771" spans="2:2" ht="15.75" customHeight="1">
      <c r="B771" s="8"/>
    </row>
    <row r="772" spans="2:2" ht="15.75" customHeight="1">
      <c r="B772" s="8"/>
    </row>
    <row r="773" spans="2:2" ht="15.75" customHeight="1">
      <c r="B773" s="8"/>
    </row>
    <row r="774" spans="2:2" ht="15.75" customHeight="1">
      <c r="B774" s="8"/>
    </row>
    <row r="775" spans="2:2" ht="15.75" customHeight="1">
      <c r="B775" s="8"/>
    </row>
    <row r="776" spans="2:2" ht="15.75" customHeight="1">
      <c r="B776" s="8"/>
    </row>
    <row r="777" spans="2:2" ht="15.75" customHeight="1">
      <c r="B777" s="8"/>
    </row>
    <row r="778" spans="2:2" ht="15.75" customHeight="1">
      <c r="B778" s="8"/>
    </row>
    <row r="779" spans="2:2" ht="15.75" customHeight="1">
      <c r="B779" s="8"/>
    </row>
    <row r="780" spans="2:2" ht="15.75" customHeight="1">
      <c r="B780" s="8"/>
    </row>
    <row r="781" spans="2:2" ht="15.75" customHeight="1">
      <c r="B781" s="8"/>
    </row>
    <row r="782" spans="2:2" ht="15.75" customHeight="1">
      <c r="B782" s="8"/>
    </row>
    <row r="783" spans="2:2" ht="15.75" customHeight="1">
      <c r="B783" s="8"/>
    </row>
    <row r="784" spans="2:2" ht="15.75" customHeight="1">
      <c r="B784" s="8"/>
    </row>
    <row r="785" spans="2:2" ht="15.75" customHeight="1">
      <c r="B785" s="8"/>
    </row>
    <row r="786" spans="2:2" ht="15.75" customHeight="1">
      <c r="B786" s="8"/>
    </row>
    <row r="787" spans="2:2" ht="15.75" customHeight="1">
      <c r="B787" s="8"/>
    </row>
    <row r="788" spans="2:2" ht="15.75" customHeight="1">
      <c r="B788" s="8"/>
    </row>
    <row r="789" spans="2:2" ht="15.75" customHeight="1">
      <c r="B789" s="8"/>
    </row>
    <row r="790" spans="2:2" ht="15.75" customHeight="1">
      <c r="B790" s="8"/>
    </row>
    <row r="791" spans="2:2" ht="15.75" customHeight="1">
      <c r="B791" s="8"/>
    </row>
    <row r="792" spans="2:2" ht="15.75" customHeight="1">
      <c r="B792" s="8"/>
    </row>
    <row r="793" spans="2:2" ht="15.75" customHeight="1">
      <c r="B793" s="8"/>
    </row>
    <row r="794" spans="2:2" ht="15.75" customHeight="1">
      <c r="B794" s="8"/>
    </row>
    <row r="795" spans="2:2" ht="15.75" customHeight="1">
      <c r="B795" s="8"/>
    </row>
    <row r="796" spans="2:2" ht="15.75" customHeight="1">
      <c r="B796" s="8"/>
    </row>
    <row r="797" spans="2:2" ht="15.75" customHeight="1">
      <c r="B797" s="8"/>
    </row>
    <row r="798" spans="2:2" ht="15.75" customHeight="1">
      <c r="B798" s="8"/>
    </row>
    <row r="799" spans="2:2" ht="15.75" customHeight="1">
      <c r="B799" s="8"/>
    </row>
    <row r="800" spans="2:2" ht="15.75" customHeight="1">
      <c r="B800" s="8"/>
    </row>
    <row r="801" spans="2:2" ht="15.75" customHeight="1">
      <c r="B801" s="8"/>
    </row>
    <row r="802" spans="2:2" ht="15.75" customHeight="1">
      <c r="B802" s="8"/>
    </row>
    <row r="803" spans="2:2" ht="15.75" customHeight="1">
      <c r="B803" s="8"/>
    </row>
    <row r="804" spans="2:2" ht="15.75" customHeight="1">
      <c r="B804" s="8"/>
    </row>
    <row r="805" spans="2:2" ht="15.75" customHeight="1">
      <c r="B805" s="8"/>
    </row>
    <row r="806" spans="2:2" ht="15.75" customHeight="1">
      <c r="B806" s="8"/>
    </row>
    <row r="807" spans="2:2" ht="15.75" customHeight="1">
      <c r="B807" s="8"/>
    </row>
    <row r="808" spans="2:2" ht="15.75" customHeight="1">
      <c r="B808" s="8"/>
    </row>
    <row r="809" spans="2:2" ht="15.75" customHeight="1">
      <c r="B809" s="8"/>
    </row>
    <row r="810" spans="2:2" ht="15.75" customHeight="1">
      <c r="B810" s="8"/>
    </row>
    <row r="811" spans="2:2" ht="15.75" customHeight="1">
      <c r="B811" s="8"/>
    </row>
    <row r="812" spans="2:2" ht="15.75" customHeight="1">
      <c r="B812" s="8"/>
    </row>
    <row r="813" spans="2:2" ht="15.75" customHeight="1">
      <c r="B813" s="8"/>
    </row>
    <row r="814" spans="2:2" ht="15.75" customHeight="1">
      <c r="B814" s="8"/>
    </row>
    <row r="815" spans="2:2" ht="15.75" customHeight="1">
      <c r="B815" s="8"/>
    </row>
    <row r="816" spans="2:2" ht="15.75" customHeight="1">
      <c r="B816" s="8"/>
    </row>
    <row r="817" spans="2:2" ht="15.75" customHeight="1">
      <c r="B817" s="8"/>
    </row>
    <row r="818" spans="2:2" ht="15.75" customHeight="1">
      <c r="B818" s="8"/>
    </row>
    <row r="819" spans="2:2" ht="15.75" customHeight="1">
      <c r="B819" s="8"/>
    </row>
    <row r="820" spans="2:2" ht="15.75" customHeight="1">
      <c r="B820" s="8"/>
    </row>
    <row r="821" spans="2:2" ht="15.75" customHeight="1">
      <c r="B821" s="8"/>
    </row>
    <row r="822" spans="2:2" ht="15.75" customHeight="1">
      <c r="B822" s="8"/>
    </row>
    <row r="823" spans="2:2" ht="15.75" customHeight="1">
      <c r="B823" s="8"/>
    </row>
    <row r="824" spans="2:2" ht="15.75" customHeight="1">
      <c r="B824" s="8"/>
    </row>
    <row r="825" spans="2:2" ht="15.75" customHeight="1">
      <c r="B825" s="8"/>
    </row>
    <row r="826" spans="2:2" ht="15.75" customHeight="1">
      <c r="B826" s="8"/>
    </row>
    <row r="827" spans="2:2" ht="15.75" customHeight="1">
      <c r="B827" s="8"/>
    </row>
    <row r="828" spans="2:2" ht="15.75" customHeight="1">
      <c r="B828" s="8"/>
    </row>
    <row r="829" spans="2:2" ht="15.75" customHeight="1">
      <c r="B829" s="8"/>
    </row>
    <row r="830" spans="2:2" ht="15.75" customHeight="1">
      <c r="B830" s="8"/>
    </row>
    <row r="831" spans="2:2" ht="15.75" customHeight="1">
      <c r="B831" s="8"/>
    </row>
    <row r="832" spans="2:2" ht="15.75" customHeight="1">
      <c r="B832" s="8"/>
    </row>
    <row r="833" spans="2:2" ht="15.75" customHeight="1">
      <c r="B833" s="8"/>
    </row>
    <row r="834" spans="2:2" ht="15.75" customHeight="1">
      <c r="B834" s="8"/>
    </row>
    <row r="835" spans="2:2" ht="15.75" customHeight="1">
      <c r="B835" s="8"/>
    </row>
    <row r="836" spans="2:2" ht="15.75" customHeight="1">
      <c r="B836" s="8"/>
    </row>
    <row r="837" spans="2:2" ht="15.75" customHeight="1">
      <c r="B837" s="8"/>
    </row>
    <row r="838" spans="2:2" ht="15.75" customHeight="1">
      <c r="B838" s="8"/>
    </row>
    <row r="839" spans="2:2" ht="15.75" customHeight="1">
      <c r="B839" s="8"/>
    </row>
    <row r="840" spans="2:2" ht="15.75" customHeight="1">
      <c r="B840" s="8"/>
    </row>
    <row r="841" spans="2:2" ht="15.75" customHeight="1">
      <c r="B841" s="8"/>
    </row>
    <row r="842" spans="2:2" ht="15.75" customHeight="1">
      <c r="B842" s="8"/>
    </row>
    <row r="843" spans="2:2" ht="15.75" customHeight="1">
      <c r="B843" s="8"/>
    </row>
    <row r="844" spans="2:2" ht="15.75" customHeight="1">
      <c r="B844" s="8"/>
    </row>
    <row r="845" spans="2:2" ht="15.75" customHeight="1">
      <c r="B845" s="8"/>
    </row>
    <row r="846" spans="2:2" ht="15.75" customHeight="1">
      <c r="B846" s="8"/>
    </row>
    <row r="847" spans="2:2" ht="15.75" customHeight="1">
      <c r="B847" s="8"/>
    </row>
    <row r="848" spans="2:2" ht="15.75" customHeight="1">
      <c r="B848" s="8"/>
    </row>
    <row r="849" spans="2:2" ht="15.75" customHeight="1">
      <c r="B849" s="8"/>
    </row>
    <row r="850" spans="2:2" ht="15.75" customHeight="1">
      <c r="B850" s="8"/>
    </row>
    <row r="851" spans="2:2" ht="15.75" customHeight="1">
      <c r="B851" s="8"/>
    </row>
    <row r="852" spans="2:2" ht="15.75" customHeight="1">
      <c r="B852" s="8"/>
    </row>
    <row r="853" spans="2:2" ht="15.75" customHeight="1">
      <c r="B853" s="8"/>
    </row>
    <row r="854" spans="2:2" ht="15.75" customHeight="1">
      <c r="B854" s="8"/>
    </row>
    <row r="855" spans="2:2" ht="15.75" customHeight="1">
      <c r="B855" s="8"/>
    </row>
    <row r="856" spans="2:2" ht="15.75" customHeight="1">
      <c r="B856" s="8"/>
    </row>
    <row r="857" spans="2:2" ht="15.75" customHeight="1">
      <c r="B857" s="8"/>
    </row>
    <row r="858" spans="2:2" ht="15.75" customHeight="1">
      <c r="B858" s="8"/>
    </row>
    <row r="859" spans="2:2" ht="15.75" customHeight="1">
      <c r="B859" s="8"/>
    </row>
    <row r="860" spans="2:2" ht="15.75" customHeight="1">
      <c r="B860" s="8"/>
    </row>
    <row r="861" spans="2:2" ht="15.75" customHeight="1">
      <c r="B861" s="8"/>
    </row>
    <row r="862" spans="2:2" ht="15.75" customHeight="1">
      <c r="B862" s="8"/>
    </row>
    <row r="863" spans="2:2" ht="15.75" customHeight="1">
      <c r="B863" s="8"/>
    </row>
    <row r="864" spans="2:2" ht="15.75" customHeight="1">
      <c r="B864" s="8"/>
    </row>
    <row r="865" spans="2:2" ht="15.75" customHeight="1">
      <c r="B865" s="8"/>
    </row>
    <row r="866" spans="2:2" ht="15.75" customHeight="1">
      <c r="B866" s="8"/>
    </row>
    <row r="867" spans="2:2" ht="15.75" customHeight="1">
      <c r="B867" s="8"/>
    </row>
    <row r="868" spans="2:2" ht="15.75" customHeight="1">
      <c r="B868" s="8"/>
    </row>
    <row r="869" spans="2:2" ht="15.75" customHeight="1">
      <c r="B869" s="8"/>
    </row>
    <row r="870" spans="2:2" ht="15.75" customHeight="1">
      <c r="B870" s="8"/>
    </row>
    <row r="871" spans="2:2" ht="15.75" customHeight="1">
      <c r="B871" s="8"/>
    </row>
    <row r="872" spans="2:2" ht="15.75" customHeight="1">
      <c r="B872" s="8"/>
    </row>
    <row r="873" spans="2:2" ht="15.75" customHeight="1">
      <c r="B873" s="8"/>
    </row>
    <row r="874" spans="2:2" ht="15.75" customHeight="1">
      <c r="B874" s="8"/>
    </row>
    <row r="875" spans="2:2" ht="15.75" customHeight="1">
      <c r="B875" s="8"/>
    </row>
    <row r="876" spans="2:2" ht="15.75" customHeight="1">
      <c r="B876" s="8"/>
    </row>
    <row r="877" spans="2:2" ht="15.75" customHeight="1">
      <c r="B877" s="8"/>
    </row>
    <row r="878" spans="2:2" ht="15.75" customHeight="1">
      <c r="B878" s="8"/>
    </row>
    <row r="879" spans="2:2" ht="15.75" customHeight="1">
      <c r="B879" s="8"/>
    </row>
    <row r="880" spans="2:2" ht="15.75" customHeight="1">
      <c r="B880" s="8"/>
    </row>
    <row r="881" spans="2:2" ht="15.75" customHeight="1">
      <c r="B881" s="8"/>
    </row>
    <row r="882" spans="2:2" ht="15.75" customHeight="1">
      <c r="B882" s="8"/>
    </row>
    <row r="883" spans="2:2" ht="15.75" customHeight="1">
      <c r="B883" s="8"/>
    </row>
    <row r="884" spans="2:2" ht="15.75" customHeight="1">
      <c r="B884" s="8"/>
    </row>
    <row r="885" spans="2:2" ht="15.75" customHeight="1">
      <c r="B885" s="8"/>
    </row>
    <row r="886" spans="2:2" ht="15.75" customHeight="1">
      <c r="B886" s="8"/>
    </row>
    <row r="887" spans="2:2" ht="15.75" customHeight="1">
      <c r="B887" s="8"/>
    </row>
    <row r="888" spans="2:2" ht="15.75" customHeight="1">
      <c r="B888" s="8"/>
    </row>
    <row r="889" spans="2:2" ht="15.75" customHeight="1">
      <c r="B889" s="8"/>
    </row>
    <row r="890" spans="2:2" ht="15.75" customHeight="1">
      <c r="B890" s="8"/>
    </row>
    <row r="891" spans="2:2" ht="15.75" customHeight="1">
      <c r="B891" s="8"/>
    </row>
    <row r="892" spans="2:2" ht="15.75" customHeight="1">
      <c r="B892" s="8"/>
    </row>
    <row r="893" spans="2:2" ht="15.75" customHeight="1">
      <c r="B893" s="8"/>
    </row>
    <row r="894" spans="2:2" ht="15.75" customHeight="1">
      <c r="B894" s="8"/>
    </row>
    <row r="895" spans="2:2" ht="15.75" customHeight="1">
      <c r="B895" s="8"/>
    </row>
    <row r="896" spans="2:2" ht="15.75" customHeight="1">
      <c r="B896" s="8"/>
    </row>
    <row r="897" spans="2:2" ht="15.75" customHeight="1">
      <c r="B897" s="8"/>
    </row>
    <row r="898" spans="2:2" ht="15.75" customHeight="1">
      <c r="B898" s="8"/>
    </row>
    <row r="899" spans="2:2" ht="15.75" customHeight="1">
      <c r="B899" s="8"/>
    </row>
    <row r="900" spans="2:2" ht="15.75" customHeight="1">
      <c r="B900" s="8"/>
    </row>
    <row r="901" spans="2:2" ht="15.75" customHeight="1">
      <c r="B901" s="8"/>
    </row>
    <row r="902" spans="2:2" ht="15.75" customHeight="1">
      <c r="B902" s="8"/>
    </row>
    <row r="903" spans="2:2" ht="15.75" customHeight="1">
      <c r="B903" s="8"/>
    </row>
    <row r="904" spans="2:2" ht="15.75" customHeight="1">
      <c r="B904" s="8"/>
    </row>
    <row r="905" spans="2:2" ht="15.75" customHeight="1">
      <c r="B905" s="8"/>
    </row>
    <row r="906" spans="2:2" ht="15.75" customHeight="1">
      <c r="B906" s="8"/>
    </row>
    <row r="907" spans="2:2" ht="15.75" customHeight="1">
      <c r="B907" s="8"/>
    </row>
    <row r="908" spans="2:2" ht="15.75" customHeight="1">
      <c r="B908" s="8"/>
    </row>
    <row r="909" spans="2:2" ht="15.75" customHeight="1">
      <c r="B909" s="8"/>
    </row>
    <row r="910" spans="2:2" ht="15.75" customHeight="1">
      <c r="B910" s="8"/>
    </row>
    <row r="911" spans="2:2" ht="15.75" customHeight="1">
      <c r="B911" s="8"/>
    </row>
    <row r="912" spans="2:2" ht="15.75" customHeight="1">
      <c r="B912" s="8"/>
    </row>
    <row r="913" spans="2:2" ht="15.75" customHeight="1">
      <c r="B913" s="8"/>
    </row>
    <row r="914" spans="2:2" ht="15.75" customHeight="1">
      <c r="B914" s="8"/>
    </row>
    <row r="915" spans="2:2" ht="15.75" customHeight="1">
      <c r="B915" s="8"/>
    </row>
    <row r="916" spans="2:2" ht="15.75" customHeight="1">
      <c r="B916" s="8"/>
    </row>
    <row r="917" spans="2:2" ht="15.75" customHeight="1">
      <c r="B917" s="8"/>
    </row>
    <row r="918" spans="2:2" ht="15.75" customHeight="1">
      <c r="B918" s="8"/>
    </row>
    <row r="919" spans="2:2" ht="15.75" customHeight="1">
      <c r="B919" s="8"/>
    </row>
    <row r="920" spans="2:2" ht="15.75" customHeight="1">
      <c r="B920" s="8"/>
    </row>
    <row r="921" spans="2:2" ht="15.75" customHeight="1">
      <c r="B921" s="8"/>
    </row>
    <row r="922" spans="2:2" ht="15.75" customHeight="1">
      <c r="B922" s="8"/>
    </row>
    <row r="923" spans="2:2" ht="15.75" customHeight="1">
      <c r="B923" s="8"/>
    </row>
    <row r="924" spans="2:2" ht="15.75" customHeight="1">
      <c r="B924" s="8"/>
    </row>
    <row r="925" spans="2:2" ht="15.75" customHeight="1">
      <c r="B925" s="8"/>
    </row>
    <row r="926" spans="2:2" ht="15.75" customHeight="1">
      <c r="B926" s="8"/>
    </row>
    <row r="927" spans="2:2" ht="15.75" customHeight="1">
      <c r="B927" s="8"/>
    </row>
    <row r="928" spans="2:2" ht="15.75" customHeight="1">
      <c r="B928" s="8"/>
    </row>
    <row r="929" spans="2:2" ht="15.75" customHeight="1">
      <c r="B929" s="8"/>
    </row>
    <row r="930" spans="2:2" ht="15.75" customHeight="1">
      <c r="B930" s="8"/>
    </row>
    <row r="931" spans="2:2" ht="15.75" customHeight="1">
      <c r="B931" s="8"/>
    </row>
    <row r="932" spans="2:2" ht="15.75" customHeight="1">
      <c r="B932" s="8"/>
    </row>
    <row r="933" spans="2:2" ht="15.75" customHeight="1">
      <c r="B933" s="8"/>
    </row>
    <row r="934" spans="2:2" ht="15.75" customHeight="1">
      <c r="B934" s="8"/>
    </row>
    <row r="935" spans="2:2" ht="15.75" customHeight="1">
      <c r="B935" s="8"/>
    </row>
    <row r="936" spans="2:2" ht="15.75" customHeight="1">
      <c r="B936" s="8"/>
    </row>
    <row r="937" spans="2:2" ht="15.75" customHeight="1">
      <c r="B937" s="8"/>
    </row>
    <row r="938" spans="2:2" ht="15.75" customHeight="1">
      <c r="B938" s="8"/>
    </row>
    <row r="939" spans="2:2" ht="15.75" customHeight="1">
      <c r="B939" s="8"/>
    </row>
    <row r="940" spans="2:2" ht="15.75" customHeight="1">
      <c r="B940" s="8"/>
    </row>
    <row r="941" spans="2:2" ht="15.75" customHeight="1">
      <c r="B941" s="8"/>
    </row>
    <row r="942" spans="2:2" ht="15.75" customHeight="1">
      <c r="B942" s="8"/>
    </row>
    <row r="943" spans="2:2" ht="15.75" customHeight="1">
      <c r="B943" s="8"/>
    </row>
    <row r="944" spans="2:2" ht="15.75" customHeight="1">
      <c r="B944" s="8"/>
    </row>
    <row r="945" spans="2:2" ht="15.75" customHeight="1">
      <c r="B945" s="8"/>
    </row>
    <row r="946" spans="2:2" ht="15.75" customHeight="1">
      <c r="B946" s="8"/>
    </row>
    <row r="947" spans="2:2" ht="15.75" customHeight="1">
      <c r="B947" s="8"/>
    </row>
    <row r="948" spans="2:2" ht="15.75" customHeight="1">
      <c r="B948" s="8"/>
    </row>
    <row r="949" spans="2:2" ht="15.75" customHeight="1">
      <c r="B949" s="8"/>
    </row>
    <row r="950" spans="2:2" ht="15.75" customHeight="1">
      <c r="B950" s="8"/>
    </row>
    <row r="951" spans="2:2" ht="15.75" customHeight="1">
      <c r="B951" s="8"/>
    </row>
    <row r="952" spans="2:2" ht="15.75" customHeight="1">
      <c r="B952" s="8"/>
    </row>
    <row r="953" spans="2:2" ht="15.75" customHeight="1">
      <c r="B953" s="8"/>
    </row>
    <row r="954" spans="2:2" ht="15.75" customHeight="1">
      <c r="B954" s="8"/>
    </row>
    <row r="955" spans="2:2" ht="15.75" customHeight="1">
      <c r="B955" s="8"/>
    </row>
    <row r="956" spans="2:2" ht="15.75" customHeight="1">
      <c r="B956" s="8"/>
    </row>
    <row r="957" spans="2:2" ht="15.75" customHeight="1">
      <c r="B957" s="8"/>
    </row>
    <row r="958" spans="2:2" ht="15.75" customHeight="1">
      <c r="B958" s="8"/>
    </row>
    <row r="959" spans="2:2" ht="15.75" customHeight="1">
      <c r="B959" s="8"/>
    </row>
    <row r="960" spans="2:2" ht="15.75" customHeight="1">
      <c r="B960" s="8"/>
    </row>
    <row r="961" spans="2:2" ht="15.75" customHeight="1">
      <c r="B961" s="8"/>
    </row>
    <row r="962" spans="2:2" ht="15.75" customHeight="1">
      <c r="B962" s="8"/>
    </row>
    <row r="963" spans="2:2" ht="15.75" customHeight="1">
      <c r="B963" s="8"/>
    </row>
    <row r="964" spans="2:2" ht="15.75" customHeight="1">
      <c r="B964" s="8"/>
    </row>
    <row r="965" spans="2:2" ht="15.75" customHeight="1">
      <c r="B965" s="8"/>
    </row>
    <row r="966" spans="2:2" ht="15.75" customHeight="1">
      <c r="B966" s="8"/>
    </row>
    <row r="967" spans="2:2" ht="15.75" customHeight="1">
      <c r="B967" s="8"/>
    </row>
    <row r="968" spans="2:2" ht="15.75" customHeight="1">
      <c r="B968" s="8"/>
    </row>
    <row r="969" spans="2:2" ht="15.75" customHeight="1">
      <c r="B969" s="8"/>
    </row>
    <row r="970" spans="2:2" ht="15.75" customHeight="1">
      <c r="B970" s="8"/>
    </row>
    <row r="971" spans="2:2" ht="15.75" customHeight="1">
      <c r="B971" s="8"/>
    </row>
    <row r="972" spans="2:2" ht="15.75" customHeight="1">
      <c r="B972" s="8"/>
    </row>
    <row r="973" spans="2:2" ht="15.75" customHeight="1">
      <c r="B973" s="8"/>
    </row>
    <row r="974" spans="2:2" ht="15.75" customHeight="1">
      <c r="B974" s="8"/>
    </row>
    <row r="975" spans="2:2" ht="15.75" customHeight="1">
      <c r="B975" s="8"/>
    </row>
    <row r="976" spans="2:2" ht="15.75" customHeight="1">
      <c r="B976" s="8"/>
    </row>
    <row r="977" spans="2:2" ht="15.75" customHeight="1">
      <c r="B977" s="8"/>
    </row>
    <row r="978" spans="2:2" ht="15.75" customHeight="1">
      <c r="B978" s="8"/>
    </row>
    <row r="979" spans="2:2" ht="15.75" customHeight="1">
      <c r="B979" s="8"/>
    </row>
    <row r="980" spans="2:2" ht="15.75" customHeight="1">
      <c r="B980" s="8"/>
    </row>
    <row r="981" spans="2:2" ht="15.75" customHeight="1">
      <c r="B981" s="8"/>
    </row>
    <row r="982" spans="2:2" ht="15.75" customHeight="1">
      <c r="B982" s="8"/>
    </row>
    <row r="983" spans="2:2" ht="15.75" customHeight="1">
      <c r="B983" s="8"/>
    </row>
    <row r="984" spans="2:2" ht="15.75" customHeight="1">
      <c r="B984" s="8"/>
    </row>
    <row r="985" spans="2:2" ht="15.75" customHeight="1">
      <c r="B985" s="8"/>
    </row>
    <row r="986" spans="2:2" ht="15.75" customHeight="1">
      <c r="B986" s="8"/>
    </row>
    <row r="987" spans="2:2" ht="15.75" customHeight="1">
      <c r="B987" s="8"/>
    </row>
    <row r="988" spans="2:2" ht="15.75" customHeight="1">
      <c r="B988" s="8"/>
    </row>
    <row r="989" spans="2:2" ht="15.75" customHeight="1">
      <c r="B989" s="8"/>
    </row>
    <row r="990" spans="2:2" ht="15.75" customHeight="1">
      <c r="B990" s="8"/>
    </row>
    <row r="991" spans="2:2" ht="15.75" customHeight="1">
      <c r="B991" s="8"/>
    </row>
    <row r="992" spans="2:2" ht="15.75" customHeight="1">
      <c r="B992" s="8"/>
    </row>
    <row r="993" spans="2:2" ht="15.75" customHeight="1">
      <c r="B993" s="8"/>
    </row>
    <row r="994" spans="2:2" ht="15.75" customHeight="1">
      <c r="B994" s="8"/>
    </row>
    <row r="995" spans="2:2" ht="15.75" customHeight="1">
      <c r="B995" s="8"/>
    </row>
    <row r="996" spans="2:2" ht="15.75" customHeight="1">
      <c r="B996" s="8"/>
    </row>
    <row r="997" spans="2:2" ht="15.75" customHeight="1">
      <c r="B997" s="8"/>
    </row>
    <row r="998" spans="2:2" ht="15.75" customHeight="1">
      <c r="B998" s="8"/>
    </row>
    <row r="999" spans="2:2" ht="15.75" customHeight="1">
      <c r="B999" s="8"/>
    </row>
    <row r="1000" spans="2:2" ht="15.75" customHeight="1">
      <c r="B1000" s="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Shaurya Shikhar</cp:lastModifiedBy>
  <cp:revision/>
  <dcterms:created xsi:type="dcterms:W3CDTF">2021-10-12T08:52:12Z</dcterms:created>
  <dcterms:modified xsi:type="dcterms:W3CDTF">2022-08-21T17:49:39Z</dcterms:modified>
  <cp:category/>
  <cp:contentStatus/>
</cp:coreProperties>
</file>