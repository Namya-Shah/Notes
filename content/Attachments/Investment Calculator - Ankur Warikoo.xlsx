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/>
  <xr:revisionPtr revIDLastSave="0" documentId="8_{0949613B-0196-4DC4-AD61-9BC3DE11DD5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tro" sheetId="1" r:id="rId1"/>
    <sheet name="How much will I make" sheetId="2" r:id="rId2"/>
    <sheet name="Calculations" sheetId="3" state="hidden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7" roundtripDataSignature="AMtx7mjzEX952e9MxaQRrGN6e61oQYsVFg=="/>
    </ext>
  </extLst>
</workbook>
</file>

<file path=xl/calcChain.xml><?xml version="1.0" encoding="utf-8"?>
<calcChain xmlns="http://schemas.openxmlformats.org/spreadsheetml/2006/main">
  <c r="A6" i="3" l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B5" i="3"/>
  <c r="B1" i="3"/>
  <c r="B6" i="3" l="1"/>
  <c r="AE5" i="3"/>
  <c r="AA5" i="3"/>
  <c r="W5" i="3"/>
  <c r="S5" i="3"/>
  <c r="O5" i="3"/>
  <c r="K5" i="3"/>
  <c r="G5" i="3"/>
  <c r="C5" i="3"/>
  <c r="E5" i="3" l="1"/>
  <c r="F5" i="3" s="1"/>
  <c r="D5" i="3"/>
  <c r="I5" i="3"/>
  <c r="J5" i="3" s="1"/>
  <c r="H5" i="3"/>
  <c r="M5" i="3"/>
  <c r="N5" i="3" s="1"/>
  <c r="L5" i="3"/>
  <c r="Q5" i="3"/>
  <c r="R5" i="3" s="1"/>
  <c r="P5" i="3"/>
  <c r="U5" i="3"/>
  <c r="V5" i="3" s="1"/>
  <c r="T5" i="3"/>
  <c r="Y5" i="3"/>
  <c r="Z5" i="3" s="1"/>
  <c r="X5" i="3"/>
  <c r="AC5" i="3"/>
  <c r="AD5" i="3" s="1"/>
  <c r="AB5" i="3"/>
  <c r="AG5" i="3"/>
  <c r="AH5" i="3" s="1"/>
  <c r="AF5" i="3"/>
  <c r="B7" i="3"/>
  <c r="AE6" i="3"/>
  <c r="AA6" i="3"/>
  <c r="W6" i="3"/>
  <c r="S6" i="3"/>
  <c r="O6" i="3"/>
  <c r="K6" i="3"/>
  <c r="G6" i="3"/>
  <c r="C6" i="3"/>
  <c r="E6" i="3" l="1"/>
  <c r="F6" i="3" s="1"/>
  <c r="D6" i="3"/>
  <c r="I6" i="3"/>
  <c r="J6" i="3" s="1"/>
  <c r="H6" i="3"/>
  <c r="M6" i="3"/>
  <c r="N6" i="3" s="1"/>
  <c r="L6" i="3"/>
  <c r="Q6" i="3"/>
  <c r="R6" i="3" s="1"/>
  <c r="P6" i="3"/>
  <c r="U6" i="3"/>
  <c r="V6" i="3" s="1"/>
  <c r="T6" i="3"/>
  <c r="Y6" i="3"/>
  <c r="Z6" i="3" s="1"/>
  <c r="X6" i="3"/>
  <c r="AC6" i="3"/>
  <c r="AD6" i="3" s="1"/>
  <c r="AB6" i="3"/>
  <c r="AG6" i="3"/>
  <c r="AH6" i="3" s="1"/>
  <c r="AF6" i="3"/>
  <c r="B8" i="3"/>
  <c r="AE7" i="3"/>
  <c r="AA7" i="3"/>
  <c r="W7" i="3"/>
  <c r="S7" i="3"/>
  <c r="O7" i="3"/>
  <c r="K7" i="3"/>
  <c r="G7" i="3"/>
  <c r="C7" i="3"/>
  <c r="E7" i="3" l="1"/>
  <c r="F7" i="3" s="1"/>
  <c r="D7" i="3"/>
  <c r="I7" i="3"/>
  <c r="J7" i="3" s="1"/>
  <c r="H7" i="3"/>
  <c r="M7" i="3"/>
  <c r="N7" i="3" s="1"/>
  <c r="L7" i="3"/>
  <c r="Q7" i="3"/>
  <c r="R7" i="3" s="1"/>
  <c r="P7" i="3"/>
  <c r="U7" i="3"/>
  <c r="V7" i="3" s="1"/>
  <c r="T7" i="3"/>
  <c r="Y7" i="3"/>
  <c r="Z7" i="3" s="1"/>
  <c r="X7" i="3"/>
  <c r="AC7" i="3"/>
  <c r="AD7" i="3" s="1"/>
  <c r="AB7" i="3"/>
  <c r="AG7" i="3"/>
  <c r="AH7" i="3" s="1"/>
  <c r="AF7" i="3"/>
  <c r="B9" i="3"/>
  <c r="AE8" i="3"/>
  <c r="AA8" i="3"/>
  <c r="W8" i="3"/>
  <c r="S8" i="3"/>
  <c r="O8" i="3"/>
  <c r="K8" i="3"/>
  <c r="G8" i="3"/>
  <c r="C8" i="3"/>
  <c r="E8" i="3" l="1"/>
  <c r="F8" i="3" s="1"/>
  <c r="D8" i="3"/>
  <c r="I8" i="3"/>
  <c r="J8" i="3" s="1"/>
  <c r="H8" i="3"/>
  <c r="M8" i="3"/>
  <c r="N8" i="3" s="1"/>
  <c r="L8" i="3"/>
  <c r="Q8" i="3"/>
  <c r="R8" i="3" s="1"/>
  <c r="P8" i="3"/>
  <c r="U8" i="3"/>
  <c r="V8" i="3" s="1"/>
  <c r="T8" i="3"/>
  <c r="Y8" i="3"/>
  <c r="Z8" i="3" s="1"/>
  <c r="X8" i="3"/>
  <c r="AC8" i="3"/>
  <c r="AD8" i="3" s="1"/>
  <c r="AB8" i="3"/>
  <c r="AG8" i="3"/>
  <c r="AH8" i="3" s="1"/>
  <c r="AF8" i="3"/>
  <c r="B10" i="3"/>
  <c r="AE9" i="3"/>
  <c r="AA9" i="3"/>
  <c r="W9" i="3"/>
  <c r="S9" i="3"/>
  <c r="O9" i="3"/>
  <c r="K9" i="3"/>
  <c r="G9" i="3"/>
  <c r="C9" i="3"/>
  <c r="E9" i="3" l="1"/>
  <c r="F9" i="3" s="1"/>
  <c r="D9" i="3"/>
  <c r="I9" i="3"/>
  <c r="J9" i="3" s="1"/>
  <c r="H9" i="3"/>
  <c r="M9" i="3"/>
  <c r="N9" i="3" s="1"/>
  <c r="L9" i="3"/>
  <c r="Q9" i="3"/>
  <c r="R9" i="3" s="1"/>
  <c r="P9" i="3"/>
  <c r="U9" i="3"/>
  <c r="V9" i="3" s="1"/>
  <c r="T9" i="3"/>
  <c r="Y9" i="3"/>
  <c r="Z9" i="3" s="1"/>
  <c r="X9" i="3"/>
  <c r="AC9" i="3"/>
  <c r="AD9" i="3" s="1"/>
  <c r="AB9" i="3"/>
  <c r="AG9" i="3"/>
  <c r="AH9" i="3" s="1"/>
  <c r="AF9" i="3"/>
  <c r="B11" i="3"/>
  <c r="AE10" i="3"/>
  <c r="AA10" i="3"/>
  <c r="W10" i="3"/>
  <c r="S10" i="3"/>
  <c r="O10" i="3"/>
  <c r="K10" i="3"/>
  <c r="G10" i="3"/>
  <c r="C10" i="3"/>
  <c r="E10" i="3" l="1"/>
  <c r="F10" i="3" s="1"/>
  <c r="D10" i="3"/>
  <c r="I10" i="3"/>
  <c r="J10" i="3" s="1"/>
  <c r="H10" i="3"/>
  <c r="M10" i="3"/>
  <c r="N10" i="3" s="1"/>
  <c r="L10" i="3"/>
  <c r="Q10" i="3"/>
  <c r="R10" i="3" s="1"/>
  <c r="P10" i="3"/>
  <c r="U10" i="3"/>
  <c r="V10" i="3" s="1"/>
  <c r="T10" i="3"/>
  <c r="Y10" i="3"/>
  <c r="Z10" i="3" s="1"/>
  <c r="X10" i="3"/>
  <c r="AC10" i="3"/>
  <c r="AD10" i="3" s="1"/>
  <c r="AB10" i="3"/>
  <c r="AG10" i="3"/>
  <c r="AH10" i="3" s="1"/>
  <c r="AF10" i="3"/>
  <c r="B12" i="3"/>
  <c r="AE11" i="3"/>
  <c r="AA11" i="3"/>
  <c r="W11" i="3"/>
  <c r="S11" i="3"/>
  <c r="O11" i="3"/>
  <c r="K11" i="3"/>
  <c r="G11" i="3"/>
  <c r="C11" i="3"/>
  <c r="E11" i="3" l="1"/>
  <c r="F11" i="3" s="1"/>
  <c r="D11" i="3"/>
  <c r="I11" i="3"/>
  <c r="J11" i="3" s="1"/>
  <c r="H11" i="3"/>
  <c r="M11" i="3"/>
  <c r="N11" i="3" s="1"/>
  <c r="L11" i="3"/>
  <c r="Q11" i="3"/>
  <c r="R11" i="3" s="1"/>
  <c r="P11" i="3"/>
  <c r="U11" i="3"/>
  <c r="V11" i="3" s="1"/>
  <c r="T11" i="3"/>
  <c r="Y11" i="3"/>
  <c r="Z11" i="3" s="1"/>
  <c r="X11" i="3"/>
  <c r="AC11" i="3"/>
  <c r="AD11" i="3" s="1"/>
  <c r="AB11" i="3"/>
  <c r="AG11" i="3"/>
  <c r="AH11" i="3" s="1"/>
  <c r="AF11" i="3"/>
  <c r="B13" i="3"/>
  <c r="AE12" i="3"/>
  <c r="AA12" i="3"/>
  <c r="W12" i="3"/>
  <c r="S12" i="3"/>
  <c r="O12" i="3"/>
  <c r="K12" i="3"/>
  <c r="G12" i="3"/>
  <c r="C12" i="3"/>
  <c r="E12" i="3" l="1"/>
  <c r="F12" i="3" s="1"/>
  <c r="D12" i="3"/>
  <c r="I12" i="3"/>
  <c r="J12" i="3" s="1"/>
  <c r="H12" i="3"/>
  <c r="M12" i="3"/>
  <c r="N12" i="3" s="1"/>
  <c r="L12" i="3"/>
  <c r="Q12" i="3"/>
  <c r="R12" i="3" s="1"/>
  <c r="P12" i="3"/>
  <c r="U12" i="3"/>
  <c r="V12" i="3" s="1"/>
  <c r="T12" i="3"/>
  <c r="Y12" i="3"/>
  <c r="Z12" i="3" s="1"/>
  <c r="X12" i="3"/>
  <c r="AC12" i="3"/>
  <c r="AD12" i="3" s="1"/>
  <c r="AB12" i="3"/>
  <c r="AG12" i="3"/>
  <c r="AH12" i="3" s="1"/>
  <c r="AF12" i="3"/>
  <c r="B14" i="3"/>
  <c r="AE13" i="3"/>
  <c r="AA13" i="3"/>
  <c r="W13" i="3"/>
  <c r="S13" i="3"/>
  <c r="O13" i="3"/>
  <c r="K13" i="3"/>
  <c r="G13" i="3"/>
  <c r="C13" i="3"/>
  <c r="E13" i="3" l="1"/>
  <c r="F13" i="3" s="1"/>
  <c r="D13" i="3"/>
  <c r="I13" i="3"/>
  <c r="J13" i="3" s="1"/>
  <c r="H13" i="3"/>
  <c r="M13" i="3"/>
  <c r="N13" i="3" s="1"/>
  <c r="L13" i="3"/>
  <c r="Q13" i="3"/>
  <c r="R13" i="3" s="1"/>
  <c r="P13" i="3"/>
  <c r="U13" i="3"/>
  <c r="V13" i="3" s="1"/>
  <c r="T13" i="3"/>
  <c r="Y13" i="3"/>
  <c r="Z13" i="3" s="1"/>
  <c r="X13" i="3"/>
  <c r="AC13" i="3"/>
  <c r="AD13" i="3" s="1"/>
  <c r="AB13" i="3"/>
  <c r="AG13" i="3"/>
  <c r="AH13" i="3" s="1"/>
  <c r="AF13" i="3"/>
  <c r="B15" i="3"/>
  <c r="AE14" i="3"/>
  <c r="AA14" i="3"/>
  <c r="W14" i="3"/>
  <c r="S14" i="3"/>
  <c r="O14" i="3"/>
  <c r="K14" i="3"/>
  <c r="G14" i="3"/>
  <c r="C14" i="3"/>
  <c r="E14" i="3" l="1"/>
  <c r="F14" i="3" s="1"/>
  <c r="D14" i="3"/>
  <c r="I14" i="3"/>
  <c r="J14" i="3" s="1"/>
  <c r="H14" i="3"/>
  <c r="M14" i="3"/>
  <c r="N14" i="3" s="1"/>
  <c r="L14" i="3"/>
  <c r="Q14" i="3"/>
  <c r="R14" i="3" s="1"/>
  <c r="P14" i="3"/>
  <c r="U14" i="3"/>
  <c r="V14" i="3" s="1"/>
  <c r="T14" i="3"/>
  <c r="Y14" i="3"/>
  <c r="Z14" i="3" s="1"/>
  <c r="X14" i="3"/>
  <c r="AC14" i="3"/>
  <c r="AD14" i="3" s="1"/>
  <c r="AB14" i="3"/>
  <c r="AG14" i="3"/>
  <c r="AH14" i="3" s="1"/>
  <c r="AF14" i="3"/>
  <c r="B16" i="3"/>
  <c r="AE15" i="3"/>
  <c r="AA15" i="3"/>
  <c r="W15" i="3"/>
  <c r="S15" i="3"/>
  <c r="O15" i="3"/>
  <c r="K15" i="3"/>
  <c r="G15" i="3"/>
  <c r="C15" i="3"/>
  <c r="E15" i="3" l="1"/>
  <c r="F15" i="3" s="1"/>
  <c r="D15" i="3"/>
  <c r="I15" i="3"/>
  <c r="J15" i="3" s="1"/>
  <c r="H15" i="3"/>
  <c r="M15" i="3"/>
  <c r="N15" i="3" s="1"/>
  <c r="L15" i="3"/>
  <c r="Q15" i="3"/>
  <c r="R15" i="3" s="1"/>
  <c r="P15" i="3"/>
  <c r="U15" i="3"/>
  <c r="V15" i="3" s="1"/>
  <c r="T15" i="3"/>
  <c r="Y15" i="3"/>
  <c r="Z15" i="3" s="1"/>
  <c r="X15" i="3"/>
  <c r="AC15" i="3"/>
  <c r="AD15" i="3" s="1"/>
  <c r="AB15" i="3"/>
  <c r="AG15" i="3"/>
  <c r="AH15" i="3" s="1"/>
  <c r="AF15" i="3"/>
  <c r="B17" i="3"/>
  <c r="AE16" i="3"/>
  <c r="AA16" i="3"/>
  <c r="W16" i="3"/>
  <c r="S16" i="3"/>
  <c r="O16" i="3"/>
  <c r="K16" i="3"/>
  <c r="G16" i="3"/>
  <c r="C16" i="3"/>
  <c r="E16" i="3" l="1"/>
  <c r="F16" i="3" s="1"/>
  <c r="D16" i="3"/>
  <c r="I16" i="3"/>
  <c r="J16" i="3" s="1"/>
  <c r="H16" i="3"/>
  <c r="M16" i="3"/>
  <c r="N16" i="3" s="1"/>
  <c r="L16" i="3"/>
  <c r="Q16" i="3"/>
  <c r="R16" i="3" s="1"/>
  <c r="P16" i="3"/>
  <c r="U16" i="3"/>
  <c r="V16" i="3" s="1"/>
  <c r="T16" i="3"/>
  <c r="Y16" i="3"/>
  <c r="Z16" i="3" s="1"/>
  <c r="X16" i="3"/>
  <c r="AC16" i="3"/>
  <c r="AD16" i="3" s="1"/>
  <c r="AB16" i="3"/>
  <c r="AG16" i="3"/>
  <c r="AH16" i="3" s="1"/>
  <c r="AF16" i="3"/>
  <c r="B18" i="3"/>
  <c r="AE17" i="3"/>
  <c r="AA17" i="3"/>
  <c r="W17" i="3"/>
  <c r="S17" i="3"/>
  <c r="O17" i="3"/>
  <c r="K17" i="3"/>
  <c r="G17" i="3"/>
  <c r="C17" i="3"/>
  <c r="E17" i="3" l="1"/>
  <c r="F17" i="3" s="1"/>
  <c r="D17" i="3"/>
  <c r="I17" i="3"/>
  <c r="J17" i="3" s="1"/>
  <c r="H17" i="3"/>
  <c r="M17" i="3"/>
  <c r="N17" i="3" s="1"/>
  <c r="L17" i="3"/>
  <c r="Q17" i="3"/>
  <c r="R17" i="3" s="1"/>
  <c r="P17" i="3"/>
  <c r="U17" i="3"/>
  <c r="V17" i="3" s="1"/>
  <c r="T17" i="3"/>
  <c r="Y17" i="3"/>
  <c r="Z17" i="3" s="1"/>
  <c r="X17" i="3"/>
  <c r="AC17" i="3"/>
  <c r="AD17" i="3" s="1"/>
  <c r="AB17" i="3"/>
  <c r="AG17" i="3"/>
  <c r="AH17" i="3" s="1"/>
  <c r="AF17" i="3"/>
  <c r="B19" i="3"/>
  <c r="AE18" i="3"/>
  <c r="AA18" i="3"/>
  <c r="W18" i="3"/>
  <c r="S18" i="3"/>
  <c r="O18" i="3"/>
  <c r="K18" i="3"/>
  <c r="G18" i="3"/>
  <c r="C18" i="3"/>
  <c r="E18" i="3" l="1"/>
  <c r="F18" i="3" s="1"/>
  <c r="D18" i="3"/>
  <c r="I18" i="3"/>
  <c r="J18" i="3" s="1"/>
  <c r="H18" i="3"/>
  <c r="M18" i="3"/>
  <c r="N18" i="3" s="1"/>
  <c r="L18" i="3"/>
  <c r="Q18" i="3"/>
  <c r="R18" i="3" s="1"/>
  <c r="P18" i="3"/>
  <c r="U18" i="3"/>
  <c r="V18" i="3" s="1"/>
  <c r="T18" i="3"/>
  <c r="Y18" i="3"/>
  <c r="Z18" i="3" s="1"/>
  <c r="X18" i="3"/>
  <c r="AC18" i="3"/>
  <c r="AD18" i="3" s="1"/>
  <c r="AB18" i="3"/>
  <c r="AG18" i="3"/>
  <c r="AH18" i="3" s="1"/>
  <c r="AF18" i="3"/>
  <c r="B20" i="3"/>
  <c r="AE19" i="3"/>
  <c r="AA19" i="3"/>
  <c r="W19" i="3"/>
  <c r="S19" i="3"/>
  <c r="O19" i="3"/>
  <c r="K19" i="3"/>
  <c r="G19" i="3"/>
  <c r="C19" i="3"/>
  <c r="E19" i="3" l="1"/>
  <c r="F19" i="3" s="1"/>
  <c r="D19" i="3"/>
  <c r="I19" i="3"/>
  <c r="J19" i="3" s="1"/>
  <c r="H19" i="3"/>
  <c r="M19" i="3"/>
  <c r="N19" i="3" s="1"/>
  <c r="L19" i="3"/>
  <c r="Q19" i="3"/>
  <c r="R19" i="3" s="1"/>
  <c r="P19" i="3"/>
  <c r="U19" i="3"/>
  <c r="V19" i="3" s="1"/>
  <c r="T19" i="3"/>
  <c r="Y19" i="3"/>
  <c r="Z19" i="3" s="1"/>
  <c r="X19" i="3"/>
  <c r="AC19" i="3"/>
  <c r="AD19" i="3" s="1"/>
  <c r="AB19" i="3"/>
  <c r="AG19" i="3"/>
  <c r="AH19" i="3" s="1"/>
  <c r="AF19" i="3"/>
  <c r="B21" i="3"/>
  <c r="AE20" i="3"/>
  <c r="AA20" i="3"/>
  <c r="W20" i="3"/>
  <c r="S20" i="3"/>
  <c r="O20" i="3"/>
  <c r="K20" i="3"/>
  <c r="G20" i="3"/>
  <c r="C20" i="3"/>
  <c r="E20" i="3" l="1"/>
  <c r="F20" i="3" s="1"/>
  <c r="D20" i="3"/>
  <c r="I20" i="3"/>
  <c r="J20" i="3" s="1"/>
  <c r="H20" i="3"/>
  <c r="M20" i="3"/>
  <c r="N20" i="3" s="1"/>
  <c r="L20" i="3"/>
  <c r="Q20" i="3"/>
  <c r="R20" i="3" s="1"/>
  <c r="P20" i="3"/>
  <c r="U20" i="3"/>
  <c r="V20" i="3" s="1"/>
  <c r="T20" i="3"/>
  <c r="Y20" i="3"/>
  <c r="Z20" i="3" s="1"/>
  <c r="X20" i="3"/>
  <c r="AC20" i="3"/>
  <c r="AD20" i="3" s="1"/>
  <c r="AB20" i="3"/>
  <c r="AG20" i="3"/>
  <c r="AH20" i="3" s="1"/>
  <c r="AF20" i="3"/>
  <c r="B22" i="3"/>
  <c r="AE21" i="3"/>
  <c r="AA21" i="3"/>
  <c r="W21" i="3"/>
  <c r="S21" i="3"/>
  <c r="O21" i="3"/>
  <c r="K21" i="3"/>
  <c r="G21" i="3"/>
  <c r="C21" i="3"/>
  <c r="E21" i="3" l="1"/>
  <c r="F21" i="3" s="1"/>
  <c r="D21" i="3"/>
  <c r="I21" i="3"/>
  <c r="J21" i="3" s="1"/>
  <c r="H21" i="3"/>
  <c r="M21" i="3"/>
  <c r="N21" i="3" s="1"/>
  <c r="L21" i="3"/>
  <c r="Q21" i="3"/>
  <c r="R21" i="3" s="1"/>
  <c r="P21" i="3"/>
  <c r="U21" i="3"/>
  <c r="V21" i="3" s="1"/>
  <c r="T21" i="3"/>
  <c r="Y21" i="3"/>
  <c r="Z21" i="3" s="1"/>
  <c r="X21" i="3"/>
  <c r="AC21" i="3"/>
  <c r="AD21" i="3" s="1"/>
  <c r="AB21" i="3"/>
  <c r="AG21" i="3"/>
  <c r="AH21" i="3" s="1"/>
  <c r="AF21" i="3"/>
  <c r="B23" i="3"/>
  <c r="AE22" i="3"/>
  <c r="AA22" i="3"/>
  <c r="W22" i="3"/>
  <c r="S22" i="3"/>
  <c r="O22" i="3"/>
  <c r="K22" i="3"/>
  <c r="G22" i="3"/>
  <c r="C22" i="3"/>
  <c r="E22" i="3" l="1"/>
  <c r="F22" i="3" s="1"/>
  <c r="D22" i="3"/>
  <c r="I22" i="3"/>
  <c r="J22" i="3" s="1"/>
  <c r="H22" i="3"/>
  <c r="M22" i="3"/>
  <c r="N22" i="3" s="1"/>
  <c r="L22" i="3"/>
  <c r="Q22" i="3"/>
  <c r="R22" i="3" s="1"/>
  <c r="P22" i="3"/>
  <c r="U22" i="3"/>
  <c r="V22" i="3" s="1"/>
  <c r="T22" i="3"/>
  <c r="Y22" i="3"/>
  <c r="Z22" i="3" s="1"/>
  <c r="X22" i="3"/>
  <c r="AC22" i="3"/>
  <c r="AD22" i="3" s="1"/>
  <c r="AB22" i="3"/>
  <c r="AG22" i="3"/>
  <c r="AH22" i="3" s="1"/>
  <c r="AF22" i="3"/>
  <c r="B24" i="3"/>
  <c r="AE23" i="3"/>
  <c r="AA23" i="3"/>
  <c r="W23" i="3"/>
  <c r="S23" i="3"/>
  <c r="O23" i="3"/>
  <c r="K23" i="3"/>
  <c r="G23" i="3"/>
  <c r="C23" i="3"/>
  <c r="E23" i="3" l="1"/>
  <c r="F23" i="3" s="1"/>
  <c r="D23" i="3"/>
  <c r="I23" i="3"/>
  <c r="J23" i="3" s="1"/>
  <c r="H23" i="3"/>
  <c r="M23" i="3"/>
  <c r="N23" i="3" s="1"/>
  <c r="L23" i="3"/>
  <c r="Q23" i="3"/>
  <c r="R23" i="3" s="1"/>
  <c r="P23" i="3"/>
  <c r="U23" i="3"/>
  <c r="V23" i="3" s="1"/>
  <c r="T23" i="3"/>
  <c r="Y23" i="3"/>
  <c r="Z23" i="3" s="1"/>
  <c r="X23" i="3"/>
  <c r="AC23" i="3"/>
  <c r="AD23" i="3" s="1"/>
  <c r="AB23" i="3"/>
  <c r="AG23" i="3"/>
  <c r="AH23" i="3" s="1"/>
  <c r="AF23" i="3"/>
  <c r="B25" i="3"/>
  <c r="AE24" i="3"/>
  <c r="AA24" i="3"/>
  <c r="W24" i="3"/>
  <c r="S24" i="3"/>
  <c r="O24" i="3"/>
  <c r="K24" i="3"/>
  <c r="G24" i="3"/>
  <c r="C24" i="3"/>
  <c r="E24" i="3" l="1"/>
  <c r="F24" i="3" s="1"/>
  <c r="D24" i="3"/>
  <c r="I24" i="3"/>
  <c r="J24" i="3" s="1"/>
  <c r="H24" i="3"/>
  <c r="M24" i="3"/>
  <c r="N24" i="3" s="1"/>
  <c r="L24" i="3"/>
  <c r="Q24" i="3"/>
  <c r="R24" i="3" s="1"/>
  <c r="P24" i="3"/>
  <c r="U24" i="3"/>
  <c r="V24" i="3" s="1"/>
  <c r="T24" i="3"/>
  <c r="Y24" i="3"/>
  <c r="Z24" i="3" s="1"/>
  <c r="X24" i="3"/>
  <c r="AC24" i="3"/>
  <c r="AD24" i="3" s="1"/>
  <c r="AB24" i="3"/>
  <c r="AG24" i="3"/>
  <c r="AH24" i="3" s="1"/>
  <c r="AF24" i="3"/>
  <c r="B26" i="3"/>
  <c r="AE25" i="3"/>
  <c r="AA25" i="3"/>
  <c r="W25" i="3"/>
  <c r="S25" i="3"/>
  <c r="O25" i="3"/>
  <c r="K25" i="3"/>
  <c r="G25" i="3"/>
  <c r="C25" i="3"/>
  <c r="E25" i="3" l="1"/>
  <c r="F25" i="3" s="1"/>
  <c r="D25" i="3"/>
  <c r="I25" i="3"/>
  <c r="J25" i="3" s="1"/>
  <c r="H25" i="3"/>
  <c r="M25" i="3"/>
  <c r="N25" i="3" s="1"/>
  <c r="L25" i="3"/>
  <c r="Q25" i="3"/>
  <c r="R25" i="3" s="1"/>
  <c r="P25" i="3"/>
  <c r="U25" i="3"/>
  <c r="V25" i="3" s="1"/>
  <c r="T25" i="3"/>
  <c r="Y25" i="3"/>
  <c r="Z25" i="3" s="1"/>
  <c r="X25" i="3"/>
  <c r="AC25" i="3"/>
  <c r="AD25" i="3" s="1"/>
  <c r="AB25" i="3"/>
  <c r="AG25" i="3"/>
  <c r="AH25" i="3" s="1"/>
  <c r="AF25" i="3"/>
  <c r="B27" i="3"/>
  <c r="AE26" i="3"/>
  <c r="AA26" i="3"/>
  <c r="W26" i="3"/>
  <c r="S26" i="3"/>
  <c r="O26" i="3"/>
  <c r="K26" i="3"/>
  <c r="G26" i="3"/>
  <c r="C26" i="3"/>
  <c r="E26" i="3" l="1"/>
  <c r="F26" i="3" s="1"/>
  <c r="D26" i="3"/>
  <c r="I26" i="3"/>
  <c r="J26" i="3" s="1"/>
  <c r="H26" i="3"/>
  <c r="M26" i="3"/>
  <c r="N26" i="3" s="1"/>
  <c r="L26" i="3"/>
  <c r="Q26" i="3"/>
  <c r="R26" i="3" s="1"/>
  <c r="P26" i="3"/>
  <c r="U26" i="3"/>
  <c r="V26" i="3" s="1"/>
  <c r="T26" i="3"/>
  <c r="Y26" i="3"/>
  <c r="Z26" i="3" s="1"/>
  <c r="X26" i="3"/>
  <c r="AC26" i="3"/>
  <c r="AD26" i="3" s="1"/>
  <c r="AB26" i="3"/>
  <c r="AG26" i="3"/>
  <c r="AH26" i="3" s="1"/>
  <c r="AF26" i="3"/>
  <c r="B28" i="3"/>
  <c r="AE27" i="3"/>
  <c r="AA27" i="3"/>
  <c r="W27" i="3"/>
  <c r="S27" i="3"/>
  <c r="O27" i="3"/>
  <c r="K27" i="3"/>
  <c r="G27" i="3"/>
  <c r="C27" i="3"/>
  <c r="E27" i="3" l="1"/>
  <c r="F27" i="3" s="1"/>
  <c r="D27" i="3"/>
  <c r="I27" i="3"/>
  <c r="J27" i="3" s="1"/>
  <c r="H27" i="3"/>
  <c r="M27" i="3"/>
  <c r="N27" i="3" s="1"/>
  <c r="L27" i="3"/>
  <c r="Q27" i="3"/>
  <c r="R27" i="3" s="1"/>
  <c r="P27" i="3"/>
  <c r="U27" i="3"/>
  <c r="V27" i="3" s="1"/>
  <c r="T27" i="3"/>
  <c r="Y27" i="3"/>
  <c r="Z27" i="3" s="1"/>
  <c r="X27" i="3"/>
  <c r="AC27" i="3"/>
  <c r="AD27" i="3" s="1"/>
  <c r="AB27" i="3"/>
  <c r="AG27" i="3"/>
  <c r="AH27" i="3" s="1"/>
  <c r="AF27" i="3"/>
  <c r="B29" i="3"/>
  <c r="AE28" i="3"/>
  <c r="AA28" i="3"/>
  <c r="W28" i="3"/>
  <c r="S28" i="3"/>
  <c r="O28" i="3"/>
  <c r="K28" i="3"/>
  <c r="G28" i="3"/>
  <c r="C28" i="3"/>
  <c r="E28" i="3" l="1"/>
  <c r="F28" i="3" s="1"/>
  <c r="D28" i="3"/>
  <c r="I28" i="3"/>
  <c r="J28" i="3" s="1"/>
  <c r="H28" i="3"/>
  <c r="M28" i="3"/>
  <c r="N28" i="3" s="1"/>
  <c r="L28" i="3"/>
  <c r="Q28" i="3"/>
  <c r="R28" i="3" s="1"/>
  <c r="P28" i="3"/>
  <c r="U28" i="3"/>
  <c r="V28" i="3" s="1"/>
  <c r="T28" i="3"/>
  <c r="Y28" i="3"/>
  <c r="Z28" i="3" s="1"/>
  <c r="X28" i="3"/>
  <c r="AC28" i="3"/>
  <c r="AD28" i="3" s="1"/>
  <c r="AB28" i="3"/>
  <c r="AG28" i="3"/>
  <c r="AH28" i="3" s="1"/>
  <c r="AF28" i="3"/>
  <c r="B30" i="3"/>
  <c r="AE29" i="3"/>
  <c r="AA29" i="3"/>
  <c r="W29" i="3"/>
  <c r="S29" i="3"/>
  <c r="O29" i="3"/>
  <c r="K29" i="3"/>
  <c r="G29" i="3"/>
  <c r="C29" i="3"/>
  <c r="E29" i="3" l="1"/>
  <c r="F29" i="3" s="1"/>
  <c r="D29" i="3"/>
  <c r="I29" i="3"/>
  <c r="J29" i="3" s="1"/>
  <c r="H29" i="3"/>
  <c r="M29" i="3"/>
  <c r="N29" i="3" s="1"/>
  <c r="L29" i="3"/>
  <c r="Q29" i="3"/>
  <c r="R29" i="3" s="1"/>
  <c r="P29" i="3"/>
  <c r="U29" i="3"/>
  <c r="V29" i="3" s="1"/>
  <c r="T29" i="3"/>
  <c r="Y29" i="3"/>
  <c r="Z29" i="3" s="1"/>
  <c r="X29" i="3"/>
  <c r="AC29" i="3"/>
  <c r="AD29" i="3" s="1"/>
  <c r="AB29" i="3"/>
  <c r="AG29" i="3"/>
  <c r="AH29" i="3" s="1"/>
  <c r="AF29" i="3"/>
  <c r="B31" i="3"/>
  <c r="AE30" i="3"/>
  <c r="AA30" i="3"/>
  <c r="W30" i="3"/>
  <c r="S30" i="3"/>
  <c r="O30" i="3"/>
  <c r="K30" i="3"/>
  <c r="G30" i="3"/>
  <c r="C30" i="3"/>
  <c r="E30" i="3" l="1"/>
  <c r="F30" i="3" s="1"/>
  <c r="D30" i="3"/>
  <c r="I30" i="3"/>
  <c r="J30" i="3" s="1"/>
  <c r="H30" i="3"/>
  <c r="M30" i="3"/>
  <c r="N30" i="3" s="1"/>
  <c r="L30" i="3"/>
  <c r="Q30" i="3"/>
  <c r="R30" i="3" s="1"/>
  <c r="P30" i="3"/>
  <c r="U30" i="3"/>
  <c r="V30" i="3" s="1"/>
  <c r="T30" i="3"/>
  <c r="Y30" i="3"/>
  <c r="Z30" i="3" s="1"/>
  <c r="X30" i="3"/>
  <c r="AC30" i="3"/>
  <c r="AD30" i="3" s="1"/>
  <c r="AB30" i="3"/>
  <c r="AG30" i="3"/>
  <c r="AH30" i="3" s="1"/>
  <c r="AF30" i="3"/>
  <c r="B32" i="3"/>
  <c r="AE31" i="3"/>
  <c r="AA31" i="3"/>
  <c r="W31" i="3"/>
  <c r="S31" i="3"/>
  <c r="O31" i="3"/>
  <c r="K31" i="3"/>
  <c r="G31" i="3"/>
  <c r="C31" i="3"/>
  <c r="E31" i="3" l="1"/>
  <c r="F31" i="3" s="1"/>
  <c r="D31" i="3"/>
  <c r="I31" i="3"/>
  <c r="J31" i="3" s="1"/>
  <c r="H31" i="3"/>
  <c r="M31" i="3"/>
  <c r="N31" i="3" s="1"/>
  <c r="L31" i="3"/>
  <c r="Q31" i="3"/>
  <c r="R31" i="3" s="1"/>
  <c r="P31" i="3"/>
  <c r="U31" i="3"/>
  <c r="V31" i="3" s="1"/>
  <c r="T31" i="3"/>
  <c r="Y31" i="3"/>
  <c r="Z31" i="3" s="1"/>
  <c r="X31" i="3"/>
  <c r="AC31" i="3"/>
  <c r="AD31" i="3" s="1"/>
  <c r="AB31" i="3"/>
  <c r="AG31" i="3"/>
  <c r="AH31" i="3" s="1"/>
  <c r="AF31" i="3"/>
  <c r="B33" i="3"/>
  <c r="AE32" i="3"/>
  <c r="AA32" i="3"/>
  <c r="W32" i="3"/>
  <c r="S32" i="3"/>
  <c r="O32" i="3"/>
  <c r="K32" i="3"/>
  <c r="G32" i="3"/>
  <c r="C32" i="3"/>
  <c r="E32" i="3" l="1"/>
  <c r="F32" i="3" s="1"/>
  <c r="D32" i="3"/>
  <c r="I32" i="3"/>
  <c r="J32" i="3" s="1"/>
  <c r="H32" i="3"/>
  <c r="M32" i="3"/>
  <c r="N32" i="3" s="1"/>
  <c r="L32" i="3"/>
  <c r="Q32" i="3"/>
  <c r="R32" i="3" s="1"/>
  <c r="P32" i="3"/>
  <c r="U32" i="3"/>
  <c r="V32" i="3" s="1"/>
  <c r="T32" i="3"/>
  <c r="Y32" i="3"/>
  <c r="Z32" i="3" s="1"/>
  <c r="X32" i="3"/>
  <c r="AC32" i="3"/>
  <c r="AD32" i="3" s="1"/>
  <c r="AB32" i="3"/>
  <c r="AG32" i="3"/>
  <c r="AH32" i="3" s="1"/>
  <c r="AF32" i="3"/>
  <c r="B34" i="3"/>
  <c r="AE33" i="3"/>
  <c r="AA33" i="3"/>
  <c r="W33" i="3"/>
  <c r="S33" i="3"/>
  <c r="O33" i="3"/>
  <c r="K33" i="3"/>
  <c r="G33" i="3"/>
  <c r="C33" i="3"/>
  <c r="E33" i="3" l="1"/>
  <c r="F33" i="3" s="1"/>
  <c r="D33" i="3"/>
  <c r="I33" i="3"/>
  <c r="J33" i="3" s="1"/>
  <c r="H33" i="3"/>
  <c r="M33" i="3"/>
  <c r="N33" i="3" s="1"/>
  <c r="L33" i="3"/>
  <c r="Q33" i="3"/>
  <c r="R33" i="3" s="1"/>
  <c r="P33" i="3"/>
  <c r="U33" i="3"/>
  <c r="V33" i="3" s="1"/>
  <c r="T33" i="3"/>
  <c r="Y33" i="3"/>
  <c r="Z33" i="3" s="1"/>
  <c r="X33" i="3"/>
  <c r="AC33" i="3"/>
  <c r="AD33" i="3" s="1"/>
  <c r="AB33" i="3"/>
  <c r="AG33" i="3"/>
  <c r="AH33" i="3" s="1"/>
  <c r="AF33" i="3"/>
  <c r="B35" i="3"/>
  <c r="AE34" i="3"/>
  <c r="AA34" i="3"/>
  <c r="W34" i="3"/>
  <c r="S34" i="3"/>
  <c r="O34" i="3"/>
  <c r="K34" i="3"/>
  <c r="G34" i="3"/>
  <c r="C34" i="3"/>
  <c r="E34" i="3" l="1"/>
  <c r="F34" i="3" s="1"/>
  <c r="D34" i="3"/>
  <c r="I34" i="3"/>
  <c r="J34" i="3" s="1"/>
  <c r="H34" i="3"/>
  <c r="M34" i="3"/>
  <c r="N34" i="3" s="1"/>
  <c r="L34" i="3"/>
  <c r="Q34" i="3"/>
  <c r="R34" i="3" s="1"/>
  <c r="P34" i="3"/>
  <c r="U34" i="3"/>
  <c r="V34" i="3" s="1"/>
  <c r="T34" i="3"/>
  <c r="Y34" i="3"/>
  <c r="Z34" i="3" s="1"/>
  <c r="X34" i="3"/>
  <c r="AC34" i="3"/>
  <c r="AD34" i="3" s="1"/>
  <c r="AB34" i="3"/>
  <c r="AG34" i="3"/>
  <c r="AH34" i="3" s="1"/>
  <c r="AF34" i="3"/>
  <c r="B36" i="3"/>
  <c r="AE35" i="3"/>
  <c r="AA35" i="3"/>
  <c r="W35" i="3"/>
  <c r="S35" i="3"/>
  <c r="O35" i="3"/>
  <c r="K35" i="3"/>
  <c r="G35" i="3"/>
  <c r="C35" i="3"/>
  <c r="E35" i="3" l="1"/>
  <c r="F35" i="3" s="1"/>
  <c r="D35" i="3"/>
  <c r="I35" i="3"/>
  <c r="J35" i="3" s="1"/>
  <c r="H35" i="3"/>
  <c r="M35" i="3"/>
  <c r="N35" i="3" s="1"/>
  <c r="L35" i="3"/>
  <c r="Q35" i="3"/>
  <c r="R35" i="3" s="1"/>
  <c r="P35" i="3"/>
  <c r="U35" i="3"/>
  <c r="V35" i="3" s="1"/>
  <c r="T35" i="3"/>
  <c r="Y35" i="3"/>
  <c r="Z35" i="3" s="1"/>
  <c r="X35" i="3"/>
  <c r="AC35" i="3"/>
  <c r="AD35" i="3" s="1"/>
  <c r="AB35" i="3"/>
  <c r="AG35" i="3"/>
  <c r="AH35" i="3" s="1"/>
  <c r="AF35" i="3"/>
  <c r="B37" i="3"/>
  <c r="AE36" i="3"/>
  <c r="AA36" i="3"/>
  <c r="W36" i="3"/>
  <c r="S36" i="3"/>
  <c r="O36" i="3"/>
  <c r="K36" i="3"/>
  <c r="G36" i="3"/>
  <c r="C36" i="3"/>
  <c r="E36" i="3" l="1"/>
  <c r="F36" i="3" s="1"/>
  <c r="D36" i="3"/>
  <c r="I36" i="3"/>
  <c r="J36" i="3" s="1"/>
  <c r="H36" i="3"/>
  <c r="M36" i="3"/>
  <c r="N36" i="3" s="1"/>
  <c r="L36" i="3"/>
  <c r="Q36" i="3"/>
  <c r="R36" i="3" s="1"/>
  <c r="P36" i="3"/>
  <c r="U36" i="3"/>
  <c r="V36" i="3" s="1"/>
  <c r="T36" i="3"/>
  <c r="Y36" i="3"/>
  <c r="Z36" i="3" s="1"/>
  <c r="X36" i="3"/>
  <c r="AC36" i="3"/>
  <c r="AD36" i="3" s="1"/>
  <c r="AB36" i="3"/>
  <c r="AG36" i="3"/>
  <c r="AH36" i="3" s="1"/>
  <c r="AF36" i="3"/>
  <c r="B38" i="3"/>
  <c r="AE37" i="3"/>
  <c r="AA37" i="3"/>
  <c r="W37" i="3"/>
  <c r="S37" i="3"/>
  <c r="O37" i="3"/>
  <c r="K37" i="3"/>
  <c r="G37" i="3"/>
  <c r="C37" i="3"/>
  <c r="E37" i="3" l="1"/>
  <c r="F37" i="3" s="1"/>
  <c r="D37" i="3"/>
  <c r="I37" i="3"/>
  <c r="J37" i="3" s="1"/>
  <c r="H37" i="3"/>
  <c r="M37" i="3"/>
  <c r="N37" i="3" s="1"/>
  <c r="L37" i="3"/>
  <c r="Q37" i="3"/>
  <c r="R37" i="3" s="1"/>
  <c r="P37" i="3"/>
  <c r="U37" i="3"/>
  <c r="V37" i="3" s="1"/>
  <c r="T37" i="3"/>
  <c r="Y37" i="3"/>
  <c r="Z37" i="3" s="1"/>
  <c r="X37" i="3"/>
  <c r="AC37" i="3"/>
  <c r="AD37" i="3" s="1"/>
  <c r="AB37" i="3"/>
  <c r="AG37" i="3"/>
  <c r="AH37" i="3" s="1"/>
  <c r="AF37" i="3"/>
  <c r="B39" i="3"/>
  <c r="AE38" i="3"/>
  <c r="AA38" i="3"/>
  <c r="W38" i="3"/>
  <c r="S38" i="3"/>
  <c r="O38" i="3"/>
  <c r="K38" i="3"/>
  <c r="G38" i="3"/>
  <c r="C38" i="3"/>
  <c r="E38" i="3" l="1"/>
  <c r="F38" i="3" s="1"/>
  <c r="D38" i="3"/>
  <c r="I38" i="3"/>
  <c r="J38" i="3" s="1"/>
  <c r="H38" i="3"/>
  <c r="M38" i="3"/>
  <c r="N38" i="3" s="1"/>
  <c r="L38" i="3"/>
  <c r="Q38" i="3"/>
  <c r="R38" i="3" s="1"/>
  <c r="P38" i="3"/>
  <c r="U38" i="3"/>
  <c r="V38" i="3" s="1"/>
  <c r="T38" i="3"/>
  <c r="Y38" i="3"/>
  <c r="Z38" i="3" s="1"/>
  <c r="X38" i="3"/>
  <c r="AC38" i="3"/>
  <c r="AD38" i="3" s="1"/>
  <c r="AB38" i="3"/>
  <c r="AG38" i="3"/>
  <c r="AH38" i="3" s="1"/>
  <c r="AF38" i="3"/>
  <c r="B40" i="3"/>
  <c r="AE39" i="3"/>
  <c r="AA39" i="3"/>
  <c r="W39" i="3"/>
  <c r="S39" i="3"/>
  <c r="O39" i="3"/>
  <c r="K39" i="3"/>
  <c r="G39" i="3"/>
  <c r="C39" i="3"/>
  <c r="E39" i="3" l="1"/>
  <c r="F39" i="3" s="1"/>
  <c r="D39" i="3"/>
  <c r="I39" i="3"/>
  <c r="J39" i="3" s="1"/>
  <c r="H39" i="3"/>
  <c r="M39" i="3"/>
  <c r="N39" i="3" s="1"/>
  <c r="L39" i="3"/>
  <c r="Q39" i="3"/>
  <c r="R39" i="3" s="1"/>
  <c r="P39" i="3"/>
  <c r="U39" i="3"/>
  <c r="V39" i="3" s="1"/>
  <c r="T39" i="3"/>
  <c r="Y39" i="3"/>
  <c r="Z39" i="3" s="1"/>
  <c r="X39" i="3"/>
  <c r="AC39" i="3"/>
  <c r="AD39" i="3" s="1"/>
  <c r="AB39" i="3"/>
  <c r="AG39" i="3"/>
  <c r="AH39" i="3" s="1"/>
  <c r="AF39" i="3"/>
  <c r="B41" i="3"/>
  <c r="AE40" i="3"/>
  <c r="AA40" i="3"/>
  <c r="W40" i="3"/>
  <c r="S40" i="3"/>
  <c r="O40" i="3"/>
  <c r="K40" i="3"/>
  <c r="G40" i="3"/>
  <c r="C40" i="3"/>
  <c r="E40" i="3" l="1"/>
  <c r="F40" i="3" s="1"/>
  <c r="D40" i="3"/>
  <c r="I40" i="3"/>
  <c r="J40" i="3" s="1"/>
  <c r="H40" i="3"/>
  <c r="M40" i="3"/>
  <c r="N40" i="3" s="1"/>
  <c r="L40" i="3"/>
  <c r="Q40" i="3"/>
  <c r="R40" i="3" s="1"/>
  <c r="P40" i="3"/>
  <c r="U40" i="3"/>
  <c r="V40" i="3" s="1"/>
  <c r="T40" i="3"/>
  <c r="Y40" i="3"/>
  <c r="Z40" i="3" s="1"/>
  <c r="X40" i="3"/>
  <c r="AC40" i="3"/>
  <c r="AD40" i="3" s="1"/>
  <c r="AB40" i="3"/>
  <c r="AG40" i="3"/>
  <c r="AH40" i="3" s="1"/>
  <c r="AF40" i="3"/>
  <c r="B42" i="3"/>
  <c r="AE41" i="3"/>
  <c r="AA41" i="3"/>
  <c r="W41" i="3"/>
  <c r="S41" i="3"/>
  <c r="O41" i="3"/>
  <c r="K41" i="3"/>
  <c r="G41" i="3"/>
  <c r="C41" i="3"/>
  <c r="E41" i="3" l="1"/>
  <c r="F41" i="3" s="1"/>
  <c r="D41" i="3"/>
  <c r="I41" i="3"/>
  <c r="J41" i="3" s="1"/>
  <c r="H41" i="3"/>
  <c r="M41" i="3"/>
  <c r="N41" i="3" s="1"/>
  <c r="L41" i="3"/>
  <c r="Q41" i="3"/>
  <c r="R41" i="3" s="1"/>
  <c r="P41" i="3"/>
  <c r="U41" i="3"/>
  <c r="V41" i="3" s="1"/>
  <c r="T41" i="3"/>
  <c r="Y41" i="3"/>
  <c r="Z41" i="3" s="1"/>
  <c r="X41" i="3"/>
  <c r="AC41" i="3"/>
  <c r="AD41" i="3" s="1"/>
  <c r="AB41" i="3"/>
  <c r="AG41" i="3"/>
  <c r="AH41" i="3" s="1"/>
  <c r="AF41" i="3"/>
  <c r="B43" i="3"/>
  <c r="AE42" i="3"/>
  <c r="AA42" i="3"/>
  <c r="W42" i="3"/>
  <c r="S42" i="3"/>
  <c r="O42" i="3"/>
  <c r="K42" i="3"/>
  <c r="G42" i="3"/>
  <c r="C42" i="3"/>
  <c r="E42" i="3" l="1"/>
  <c r="F42" i="3" s="1"/>
  <c r="D42" i="3"/>
  <c r="I42" i="3"/>
  <c r="J42" i="3" s="1"/>
  <c r="H42" i="3"/>
  <c r="M42" i="3"/>
  <c r="N42" i="3" s="1"/>
  <c r="L42" i="3"/>
  <c r="Q42" i="3"/>
  <c r="R42" i="3" s="1"/>
  <c r="P42" i="3"/>
  <c r="U42" i="3"/>
  <c r="V42" i="3" s="1"/>
  <c r="T42" i="3"/>
  <c r="Y42" i="3"/>
  <c r="Z42" i="3" s="1"/>
  <c r="X42" i="3"/>
  <c r="AC42" i="3"/>
  <c r="AD42" i="3" s="1"/>
  <c r="AB42" i="3"/>
  <c r="AG42" i="3"/>
  <c r="AH42" i="3" s="1"/>
  <c r="AF42" i="3"/>
  <c r="B44" i="3"/>
  <c r="AE43" i="3"/>
  <c r="AA43" i="3"/>
  <c r="W43" i="3"/>
  <c r="S43" i="3"/>
  <c r="O43" i="3"/>
  <c r="K43" i="3"/>
  <c r="G43" i="3"/>
  <c r="C43" i="3"/>
  <c r="E43" i="3" l="1"/>
  <c r="F43" i="3" s="1"/>
  <c r="D43" i="3"/>
  <c r="I43" i="3"/>
  <c r="J43" i="3" s="1"/>
  <c r="H43" i="3"/>
  <c r="M43" i="3"/>
  <c r="N43" i="3" s="1"/>
  <c r="L43" i="3"/>
  <c r="Q43" i="3"/>
  <c r="R43" i="3" s="1"/>
  <c r="P43" i="3"/>
  <c r="U43" i="3"/>
  <c r="V43" i="3" s="1"/>
  <c r="T43" i="3"/>
  <c r="Y43" i="3"/>
  <c r="Z43" i="3" s="1"/>
  <c r="X43" i="3"/>
  <c r="AC43" i="3"/>
  <c r="AD43" i="3" s="1"/>
  <c r="AB43" i="3"/>
  <c r="AG43" i="3"/>
  <c r="AH43" i="3" s="1"/>
  <c r="AF43" i="3"/>
  <c r="B45" i="3"/>
  <c r="AE44" i="3"/>
  <c r="AA44" i="3"/>
  <c r="W44" i="3"/>
  <c r="S44" i="3"/>
  <c r="O44" i="3"/>
  <c r="K44" i="3"/>
  <c r="G44" i="3"/>
  <c r="C44" i="3"/>
  <c r="E44" i="3" l="1"/>
  <c r="F44" i="3" s="1"/>
  <c r="D44" i="3"/>
  <c r="I44" i="3"/>
  <c r="J44" i="3" s="1"/>
  <c r="H44" i="3"/>
  <c r="M44" i="3"/>
  <c r="N44" i="3" s="1"/>
  <c r="L44" i="3"/>
  <c r="Q44" i="3"/>
  <c r="R44" i="3" s="1"/>
  <c r="P44" i="3"/>
  <c r="U44" i="3"/>
  <c r="V44" i="3" s="1"/>
  <c r="T44" i="3"/>
  <c r="Y44" i="3"/>
  <c r="Z44" i="3" s="1"/>
  <c r="X44" i="3"/>
  <c r="AC44" i="3"/>
  <c r="AD44" i="3" s="1"/>
  <c r="AB44" i="3"/>
  <c r="AG44" i="3"/>
  <c r="AH44" i="3" s="1"/>
  <c r="AF44" i="3"/>
  <c r="B46" i="3"/>
  <c r="AE45" i="3"/>
  <c r="AA45" i="3"/>
  <c r="W45" i="3"/>
  <c r="S45" i="3"/>
  <c r="O45" i="3"/>
  <c r="K45" i="3"/>
  <c r="G45" i="3"/>
  <c r="C45" i="3"/>
  <c r="E45" i="3" l="1"/>
  <c r="F45" i="3" s="1"/>
  <c r="D45" i="3"/>
  <c r="I45" i="3"/>
  <c r="J45" i="3" s="1"/>
  <c r="H45" i="3"/>
  <c r="M45" i="3"/>
  <c r="N45" i="3" s="1"/>
  <c r="L45" i="3"/>
  <c r="Q45" i="3"/>
  <c r="R45" i="3" s="1"/>
  <c r="P45" i="3"/>
  <c r="U45" i="3"/>
  <c r="V45" i="3" s="1"/>
  <c r="T45" i="3"/>
  <c r="Y45" i="3"/>
  <c r="Z45" i="3" s="1"/>
  <c r="X45" i="3"/>
  <c r="AC45" i="3"/>
  <c r="AD45" i="3" s="1"/>
  <c r="AB45" i="3"/>
  <c r="AG45" i="3"/>
  <c r="AH45" i="3" s="1"/>
  <c r="AF45" i="3"/>
  <c r="B47" i="3"/>
  <c r="AE46" i="3"/>
  <c r="AA46" i="3"/>
  <c r="W46" i="3"/>
  <c r="S46" i="3"/>
  <c r="O46" i="3"/>
  <c r="K46" i="3"/>
  <c r="G46" i="3"/>
  <c r="C46" i="3"/>
  <c r="E46" i="3" l="1"/>
  <c r="F46" i="3" s="1"/>
  <c r="D46" i="3"/>
  <c r="I46" i="3"/>
  <c r="J46" i="3" s="1"/>
  <c r="H46" i="3"/>
  <c r="M46" i="3"/>
  <c r="N46" i="3" s="1"/>
  <c r="L46" i="3"/>
  <c r="Q46" i="3"/>
  <c r="R46" i="3" s="1"/>
  <c r="P46" i="3"/>
  <c r="U46" i="3"/>
  <c r="V46" i="3" s="1"/>
  <c r="T46" i="3"/>
  <c r="Y46" i="3"/>
  <c r="Z46" i="3" s="1"/>
  <c r="X46" i="3"/>
  <c r="AC46" i="3"/>
  <c r="AD46" i="3" s="1"/>
  <c r="AB46" i="3"/>
  <c r="AG46" i="3"/>
  <c r="AH46" i="3" s="1"/>
  <c r="AF46" i="3"/>
  <c r="B48" i="3"/>
  <c r="AE47" i="3"/>
  <c r="AA47" i="3"/>
  <c r="W47" i="3"/>
  <c r="S47" i="3"/>
  <c r="O47" i="3"/>
  <c r="K47" i="3"/>
  <c r="G47" i="3"/>
  <c r="C47" i="3"/>
  <c r="E47" i="3" l="1"/>
  <c r="F47" i="3" s="1"/>
  <c r="D47" i="3"/>
  <c r="I47" i="3"/>
  <c r="J47" i="3" s="1"/>
  <c r="H47" i="3"/>
  <c r="M47" i="3"/>
  <c r="N47" i="3" s="1"/>
  <c r="L47" i="3"/>
  <c r="Q47" i="3"/>
  <c r="R47" i="3" s="1"/>
  <c r="P47" i="3"/>
  <c r="U47" i="3"/>
  <c r="V47" i="3" s="1"/>
  <c r="T47" i="3"/>
  <c r="Y47" i="3"/>
  <c r="Z47" i="3" s="1"/>
  <c r="X47" i="3"/>
  <c r="AC47" i="3"/>
  <c r="AD47" i="3" s="1"/>
  <c r="AB47" i="3"/>
  <c r="AG47" i="3"/>
  <c r="AH47" i="3" s="1"/>
  <c r="AF47" i="3"/>
  <c r="B49" i="3"/>
  <c r="AE48" i="3"/>
  <c r="AA48" i="3"/>
  <c r="W48" i="3"/>
  <c r="S48" i="3"/>
  <c r="O48" i="3"/>
  <c r="K48" i="3"/>
  <c r="G48" i="3"/>
  <c r="C48" i="3"/>
  <c r="E48" i="3" l="1"/>
  <c r="F48" i="3" s="1"/>
  <c r="D48" i="3"/>
  <c r="I48" i="3"/>
  <c r="J48" i="3" s="1"/>
  <c r="H48" i="3"/>
  <c r="M48" i="3"/>
  <c r="N48" i="3" s="1"/>
  <c r="L48" i="3"/>
  <c r="Q48" i="3"/>
  <c r="R48" i="3" s="1"/>
  <c r="P48" i="3"/>
  <c r="U48" i="3"/>
  <c r="V48" i="3" s="1"/>
  <c r="T48" i="3"/>
  <c r="Y48" i="3"/>
  <c r="Z48" i="3" s="1"/>
  <c r="X48" i="3"/>
  <c r="AC48" i="3"/>
  <c r="AD48" i="3" s="1"/>
  <c r="AB48" i="3"/>
  <c r="AG48" i="3"/>
  <c r="AH48" i="3" s="1"/>
  <c r="AF48" i="3"/>
  <c r="B50" i="3"/>
  <c r="AE49" i="3"/>
  <c r="AA49" i="3"/>
  <c r="W49" i="3"/>
  <c r="S49" i="3"/>
  <c r="O49" i="3"/>
  <c r="K49" i="3"/>
  <c r="G49" i="3"/>
  <c r="C49" i="3"/>
  <c r="E49" i="3" l="1"/>
  <c r="F49" i="3" s="1"/>
  <c r="D49" i="3"/>
  <c r="I49" i="3"/>
  <c r="J49" i="3" s="1"/>
  <c r="H49" i="3"/>
  <c r="M49" i="3"/>
  <c r="N49" i="3" s="1"/>
  <c r="L49" i="3"/>
  <c r="Q49" i="3"/>
  <c r="R49" i="3" s="1"/>
  <c r="P49" i="3"/>
  <c r="U49" i="3"/>
  <c r="V49" i="3" s="1"/>
  <c r="T49" i="3"/>
  <c r="Y49" i="3"/>
  <c r="Z49" i="3" s="1"/>
  <c r="X49" i="3"/>
  <c r="AC49" i="3"/>
  <c r="AD49" i="3" s="1"/>
  <c r="AB49" i="3"/>
  <c r="AG49" i="3"/>
  <c r="AH49" i="3" s="1"/>
  <c r="AF49" i="3"/>
  <c r="B51" i="3"/>
  <c r="AE50" i="3"/>
  <c r="AA50" i="3"/>
  <c r="W50" i="3"/>
  <c r="S50" i="3"/>
  <c r="O50" i="3"/>
  <c r="K50" i="3"/>
  <c r="G50" i="3"/>
  <c r="C50" i="3"/>
  <c r="E50" i="3" l="1"/>
  <c r="F50" i="3" s="1"/>
  <c r="D50" i="3"/>
  <c r="I50" i="3"/>
  <c r="J50" i="3" s="1"/>
  <c r="H50" i="3"/>
  <c r="M50" i="3"/>
  <c r="N50" i="3" s="1"/>
  <c r="L50" i="3"/>
  <c r="Q50" i="3"/>
  <c r="R50" i="3" s="1"/>
  <c r="P50" i="3"/>
  <c r="U50" i="3"/>
  <c r="V50" i="3" s="1"/>
  <c r="T50" i="3"/>
  <c r="Y50" i="3"/>
  <c r="Z50" i="3" s="1"/>
  <c r="X50" i="3"/>
  <c r="AC50" i="3"/>
  <c r="AD50" i="3" s="1"/>
  <c r="AB50" i="3"/>
  <c r="AG50" i="3"/>
  <c r="AH50" i="3" s="1"/>
  <c r="AF50" i="3"/>
  <c r="B52" i="3"/>
  <c r="AE51" i="3"/>
  <c r="AA51" i="3"/>
  <c r="W51" i="3"/>
  <c r="S51" i="3"/>
  <c r="O51" i="3"/>
  <c r="K51" i="3"/>
  <c r="G51" i="3"/>
  <c r="C51" i="3"/>
  <c r="E51" i="3" l="1"/>
  <c r="F51" i="3" s="1"/>
  <c r="D51" i="3"/>
  <c r="I51" i="3"/>
  <c r="J51" i="3" s="1"/>
  <c r="H51" i="3"/>
  <c r="M51" i="3"/>
  <c r="N51" i="3" s="1"/>
  <c r="L51" i="3"/>
  <c r="Q51" i="3"/>
  <c r="R51" i="3" s="1"/>
  <c r="P51" i="3"/>
  <c r="U51" i="3"/>
  <c r="V51" i="3" s="1"/>
  <c r="T51" i="3"/>
  <c r="Y51" i="3"/>
  <c r="Z51" i="3" s="1"/>
  <c r="X51" i="3"/>
  <c r="AC51" i="3"/>
  <c r="AD51" i="3" s="1"/>
  <c r="AB51" i="3"/>
  <c r="AG51" i="3"/>
  <c r="AH51" i="3" s="1"/>
  <c r="AF51" i="3"/>
  <c r="B53" i="3"/>
  <c r="AE52" i="3"/>
  <c r="AA52" i="3"/>
  <c r="W52" i="3"/>
  <c r="S52" i="3"/>
  <c r="O52" i="3"/>
  <c r="K52" i="3"/>
  <c r="G52" i="3"/>
  <c r="C52" i="3"/>
  <c r="E52" i="3" l="1"/>
  <c r="F52" i="3" s="1"/>
  <c r="D52" i="3"/>
  <c r="I52" i="3"/>
  <c r="J52" i="3" s="1"/>
  <c r="H52" i="3"/>
  <c r="M52" i="3"/>
  <c r="N52" i="3" s="1"/>
  <c r="L52" i="3"/>
  <c r="Q52" i="3"/>
  <c r="R52" i="3" s="1"/>
  <c r="P52" i="3"/>
  <c r="U52" i="3"/>
  <c r="V52" i="3" s="1"/>
  <c r="T52" i="3"/>
  <c r="Y52" i="3"/>
  <c r="Z52" i="3" s="1"/>
  <c r="X52" i="3"/>
  <c r="AC52" i="3"/>
  <c r="AD52" i="3" s="1"/>
  <c r="AB52" i="3"/>
  <c r="AG52" i="3"/>
  <c r="AH52" i="3" s="1"/>
  <c r="AF52" i="3"/>
  <c r="B54" i="3"/>
  <c r="AE53" i="3"/>
  <c r="AA53" i="3"/>
  <c r="W53" i="3"/>
  <c r="S53" i="3"/>
  <c r="O53" i="3"/>
  <c r="K53" i="3"/>
  <c r="G53" i="3"/>
  <c r="C53" i="3"/>
  <c r="E53" i="3" l="1"/>
  <c r="F53" i="3" s="1"/>
  <c r="D53" i="3"/>
  <c r="I53" i="3"/>
  <c r="J53" i="3" s="1"/>
  <c r="H53" i="3"/>
  <c r="M53" i="3"/>
  <c r="N53" i="3" s="1"/>
  <c r="L53" i="3"/>
  <c r="Q53" i="3"/>
  <c r="R53" i="3" s="1"/>
  <c r="P53" i="3"/>
  <c r="U53" i="3"/>
  <c r="V53" i="3" s="1"/>
  <c r="T53" i="3"/>
  <c r="Y53" i="3"/>
  <c r="Z53" i="3" s="1"/>
  <c r="X53" i="3"/>
  <c r="AC53" i="3"/>
  <c r="AD53" i="3" s="1"/>
  <c r="AB53" i="3"/>
  <c r="AG53" i="3"/>
  <c r="AH53" i="3" s="1"/>
  <c r="AF53" i="3"/>
  <c r="B55" i="3"/>
  <c r="AE54" i="3"/>
  <c r="AA54" i="3"/>
  <c r="W54" i="3"/>
  <c r="S54" i="3"/>
  <c r="O54" i="3"/>
  <c r="K54" i="3"/>
  <c r="G54" i="3"/>
  <c r="C54" i="3"/>
  <c r="E54" i="3" l="1"/>
  <c r="F54" i="3" s="1"/>
  <c r="D54" i="3"/>
  <c r="I54" i="3"/>
  <c r="J54" i="3" s="1"/>
  <c r="H54" i="3"/>
  <c r="M54" i="3"/>
  <c r="N54" i="3" s="1"/>
  <c r="L54" i="3"/>
  <c r="Q54" i="3"/>
  <c r="R54" i="3" s="1"/>
  <c r="P54" i="3"/>
  <c r="U54" i="3"/>
  <c r="V54" i="3" s="1"/>
  <c r="T54" i="3"/>
  <c r="Y54" i="3"/>
  <c r="Z54" i="3" s="1"/>
  <c r="X54" i="3"/>
  <c r="AC54" i="3"/>
  <c r="AD54" i="3" s="1"/>
  <c r="AB54" i="3"/>
  <c r="AG54" i="3"/>
  <c r="AH54" i="3" s="1"/>
  <c r="AF54" i="3"/>
  <c r="B56" i="3"/>
  <c r="AE55" i="3"/>
  <c r="AA55" i="3"/>
  <c r="W55" i="3"/>
  <c r="S55" i="3"/>
  <c r="O55" i="3"/>
  <c r="K55" i="3"/>
  <c r="G55" i="3"/>
  <c r="C55" i="3"/>
  <c r="E55" i="3" l="1"/>
  <c r="F55" i="3" s="1"/>
  <c r="D55" i="3"/>
  <c r="I55" i="3"/>
  <c r="J55" i="3" s="1"/>
  <c r="H55" i="3"/>
  <c r="M55" i="3"/>
  <c r="N55" i="3" s="1"/>
  <c r="L55" i="3"/>
  <c r="Q55" i="3"/>
  <c r="R55" i="3" s="1"/>
  <c r="P55" i="3"/>
  <c r="U55" i="3"/>
  <c r="V55" i="3" s="1"/>
  <c r="T55" i="3"/>
  <c r="Y55" i="3"/>
  <c r="Z55" i="3" s="1"/>
  <c r="X55" i="3"/>
  <c r="AC55" i="3"/>
  <c r="AD55" i="3" s="1"/>
  <c r="AB55" i="3"/>
  <c r="AG55" i="3"/>
  <c r="AH55" i="3" s="1"/>
  <c r="AF55" i="3"/>
  <c r="B57" i="3"/>
  <c r="AE56" i="3"/>
  <c r="AA56" i="3"/>
  <c r="W56" i="3"/>
  <c r="S56" i="3"/>
  <c r="O56" i="3"/>
  <c r="K56" i="3"/>
  <c r="G56" i="3"/>
  <c r="C56" i="3"/>
  <c r="E56" i="3" l="1"/>
  <c r="F56" i="3" s="1"/>
  <c r="D56" i="3"/>
  <c r="I56" i="3"/>
  <c r="J56" i="3" s="1"/>
  <c r="H56" i="3"/>
  <c r="M56" i="3"/>
  <c r="N56" i="3" s="1"/>
  <c r="L56" i="3"/>
  <c r="Q56" i="3"/>
  <c r="R56" i="3" s="1"/>
  <c r="P56" i="3"/>
  <c r="U56" i="3"/>
  <c r="V56" i="3" s="1"/>
  <c r="T56" i="3"/>
  <c r="Y56" i="3"/>
  <c r="Z56" i="3" s="1"/>
  <c r="X56" i="3"/>
  <c r="AC56" i="3"/>
  <c r="AD56" i="3" s="1"/>
  <c r="AB56" i="3"/>
  <c r="AG56" i="3"/>
  <c r="AH56" i="3" s="1"/>
  <c r="AF56" i="3"/>
  <c r="B58" i="3"/>
  <c r="AE57" i="3"/>
  <c r="AA57" i="3"/>
  <c r="W57" i="3"/>
  <c r="S57" i="3"/>
  <c r="O57" i="3"/>
  <c r="K57" i="3"/>
  <c r="G57" i="3"/>
  <c r="C57" i="3"/>
  <c r="E57" i="3" l="1"/>
  <c r="F57" i="3" s="1"/>
  <c r="D57" i="3"/>
  <c r="I57" i="3"/>
  <c r="J57" i="3" s="1"/>
  <c r="H57" i="3"/>
  <c r="M57" i="3"/>
  <c r="N57" i="3" s="1"/>
  <c r="L57" i="3"/>
  <c r="Q57" i="3"/>
  <c r="R57" i="3" s="1"/>
  <c r="P57" i="3"/>
  <c r="U57" i="3"/>
  <c r="V57" i="3" s="1"/>
  <c r="T57" i="3"/>
  <c r="Y57" i="3"/>
  <c r="Z57" i="3" s="1"/>
  <c r="X57" i="3"/>
  <c r="AC57" i="3"/>
  <c r="AD57" i="3" s="1"/>
  <c r="AB57" i="3"/>
  <c r="AG57" i="3"/>
  <c r="AH57" i="3" s="1"/>
  <c r="AF57" i="3"/>
  <c r="B59" i="3"/>
  <c r="AE58" i="3"/>
  <c r="AA58" i="3"/>
  <c r="W58" i="3"/>
  <c r="S58" i="3"/>
  <c r="O58" i="3"/>
  <c r="K58" i="3"/>
  <c r="G58" i="3"/>
  <c r="C58" i="3"/>
  <c r="E58" i="3" l="1"/>
  <c r="F58" i="3" s="1"/>
  <c r="D58" i="3"/>
  <c r="I58" i="3"/>
  <c r="J58" i="3" s="1"/>
  <c r="H58" i="3"/>
  <c r="M58" i="3"/>
  <c r="N58" i="3" s="1"/>
  <c r="L58" i="3"/>
  <c r="Q58" i="3"/>
  <c r="R58" i="3" s="1"/>
  <c r="P58" i="3"/>
  <c r="U58" i="3"/>
  <c r="V58" i="3" s="1"/>
  <c r="T58" i="3"/>
  <c r="Y58" i="3"/>
  <c r="Z58" i="3" s="1"/>
  <c r="X58" i="3"/>
  <c r="AC58" i="3"/>
  <c r="AD58" i="3" s="1"/>
  <c r="AB58" i="3"/>
  <c r="AG58" i="3"/>
  <c r="AH58" i="3" s="1"/>
  <c r="AF58" i="3"/>
  <c r="B60" i="3"/>
  <c r="AE59" i="3"/>
  <c r="AA59" i="3"/>
  <c r="W59" i="3"/>
  <c r="S59" i="3"/>
  <c r="O59" i="3"/>
  <c r="K59" i="3"/>
  <c r="G59" i="3"/>
  <c r="C59" i="3"/>
  <c r="E59" i="3" l="1"/>
  <c r="F59" i="3" s="1"/>
  <c r="D59" i="3"/>
  <c r="I59" i="3"/>
  <c r="J59" i="3" s="1"/>
  <c r="H59" i="3"/>
  <c r="M59" i="3"/>
  <c r="N59" i="3" s="1"/>
  <c r="L59" i="3"/>
  <c r="Q59" i="3"/>
  <c r="R59" i="3" s="1"/>
  <c r="P59" i="3"/>
  <c r="U59" i="3"/>
  <c r="V59" i="3" s="1"/>
  <c r="T59" i="3"/>
  <c r="Y59" i="3"/>
  <c r="Z59" i="3" s="1"/>
  <c r="X59" i="3"/>
  <c r="AC59" i="3"/>
  <c r="AD59" i="3" s="1"/>
  <c r="AB59" i="3"/>
  <c r="AG59" i="3"/>
  <c r="AH59" i="3" s="1"/>
  <c r="AF59" i="3"/>
  <c r="B61" i="3"/>
  <c r="AE60" i="3"/>
  <c r="AA60" i="3"/>
  <c r="W60" i="3"/>
  <c r="S60" i="3"/>
  <c r="O60" i="3"/>
  <c r="K60" i="3"/>
  <c r="G60" i="3"/>
  <c r="C60" i="3"/>
  <c r="E60" i="3" l="1"/>
  <c r="F60" i="3" s="1"/>
  <c r="D60" i="3"/>
  <c r="I60" i="3"/>
  <c r="J60" i="3" s="1"/>
  <c r="H60" i="3"/>
  <c r="M60" i="3"/>
  <c r="N60" i="3" s="1"/>
  <c r="L60" i="3"/>
  <c r="Q60" i="3"/>
  <c r="R60" i="3" s="1"/>
  <c r="P60" i="3"/>
  <c r="U60" i="3"/>
  <c r="V60" i="3" s="1"/>
  <c r="T60" i="3"/>
  <c r="Y60" i="3"/>
  <c r="Z60" i="3" s="1"/>
  <c r="X60" i="3"/>
  <c r="AC60" i="3"/>
  <c r="AD60" i="3" s="1"/>
  <c r="AB60" i="3"/>
  <c r="AG60" i="3"/>
  <c r="AH60" i="3" s="1"/>
  <c r="AF60" i="3"/>
  <c r="B62" i="3"/>
  <c r="AE61" i="3"/>
  <c r="AA61" i="3"/>
  <c r="W61" i="3"/>
  <c r="S61" i="3"/>
  <c r="O61" i="3"/>
  <c r="K61" i="3"/>
  <c r="G61" i="3"/>
  <c r="C61" i="3"/>
  <c r="E61" i="3" l="1"/>
  <c r="F61" i="3" s="1"/>
  <c r="D61" i="3"/>
  <c r="I61" i="3"/>
  <c r="J61" i="3" s="1"/>
  <c r="H61" i="3"/>
  <c r="M61" i="3"/>
  <c r="N61" i="3" s="1"/>
  <c r="L61" i="3"/>
  <c r="Q61" i="3"/>
  <c r="R61" i="3" s="1"/>
  <c r="P61" i="3"/>
  <c r="U61" i="3"/>
  <c r="V61" i="3" s="1"/>
  <c r="T61" i="3"/>
  <c r="Y61" i="3"/>
  <c r="Z61" i="3" s="1"/>
  <c r="X61" i="3"/>
  <c r="AC61" i="3"/>
  <c r="AD61" i="3" s="1"/>
  <c r="AB61" i="3"/>
  <c r="AG61" i="3"/>
  <c r="AH61" i="3" s="1"/>
  <c r="AF61" i="3"/>
  <c r="B63" i="3"/>
  <c r="AE62" i="3"/>
  <c r="AA62" i="3"/>
  <c r="W62" i="3"/>
  <c r="S62" i="3"/>
  <c r="O62" i="3"/>
  <c r="K62" i="3"/>
  <c r="G62" i="3"/>
  <c r="C62" i="3"/>
  <c r="E62" i="3" l="1"/>
  <c r="F62" i="3" s="1"/>
  <c r="D62" i="3"/>
  <c r="I62" i="3"/>
  <c r="J62" i="3" s="1"/>
  <c r="H62" i="3"/>
  <c r="M62" i="3"/>
  <c r="N62" i="3" s="1"/>
  <c r="L62" i="3"/>
  <c r="Q62" i="3"/>
  <c r="R62" i="3" s="1"/>
  <c r="P62" i="3"/>
  <c r="U62" i="3"/>
  <c r="V62" i="3" s="1"/>
  <c r="T62" i="3"/>
  <c r="Y62" i="3"/>
  <c r="Z62" i="3" s="1"/>
  <c r="X62" i="3"/>
  <c r="AC62" i="3"/>
  <c r="AD62" i="3" s="1"/>
  <c r="AB62" i="3"/>
  <c r="AG62" i="3"/>
  <c r="AH62" i="3" s="1"/>
  <c r="AF62" i="3"/>
  <c r="B64" i="3"/>
  <c r="AE63" i="3"/>
  <c r="AA63" i="3"/>
  <c r="W63" i="3"/>
  <c r="S63" i="3"/>
  <c r="O63" i="3"/>
  <c r="K63" i="3"/>
  <c r="G63" i="3"/>
  <c r="C63" i="3"/>
  <c r="E63" i="3" l="1"/>
  <c r="F63" i="3" s="1"/>
  <c r="D63" i="3"/>
  <c r="I63" i="3"/>
  <c r="J63" i="3" s="1"/>
  <c r="H63" i="3"/>
  <c r="M63" i="3"/>
  <c r="N63" i="3" s="1"/>
  <c r="L63" i="3"/>
  <c r="Q63" i="3"/>
  <c r="R63" i="3" s="1"/>
  <c r="P63" i="3"/>
  <c r="U63" i="3"/>
  <c r="V63" i="3" s="1"/>
  <c r="T63" i="3"/>
  <c r="Y63" i="3"/>
  <c r="Z63" i="3" s="1"/>
  <c r="X63" i="3"/>
  <c r="AC63" i="3"/>
  <c r="AD63" i="3" s="1"/>
  <c r="AB63" i="3"/>
  <c r="AG63" i="3"/>
  <c r="AH63" i="3" s="1"/>
  <c r="AF63" i="3"/>
  <c r="B65" i="3"/>
  <c r="AE64" i="3"/>
  <c r="AA64" i="3"/>
  <c r="W64" i="3"/>
  <c r="S64" i="3"/>
  <c r="O64" i="3"/>
  <c r="K64" i="3"/>
  <c r="G64" i="3"/>
  <c r="C64" i="3"/>
  <c r="E64" i="3" l="1"/>
  <c r="F64" i="3" s="1"/>
  <c r="D64" i="3"/>
  <c r="I64" i="3"/>
  <c r="J64" i="3" s="1"/>
  <c r="H64" i="3"/>
  <c r="M64" i="3"/>
  <c r="N64" i="3" s="1"/>
  <c r="L64" i="3"/>
  <c r="Q64" i="3"/>
  <c r="R64" i="3" s="1"/>
  <c r="P64" i="3"/>
  <c r="U64" i="3"/>
  <c r="V64" i="3" s="1"/>
  <c r="T64" i="3"/>
  <c r="Y64" i="3"/>
  <c r="Z64" i="3" s="1"/>
  <c r="X64" i="3"/>
  <c r="AC64" i="3"/>
  <c r="AD64" i="3" s="1"/>
  <c r="AB64" i="3"/>
  <c r="AG64" i="3"/>
  <c r="AH64" i="3" s="1"/>
  <c r="AF64" i="3"/>
  <c r="B66" i="3"/>
  <c r="AE65" i="3"/>
  <c r="AA65" i="3"/>
  <c r="W65" i="3"/>
  <c r="S65" i="3"/>
  <c r="O65" i="3"/>
  <c r="K65" i="3"/>
  <c r="G65" i="3"/>
  <c r="C65" i="3"/>
  <c r="E65" i="3" l="1"/>
  <c r="F65" i="3" s="1"/>
  <c r="D65" i="3"/>
  <c r="I65" i="3"/>
  <c r="J65" i="3" s="1"/>
  <c r="H65" i="3"/>
  <c r="M65" i="3"/>
  <c r="N65" i="3" s="1"/>
  <c r="L65" i="3"/>
  <c r="Q65" i="3"/>
  <c r="R65" i="3" s="1"/>
  <c r="P65" i="3"/>
  <c r="U65" i="3"/>
  <c r="V65" i="3" s="1"/>
  <c r="T65" i="3"/>
  <c r="Y65" i="3"/>
  <c r="Z65" i="3" s="1"/>
  <c r="X65" i="3"/>
  <c r="AC65" i="3"/>
  <c r="AD65" i="3" s="1"/>
  <c r="AB65" i="3"/>
  <c r="AG65" i="3"/>
  <c r="AH65" i="3" s="1"/>
  <c r="AF65" i="3"/>
  <c r="B67" i="3"/>
  <c r="AE66" i="3"/>
  <c r="AA66" i="3"/>
  <c r="W66" i="3"/>
  <c r="S66" i="3"/>
  <c r="O66" i="3"/>
  <c r="K66" i="3"/>
  <c r="G66" i="3"/>
  <c r="C66" i="3"/>
  <c r="E66" i="3" l="1"/>
  <c r="F66" i="3" s="1"/>
  <c r="D66" i="3"/>
  <c r="I66" i="3"/>
  <c r="J66" i="3" s="1"/>
  <c r="H66" i="3"/>
  <c r="M66" i="3"/>
  <c r="N66" i="3" s="1"/>
  <c r="L66" i="3"/>
  <c r="Q66" i="3"/>
  <c r="R66" i="3" s="1"/>
  <c r="P66" i="3"/>
  <c r="U66" i="3"/>
  <c r="V66" i="3" s="1"/>
  <c r="T66" i="3"/>
  <c r="Y66" i="3"/>
  <c r="Z66" i="3" s="1"/>
  <c r="X66" i="3"/>
  <c r="AC66" i="3"/>
  <c r="AD66" i="3" s="1"/>
  <c r="AB66" i="3"/>
  <c r="AG66" i="3"/>
  <c r="AH66" i="3" s="1"/>
  <c r="AF66" i="3"/>
  <c r="B68" i="3"/>
  <c r="AE67" i="3"/>
  <c r="AA67" i="3"/>
  <c r="W67" i="3"/>
  <c r="S67" i="3"/>
  <c r="O67" i="3"/>
  <c r="K67" i="3"/>
  <c r="G67" i="3"/>
  <c r="C67" i="3"/>
  <c r="E67" i="3" l="1"/>
  <c r="F67" i="3" s="1"/>
  <c r="D67" i="3"/>
  <c r="I67" i="3"/>
  <c r="J67" i="3" s="1"/>
  <c r="H67" i="3"/>
  <c r="M67" i="3"/>
  <c r="N67" i="3" s="1"/>
  <c r="L67" i="3"/>
  <c r="Q67" i="3"/>
  <c r="R67" i="3" s="1"/>
  <c r="P67" i="3"/>
  <c r="U67" i="3"/>
  <c r="V67" i="3" s="1"/>
  <c r="T67" i="3"/>
  <c r="Y67" i="3"/>
  <c r="Z67" i="3" s="1"/>
  <c r="X67" i="3"/>
  <c r="AC67" i="3"/>
  <c r="AD67" i="3" s="1"/>
  <c r="AB67" i="3"/>
  <c r="AG67" i="3"/>
  <c r="AH67" i="3" s="1"/>
  <c r="AF67" i="3"/>
  <c r="B69" i="3"/>
  <c r="AE68" i="3"/>
  <c r="AA68" i="3"/>
  <c r="W68" i="3"/>
  <c r="S68" i="3"/>
  <c r="O68" i="3"/>
  <c r="K68" i="3"/>
  <c r="G68" i="3"/>
  <c r="C68" i="3"/>
  <c r="E68" i="3" l="1"/>
  <c r="F68" i="3" s="1"/>
  <c r="D68" i="3"/>
  <c r="I68" i="3"/>
  <c r="J68" i="3" s="1"/>
  <c r="H68" i="3"/>
  <c r="M68" i="3"/>
  <c r="N68" i="3" s="1"/>
  <c r="L68" i="3"/>
  <c r="Q68" i="3"/>
  <c r="R68" i="3" s="1"/>
  <c r="P68" i="3"/>
  <c r="U68" i="3"/>
  <c r="V68" i="3" s="1"/>
  <c r="T68" i="3"/>
  <c r="Y68" i="3"/>
  <c r="Z68" i="3" s="1"/>
  <c r="X68" i="3"/>
  <c r="AC68" i="3"/>
  <c r="AD68" i="3" s="1"/>
  <c r="AB68" i="3"/>
  <c r="AG68" i="3"/>
  <c r="AH68" i="3" s="1"/>
  <c r="AF68" i="3"/>
  <c r="B70" i="3"/>
  <c r="AE69" i="3"/>
  <c r="AA69" i="3"/>
  <c r="W69" i="3"/>
  <c r="S69" i="3"/>
  <c r="O69" i="3"/>
  <c r="K69" i="3"/>
  <c r="G69" i="3"/>
  <c r="C69" i="3"/>
  <c r="E69" i="3" l="1"/>
  <c r="F69" i="3" s="1"/>
  <c r="D69" i="3"/>
  <c r="I69" i="3"/>
  <c r="J69" i="3" s="1"/>
  <c r="H69" i="3"/>
  <c r="M69" i="3"/>
  <c r="N69" i="3" s="1"/>
  <c r="L69" i="3"/>
  <c r="Q69" i="3"/>
  <c r="R69" i="3" s="1"/>
  <c r="P69" i="3"/>
  <c r="U69" i="3"/>
  <c r="V69" i="3" s="1"/>
  <c r="T69" i="3"/>
  <c r="Y69" i="3"/>
  <c r="Z69" i="3" s="1"/>
  <c r="X69" i="3"/>
  <c r="AC69" i="3"/>
  <c r="AD69" i="3" s="1"/>
  <c r="AB69" i="3"/>
  <c r="AG69" i="3"/>
  <c r="AH69" i="3" s="1"/>
  <c r="AF69" i="3"/>
  <c r="B71" i="3"/>
  <c r="AE70" i="3"/>
  <c r="AA70" i="3"/>
  <c r="W70" i="3"/>
  <c r="S70" i="3"/>
  <c r="O70" i="3"/>
  <c r="K70" i="3"/>
  <c r="G70" i="3"/>
  <c r="C70" i="3"/>
  <c r="E70" i="3" l="1"/>
  <c r="F70" i="3" s="1"/>
  <c r="D70" i="3"/>
  <c r="I70" i="3"/>
  <c r="J70" i="3" s="1"/>
  <c r="H70" i="3"/>
  <c r="M70" i="3"/>
  <c r="N70" i="3" s="1"/>
  <c r="L70" i="3"/>
  <c r="Q70" i="3"/>
  <c r="R70" i="3" s="1"/>
  <c r="P70" i="3"/>
  <c r="U70" i="3"/>
  <c r="V70" i="3" s="1"/>
  <c r="T70" i="3"/>
  <c r="Y70" i="3"/>
  <c r="Z70" i="3" s="1"/>
  <c r="X70" i="3"/>
  <c r="AC70" i="3"/>
  <c r="AD70" i="3" s="1"/>
  <c r="AB70" i="3"/>
  <c r="AG70" i="3"/>
  <c r="AH70" i="3" s="1"/>
  <c r="AF70" i="3"/>
  <c r="B72" i="3"/>
  <c r="AE71" i="3"/>
  <c r="AA71" i="3"/>
  <c r="W71" i="3"/>
  <c r="S71" i="3"/>
  <c r="O71" i="3"/>
  <c r="K71" i="3"/>
  <c r="G71" i="3"/>
  <c r="C71" i="3"/>
  <c r="E71" i="3" l="1"/>
  <c r="F71" i="3" s="1"/>
  <c r="D71" i="3"/>
  <c r="I71" i="3"/>
  <c r="J71" i="3" s="1"/>
  <c r="H71" i="3"/>
  <c r="M71" i="3"/>
  <c r="N71" i="3" s="1"/>
  <c r="L71" i="3"/>
  <c r="Q71" i="3"/>
  <c r="R71" i="3" s="1"/>
  <c r="P71" i="3"/>
  <c r="U71" i="3"/>
  <c r="V71" i="3" s="1"/>
  <c r="T71" i="3"/>
  <c r="Y71" i="3"/>
  <c r="Z71" i="3" s="1"/>
  <c r="X71" i="3"/>
  <c r="AC71" i="3"/>
  <c r="AD71" i="3" s="1"/>
  <c r="AB71" i="3"/>
  <c r="AG71" i="3"/>
  <c r="AH71" i="3" s="1"/>
  <c r="AF71" i="3"/>
  <c r="B73" i="3"/>
  <c r="AE72" i="3"/>
  <c r="AA72" i="3"/>
  <c r="W72" i="3"/>
  <c r="S72" i="3"/>
  <c r="O72" i="3"/>
  <c r="K72" i="3"/>
  <c r="G72" i="3"/>
  <c r="C72" i="3"/>
  <c r="E72" i="3" l="1"/>
  <c r="F72" i="3" s="1"/>
  <c r="D72" i="3"/>
  <c r="I72" i="3"/>
  <c r="J72" i="3" s="1"/>
  <c r="H72" i="3"/>
  <c r="M72" i="3"/>
  <c r="N72" i="3" s="1"/>
  <c r="L72" i="3"/>
  <c r="Q72" i="3"/>
  <c r="R72" i="3" s="1"/>
  <c r="P72" i="3"/>
  <c r="U72" i="3"/>
  <c r="V72" i="3" s="1"/>
  <c r="T72" i="3"/>
  <c r="Y72" i="3"/>
  <c r="Z72" i="3" s="1"/>
  <c r="X72" i="3"/>
  <c r="AC72" i="3"/>
  <c r="AD72" i="3" s="1"/>
  <c r="AB72" i="3"/>
  <c r="AG72" i="3"/>
  <c r="AH72" i="3" s="1"/>
  <c r="AF72" i="3"/>
  <c r="B74" i="3"/>
  <c r="AE73" i="3"/>
  <c r="AA73" i="3"/>
  <c r="W73" i="3"/>
  <c r="S73" i="3"/>
  <c r="O73" i="3"/>
  <c r="K73" i="3"/>
  <c r="G73" i="3"/>
  <c r="C73" i="3"/>
  <c r="E73" i="3" l="1"/>
  <c r="F73" i="3" s="1"/>
  <c r="D73" i="3"/>
  <c r="I73" i="3"/>
  <c r="J73" i="3" s="1"/>
  <c r="H73" i="3"/>
  <c r="M73" i="3"/>
  <c r="N73" i="3" s="1"/>
  <c r="L73" i="3"/>
  <c r="Q73" i="3"/>
  <c r="R73" i="3" s="1"/>
  <c r="P73" i="3"/>
  <c r="U73" i="3"/>
  <c r="V73" i="3" s="1"/>
  <c r="T73" i="3"/>
  <c r="Y73" i="3"/>
  <c r="Z73" i="3" s="1"/>
  <c r="X73" i="3"/>
  <c r="AC73" i="3"/>
  <c r="AD73" i="3" s="1"/>
  <c r="AB73" i="3"/>
  <c r="AG73" i="3"/>
  <c r="AH73" i="3" s="1"/>
  <c r="AF73" i="3"/>
  <c r="B75" i="3"/>
  <c r="AE74" i="3"/>
  <c r="AA74" i="3"/>
  <c r="W74" i="3"/>
  <c r="S74" i="3"/>
  <c r="O74" i="3"/>
  <c r="K74" i="3"/>
  <c r="G74" i="3"/>
  <c r="C74" i="3"/>
  <c r="E74" i="3" l="1"/>
  <c r="F74" i="3" s="1"/>
  <c r="D74" i="3"/>
  <c r="I74" i="3"/>
  <c r="J74" i="3" s="1"/>
  <c r="H74" i="3"/>
  <c r="M74" i="3"/>
  <c r="N74" i="3" s="1"/>
  <c r="L74" i="3"/>
  <c r="Q74" i="3"/>
  <c r="R74" i="3" s="1"/>
  <c r="P74" i="3"/>
  <c r="U74" i="3"/>
  <c r="V74" i="3" s="1"/>
  <c r="T74" i="3"/>
  <c r="Y74" i="3"/>
  <c r="Z74" i="3" s="1"/>
  <c r="X74" i="3"/>
  <c r="AC74" i="3"/>
  <c r="AD74" i="3" s="1"/>
  <c r="AB74" i="3"/>
  <c r="AG74" i="3"/>
  <c r="AH74" i="3" s="1"/>
  <c r="AF74" i="3"/>
  <c r="B76" i="3"/>
  <c r="AE75" i="3"/>
  <c r="AA75" i="3"/>
  <c r="W75" i="3"/>
  <c r="S75" i="3"/>
  <c r="O75" i="3"/>
  <c r="K75" i="3"/>
  <c r="G75" i="3"/>
  <c r="C75" i="3"/>
  <c r="E75" i="3" l="1"/>
  <c r="F75" i="3" s="1"/>
  <c r="D75" i="3"/>
  <c r="I75" i="3"/>
  <c r="J75" i="3" s="1"/>
  <c r="H75" i="3"/>
  <c r="M75" i="3"/>
  <c r="N75" i="3" s="1"/>
  <c r="L75" i="3"/>
  <c r="Q75" i="3"/>
  <c r="R75" i="3" s="1"/>
  <c r="P75" i="3"/>
  <c r="U75" i="3"/>
  <c r="V75" i="3" s="1"/>
  <c r="T75" i="3"/>
  <c r="Y75" i="3"/>
  <c r="Z75" i="3" s="1"/>
  <c r="X75" i="3"/>
  <c r="AC75" i="3"/>
  <c r="AD75" i="3" s="1"/>
  <c r="AB75" i="3"/>
  <c r="AG75" i="3"/>
  <c r="AH75" i="3" s="1"/>
  <c r="AF75" i="3"/>
  <c r="B77" i="3"/>
  <c r="AE76" i="3"/>
  <c r="AA76" i="3"/>
  <c r="W76" i="3"/>
  <c r="S76" i="3"/>
  <c r="O76" i="3"/>
  <c r="K76" i="3"/>
  <c r="G76" i="3"/>
  <c r="C76" i="3"/>
  <c r="E76" i="3" l="1"/>
  <c r="F76" i="3" s="1"/>
  <c r="D76" i="3"/>
  <c r="I76" i="3"/>
  <c r="J76" i="3" s="1"/>
  <c r="H76" i="3"/>
  <c r="M76" i="3"/>
  <c r="N76" i="3" s="1"/>
  <c r="L76" i="3"/>
  <c r="Q76" i="3"/>
  <c r="R76" i="3" s="1"/>
  <c r="P76" i="3"/>
  <c r="U76" i="3"/>
  <c r="V76" i="3" s="1"/>
  <c r="T76" i="3"/>
  <c r="Y76" i="3"/>
  <c r="Z76" i="3" s="1"/>
  <c r="X76" i="3"/>
  <c r="AC76" i="3"/>
  <c r="AD76" i="3" s="1"/>
  <c r="AB76" i="3"/>
  <c r="AG76" i="3"/>
  <c r="AH76" i="3" s="1"/>
  <c r="AF76" i="3"/>
  <c r="B78" i="3"/>
  <c r="AE77" i="3"/>
  <c r="AA77" i="3"/>
  <c r="W77" i="3"/>
  <c r="S77" i="3"/>
  <c r="O77" i="3"/>
  <c r="K77" i="3"/>
  <c r="G77" i="3"/>
  <c r="C77" i="3"/>
  <c r="E77" i="3" l="1"/>
  <c r="F77" i="3" s="1"/>
  <c r="D77" i="3"/>
  <c r="I77" i="3"/>
  <c r="J77" i="3" s="1"/>
  <c r="H77" i="3"/>
  <c r="M77" i="3"/>
  <c r="N77" i="3" s="1"/>
  <c r="L77" i="3"/>
  <c r="Q77" i="3"/>
  <c r="R77" i="3" s="1"/>
  <c r="P77" i="3"/>
  <c r="U77" i="3"/>
  <c r="V77" i="3" s="1"/>
  <c r="T77" i="3"/>
  <c r="Y77" i="3"/>
  <c r="Z77" i="3" s="1"/>
  <c r="X77" i="3"/>
  <c r="AC77" i="3"/>
  <c r="AD77" i="3" s="1"/>
  <c r="AB77" i="3"/>
  <c r="AG77" i="3"/>
  <c r="AH77" i="3" s="1"/>
  <c r="AF77" i="3"/>
  <c r="B79" i="3"/>
  <c r="AE78" i="3"/>
  <c r="AA78" i="3"/>
  <c r="W78" i="3"/>
  <c r="S78" i="3"/>
  <c r="O78" i="3"/>
  <c r="K78" i="3"/>
  <c r="G78" i="3"/>
  <c r="C78" i="3"/>
  <c r="E78" i="3" l="1"/>
  <c r="F78" i="3" s="1"/>
  <c r="D78" i="3"/>
  <c r="I78" i="3"/>
  <c r="J78" i="3" s="1"/>
  <c r="H78" i="3"/>
  <c r="M78" i="3"/>
  <c r="N78" i="3" s="1"/>
  <c r="L78" i="3"/>
  <c r="Q78" i="3"/>
  <c r="R78" i="3" s="1"/>
  <c r="P78" i="3"/>
  <c r="U78" i="3"/>
  <c r="V78" i="3" s="1"/>
  <c r="T78" i="3"/>
  <c r="Y78" i="3"/>
  <c r="Z78" i="3" s="1"/>
  <c r="X78" i="3"/>
  <c r="AC78" i="3"/>
  <c r="AD78" i="3" s="1"/>
  <c r="AB78" i="3"/>
  <c r="AG78" i="3"/>
  <c r="AH78" i="3" s="1"/>
  <c r="AF78" i="3"/>
  <c r="B80" i="3"/>
  <c r="AE79" i="3"/>
  <c r="AA79" i="3"/>
  <c r="W79" i="3"/>
  <c r="S79" i="3"/>
  <c r="O79" i="3"/>
  <c r="K79" i="3"/>
  <c r="G79" i="3"/>
  <c r="C79" i="3"/>
  <c r="E79" i="3" l="1"/>
  <c r="F79" i="3" s="1"/>
  <c r="D79" i="3"/>
  <c r="I79" i="3"/>
  <c r="J79" i="3" s="1"/>
  <c r="H79" i="3"/>
  <c r="M79" i="3"/>
  <c r="N79" i="3" s="1"/>
  <c r="L79" i="3"/>
  <c r="Q79" i="3"/>
  <c r="R79" i="3" s="1"/>
  <c r="P79" i="3"/>
  <c r="U79" i="3"/>
  <c r="V79" i="3" s="1"/>
  <c r="T79" i="3"/>
  <c r="Y79" i="3"/>
  <c r="Z79" i="3" s="1"/>
  <c r="X79" i="3"/>
  <c r="AC79" i="3"/>
  <c r="AD79" i="3" s="1"/>
  <c r="AB79" i="3"/>
  <c r="AG79" i="3"/>
  <c r="AH79" i="3" s="1"/>
  <c r="AF79" i="3"/>
  <c r="B81" i="3"/>
  <c r="AE80" i="3"/>
  <c r="AA80" i="3"/>
  <c r="W80" i="3"/>
  <c r="S80" i="3"/>
  <c r="O80" i="3"/>
  <c r="K80" i="3"/>
  <c r="G80" i="3"/>
  <c r="C80" i="3"/>
  <c r="E80" i="3" l="1"/>
  <c r="F80" i="3" s="1"/>
  <c r="D80" i="3"/>
  <c r="I80" i="3"/>
  <c r="J80" i="3" s="1"/>
  <c r="H80" i="3"/>
  <c r="M80" i="3"/>
  <c r="N80" i="3" s="1"/>
  <c r="L80" i="3"/>
  <c r="Q80" i="3"/>
  <c r="R80" i="3" s="1"/>
  <c r="P80" i="3"/>
  <c r="U80" i="3"/>
  <c r="V80" i="3" s="1"/>
  <c r="T80" i="3"/>
  <c r="Y80" i="3"/>
  <c r="Z80" i="3" s="1"/>
  <c r="X80" i="3"/>
  <c r="AC80" i="3"/>
  <c r="AD80" i="3" s="1"/>
  <c r="AB80" i="3"/>
  <c r="AG80" i="3"/>
  <c r="AH80" i="3" s="1"/>
  <c r="AF80" i="3"/>
  <c r="B82" i="3"/>
  <c r="AE81" i="3"/>
  <c r="AA81" i="3"/>
  <c r="W81" i="3"/>
  <c r="S81" i="3"/>
  <c r="O81" i="3"/>
  <c r="K81" i="3"/>
  <c r="G81" i="3"/>
  <c r="C81" i="3"/>
  <c r="E81" i="3" l="1"/>
  <c r="F81" i="3" s="1"/>
  <c r="D81" i="3"/>
  <c r="I81" i="3"/>
  <c r="J81" i="3" s="1"/>
  <c r="H81" i="3"/>
  <c r="M81" i="3"/>
  <c r="N81" i="3" s="1"/>
  <c r="L81" i="3"/>
  <c r="Q81" i="3"/>
  <c r="R81" i="3" s="1"/>
  <c r="P81" i="3"/>
  <c r="U81" i="3"/>
  <c r="V81" i="3" s="1"/>
  <c r="T81" i="3"/>
  <c r="Y81" i="3"/>
  <c r="Z81" i="3" s="1"/>
  <c r="X81" i="3"/>
  <c r="AC81" i="3"/>
  <c r="AD81" i="3" s="1"/>
  <c r="AB81" i="3"/>
  <c r="AG81" i="3"/>
  <c r="AH81" i="3" s="1"/>
  <c r="AF81" i="3"/>
  <c r="B83" i="3"/>
  <c r="AE82" i="3"/>
  <c r="AA82" i="3"/>
  <c r="W82" i="3"/>
  <c r="S82" i="3"/>
  <c r="O82" i="3"/>
  <c r="K82" i="3"/>
  <c r="G82" i="3"/>
  <c r="C82" i="3"/>
  <c r="E82" i="3" l="1"/>
  <c r="F82" i="3" s="1"/>
  <c r="D82" i="3"/>
  <c r="I82" i="3"/>
  <c r="J82" i="3" s="1"/>
  <c r="H82" i="3"/>
  <c r="M82" i="3"/>
  <c r="N82" i="3" s="1"/>
  <c r="L82" i="3"/>
  <c r="Q82" i="3"/>
  <c r="R82" i="3" s="1"/>
  <c r="P82" i="3"/>
  <c r="U82" i="3"/>
  <c r="V82" i="3" s="1"/>
  <c r="T82" i="3"/>
  <c r="Y82" i="3"/>
  <c r="Z82" i="3" s="1"/>
  <c r="X82" i="3"/>
  <c r="AC82" i="3"/>
  <c r="AD82" i="3" s="1"/>
  <c r="AB82" i="3"/>
  <c r="AG82" i="3"/>
  <c r="AH82" i="3" s="1"/>
  <c r="AF82" i="3"/>
  <c r="B84" i="3"/>
  <c r="AE83" i="3"/>
  <c r="AA83" i="3"/>
  <c r="W83" i="3"/>
  <c r="S83" i="3"/>
  <c r="O83" i="3"/>
  <c r="K83" i="3"/>
  <c r="G83" i="3"/>
  <c r="C83" i="3"/>
  <c r="E83" i="3" l="1"/>
  <c r="F83" i="3" s="1"/>
  <c r="D83" i="3"/>
  <c r="I83" i="3"/>
  <c r="J83" i="3" s="1"/>
  <c r="H83" i="3"/>
  <c r="M83" i="3"/>
  <c r="N83" i="3" s="1"/>
  <c r="L83" i="3"/>
  <c r="Q83" i="3"/>
  <c r="R83" i="3" s="1"/>
  <c r="P83" i="3"/>
  <c r="U83" i="3"/>
  <c r="V83" i="3" s="1"/>
  <c r="T83" i="3"/>
  <c r="Y83" i="3"/>
  <c r="Z83" i="3" s="1"/>
  <c r="X83" i="3"/>
  <c r="AC83" i="3"/>
  <c r="AD83" i="3" s="1"/>
  <c r="AB83" i="3"/>
  <c r="AG83" i="3"/>
  <c r="AH83" i="3" s="1"/>
  <c r="AF83" i="3"/>
  <c r="B85" i="3"/>
  <c r="AE84" i="3"/>
  <c r="AA84" i="3"/>
  <c r="W84" i="3"/>
  <c r="S84" i="3"/>
  <c r="O84" i="3"/>
  <c r="K84" i="3"/>
  <c r="G84" i="3"/>
  <c r="C84" i="3"/>
  <c r="E84" i="3" l="1"/>
  <c r="F84" i="3" s="1"/>
  <c r="D84" i="3"/>
  <c r="I84" i="3"/>
  <c r="J84" i="3" s="1"/>
  <c r="H84" i="3"/>
  <c r="M84" i="3"/>
  <c r="N84" i="3" s="1"/>
  <c r="L84" i="3"/>
  <c r="Q84" i="3"/>
  <c r="R84" i="3" s="1"/>
  <c r="P84" i="3"/>
  <c r="U84" i="3"/>
  <c r="V84" i="3" s="1"/>
  <c r="T84" i="3"/>
  <c r="Y84" i="3"/>
  <c r="Z84" i="3" s="1"/>
  <c r="X84" i="3"/>
  <c r="AC84" i="3"/>
  <c r="AD84" i="3" s="1"/>
  <c r="AB84" i="3"/>
  <c r="AG84" i="3"/>
  <c r="AH84" i="3" s="1"/>
  <c r="AF84" i="3"/>
  <c r="B86" i="3"/>
  <c r="AE85" i="3"/>
  <c r="AA85" i="3"/>
  <c r="W85" i="3"/>
  <c r="S85" i="3"/>
  <c r="O85" i="3"/>
  <c r="K85" i="3"/>
  <c r="G85" i="3"/>
  <c r="C85" i="3"/>
  <c r="E85" i="3" l="1"/>
  <c r="F85" i="3" s="1"/>
  <c r="D85" i="3"/>
  <c r="I85" i="3"/>
  <c r="J85" i="3" s="1"/>
  <c r="H85" i="3"/>
  <c r="M85" i="3"/>
  <c r="N85" i="3" s="1"/>
  <c r="L85" i="3"/>
  <c r="Q85" i="3"/>
  <c r="R85" i="3" s="1"/>
  <c r="P85" i="3"/>
  <c r="U85" i="3"/>
  <c r="V85" i="3" s="1"/>
  <c r="T85" i="3"/>
  <c r="Y85" i="3"/>
  <c r="Z85" i="3" s="1"/>
  <c r="X85" i="3"/>
  <c r="AC85" i="3"/>
  <c r="AD85" i="3" s="1"/>
  <c r="AB85" i="3"/>
  <c r="AG85" i="3"/>
  <c r="AH85" i="3" s="1"/>
  <c r="AF85" i="3"/>
  <c r="B87" i="3"/>
  <c r="AE86" i="3"/>
  <c r="AA86" i="3"/>
  <c r="W86" i="3"/>
  <c r="S86" i="3"/>
  <c r="O86" i="3"/>
  <c r="K86" i="3"/>
  <c r="G86" i="3"/>
  <c r="C86" i="3"/>
  <c r="E86" i="3" l="1"/>
  <c r="F86" i="3" s="1"/>
  <c r="D86" i="3"/>
  <c r="I86" i="3"/>
  <c r="J86" i="3" s="1"/>
  <c r="H86" i="3"/>
  <c r="M86" i="3"/>
  <c r="N86" i="3" s="1"/>
  <c r="L86" i="3"/>
  <c r="Q86" i="3"/>
  <c r="R86" i="3" s="1"/>
  <c r="P86" i="3"/>
  <c r="U86" i="3"/>
  <c r="V86" i="3" s="1"/>
  <c r="T86" i="3"/>
  <c r="Y86" i="3"/>
  <c r="Z86" i="3" s="1"/>
  <c r="X86" i="3"/>
  <c r="AC86" i="3"/>
  <c r="AD86" i="3" s="1"/>
  <c r="AB86" i="3"/>
  <c r="AG86" i="3"/>
  <c r="AH86" i="3" s="1"/>
  <c r="AF86" i="3"/>
  <c r="B88" i="3"/>
  <c r="AE87" i="3"/>
  <c r="AA87" i="3"/>
  <c r="W87" i="3"/>
  <c r="S87" i="3"/>
  <c r="O87" i="3"/>
  <c r="K87" i="3"/>
  <c r="G87" i="3"/>
  <c r="C87" i="3"/>
  <c r="E87" i="3" l="1"/>
  <c r="F87" i="3" s="1"/>
  <c r="D87" i="3"/>
  <c r="I87" i="3"/>
  <c r="J87" i="3" s="1"/>
  <c r="H87" i="3"/>
  <c r="M87" i="3"/>
  <c r="N87" i="3" s="1"/>
  <c r="L87" i="3"/>
  <c r="Q87" i="3"/>
  <c r="R87" i="3" s="1"/>
  <c r="P87" i="3"/>
  <c r="U87" i="3"/>
  <c r="V87" i="3" s="1"/>
  <c r="T87" i="3"/>
  <c r="Y87" i="3"/>
  <c r="Z87" i="3" s="1"/>
  <c r="X87" i="3"/>
  <c r="AC87" i="3"/>
  <c r="AD87" i="3" s="1"/>
  <c r="AB87" i="3"/>
  <c r="AG87" i="3"/>
  <c r="AH87" i="3" s="1"/>
  <c r="AF87" i="3"/>
  <c r="B89" i="3"/>
  <c r="AE88" i="3"/>
  <c r="AA88" i="3"/>
  <c r="W88" i="3"/>
  <c r="S88" i="3"/>
  <c r="O88" i="3"/>
  <c r="K88" i="3"/>
  <c r="G88" i="3"/>
  <c r="C88" i="3"/>
  <c r="E88" i="3" l="1"/>
  <c r="F88" i="3" s="1"/>
  <c r="D88" i="3"/>
  <c r="I88" i="3"/>
  <c r="J88" i="3" s="1"/>
  <c r="H88" i="3"/>
  <c r="M88" i="3"/>
  <c r="N88" i="3" s="1"/>
  <c r="L88" i="3"/>
  <c r="Q88" i="3"/>
  <c r="R88" i="3" s="1"/>
  <c r="P88" i="3"/>
  <c r="U88" i="3"/>
  <c r="V88" i="3" s="1"/>
  <c r="T88" i="3"/>
  <c r="Y88" i="3"/>
  <c r="Z88" i="3" s="1"/>
  <c r="X88" i="3"/>
  <c r="AC88" i="3"/>
  <c r="AD88" i="3" s="1"/>
  <c r="AB88" i="3"/>
  <c r="AG88" i="3"/>
  <c r="AH88" i="3" s="1"/>
  <c r="AF88" i="3"/>
  <c r="B90" i="3"/>
  <c r="AE89" i="3"/>
  <c r="AA89" i="3"/>
  <c r="W89" i="3"/>
  <c r="S89" i="3"/>
  <c r="O89" i="3"/>
  <c r="K89" i="3"/>
  <c r="G89" i="3"/>
  <c r="C89" i="3"/>
  <c r="E89" i="3" l="1"/>
  <c r="F89" i="3" s="1"/>
  <c r="D89" i="3"/>
  <c r="I89" i="3"/>
  <c r="J89" i="3" s="1"/>
  <c r="H89" i="3"/>
  <c r="M89" i="3"/>
  <c r="N89" i="3" s="1"/>
  <c r="L89" i="3"/>
  <c r="Q89" i="3"/>
  <c r="R89" i="3" s="1"/>
  <c r="P89" i="3"/>
  <c r="U89" i="3"/>
  <c r="V89" i="3" s="1"/>
  <c r="T89" i="3"/>
  <c r="Y89" i="3"/>
  <c r="Z89" i="3" s="1"/>
  <c r="X89" i="3"/>
  <c r="AC89" i="3"/>
  <c r="AD89" i="3" s="1"/>
  <c r="AB89" i="3"/>
  <c r="AG89" i="3"/>
  <c r="AH89" i="3" s="1"/>
  <c r="AF89" i="3"/>
  <c r="B91" i="3"/>
  <c r="AE90" i="3"/>
  <c r="AA90" i="3"/>
  <c r="W90" i="3"/>
  <c r="S90" i="3"/>
  <c r="O90" i="3"/>
  <c r="K90" i="3"/>
  <c r="G90" i="3"/>
  <c r="C90" i="3"/>
  <c r="E90" i="3" l="1"/>
  <c r="F90" i="3" s="1"/>
  <c r="D90" i="3"/>
  <c r="I90" i="3"/>
  <c r="J90" i="3" s="1"/>
  <c r="H90" i="3"/>
  <c r="M90" i="3"/>
  <c r="N90" i="3" s="1"/>
  <c r="L90" i="3"/>
  <c r="Q90" i="3"/>
  <c r="R90" i="3" s="1"/>
  <c r="P90" i="3"/>
  <c r="U90" i="3"/>
  <c r="V90" i="3" s="1"/>
  <c r="T90" i="3"/>
  <c r="Y90" i="3"/>
  <c r="Z90" i="3" s="1"/>
  <c r="X90" i="3"/>
  <c r="AC90" i="3"/>
  <c r="AD90" i="3" s="1"/>
  <c r="AB90" i="3"/>
  <c r="AG90" i="3"/>
  <c r="AH90" i="3" s="1"/>
  <c r="AF90" i="3"/>
  <c r="B92" i="3"/>
  <c r="AE91" i="3"/>
  <c r="AA91" i="3"/>
  <c r="W91" i="3"/>
  <c r="S91" i="3"/>
  <c r="O91" i="3"/>
  <c r="K91" i="3"/>
  <c r="G91" i="3"/>
  <c r="C91" i="3"/>
  <c r="E91" i="3" l="1"/>
  <c r="F91" i="3" s="1"/>
  <c r="D91" i="3"/>
  <c r="I91" i="3"/>
  <c r="J91" i="3" s="1"/>
  <c r="H91" i="3"/>
  <c r="M91" i="3"/>
  <c r="N91" i="3" s="1"/>
  <c r="L91" i="3"/>
  <c r="Q91" i="3"/>
  <c r="R91" i="3" s="1"/>
  <c r="P91" i="3"/>
  <c r="U91" i="3"/>
  <c r="V91" i="3" s="1"/>
  <c r="T91" i="3"/>
  <c r="Y91" i="3"/>
  <c r="Z91" i="3" s="1"/>
  <c r="X91" i="3"/>
  <c r="AC91" i="3"/>
  <c r="AD91" i="3" s="1"/>
  <c r="AB91" i="3"/>
  <c r="AG91" i="3"/>
  <c r="AH91" i="3" s="1"/>
  <c r="AF91" i="3"/>
  <c r="B93" i="3"/>
  <c r="AE92" i="3"/>
  <c r="AA92" i="3"/>
  <c r="W92" i="3"/>
  <c r="S92" i="3"/>
  <c r="O92" i="3"/>
  <c r="K92" i="3"/>
  <c r="G92" i="3"/>
  <c r="C92" i="3"/>
  <c r="E92" i="3" l="1"/>
  <c r="F92" i="3" s="1"/>
  <c r="D92" i="3"/>
  <c r="I92" i="3"/>
  <c r="J92" i="3" s="1"/>
  <c r="H92" i="3"/>
  <c r="M92" i="3"/>
  <c r="N92" i="3" s="1"/>
  <c r="L92" i="3"/>
  <c r="Q92" i="3"/>
  <c r="R92" i="3" s="1"/>
  <c r="P92" i="3"/>
  <c r="U92" i="3"/>
  <c r="V92" i="3" s="1"/>
  <c r="T92" i="3"/>
  <c r="Y92" i="3"/>
  <c r="Z92" i="3" s="1"/>
  <c r="X92" i="3"/>
  <c r="AC92" i="3"/>
  <c r="AD92" i="3" s="1"/>
  <c r="AB92" i="3"/>
  <c r="AG92" i="3"/>
  <c r="AH92" i="3" s="1"/>
  <c r="AF92" i="3"/>
  <c r="B94" i="3"/>
  <c r="AE93" i="3"/>
  <c r="AA93" i="3"/>
  <c r="W93" i="3"/>
  <c r="S93" i="3"/>
  <c r="O93" i="3"/>
  <c r="K93" i="3"/>
  <c r="G93" i="3"/>
  <c r="C93" i="3"/>
  <c r="E93" i="3" l="1"/>
  <c r="F93" i="3" s="1"/>
  <c r="D93" i="3"/>
  <c r="I93" i="3"/>
  <c r="J93" i="3" s="1"/>
  <c r="H93" i="3"/>
  <c r="M93" i="3"/>
  <c r="N93" i="3" s="1"/>
  <c r="L93" i="3"/>
  <c r="Q93" i="3"/>
  <c r="R93" i="3" s="1"/>
  <c r="P93" i="3"/>
  <c r="U93" i="3"/>
  <c r="V93" i="3" s="1"/>
  <c r="T93" i="3"/>
  <c r="Y93" i="3"/>
  <c r="Z93" i="3" s="1"/>
  <c r="X93" i="3"/>
  <c r="AC93" i="3"/>
  <c r="AD93" i="3" s="1"/>
  <c r="AB93" i="3"/>
  <c r="AG93" i="3"/>
  <c r="AH93" i="3" s="1"/>
  <c r="AF93" i="3"/>
  <c r="B95" i="3"/>
  <c r="AE94" i="3"/>
  <c r="AA94" i="3"/>
  <c r="W94" i="3"/>
  <c r="S94" i="3"/>
  <c r="O94" i="3"/>
  <c r="K94" i="3"/>
  <c r="G94" i="3"/>
  <c r="C94" i="3"/>
  <c r="E94" i="3" l="1"/>
  <c r="F94" i="3" s="1"/>
  <c r="D94" i="3"/>
  <c r="I94" i="3"/>
  <c r="J94" i="3" s="1"/>
  <c r="H94" i="3"/>
  <c r="M94" i="3"/>
  <c r="N94" i="3" s="1"/>
  <c r="L94" i="3"/>
  <c r="Q94" i="3"/>
  <c r="R94" i="3" s="1"/>
  <c r="P94" i="3"/>
  <c r="U94" i="3"/>
  <c r="V94" i="3" s="1"/>
  <c r="T94" i="3"/>
  <c r="Y94" i="3"/>
  <c r="Z94" i="3" s="1"/>
  <c r="X94" i="3"/>
  <c r="AC94" i="3"/>
  <c r="AD94" i="3" s="1"/>
  <c r="AB94" i="3"/>
  <c r="AG94" i="3"/>
  <c r="AH94" i="3" s="1"/>
  <c r="AF94" i="3"/>
  <c r="B96" i="3"/>
  <c r="AE95" i="3"/>
  <c r="AA95" i="3"/>
  <c r="W95" i="3"/>
  <c r="S95" i="3"/>
  <c r="O95" i="3"/>
  <c r="K95" i="3"/>
  <c r="G95" i="3"/>
  <c r="C95" i="3"/>
  <c r="E95" i="3" l="1"/>
  <c r="F95" i="3" s="1"/>
  <c r="D95" i="3"/>
  <c r="I95" i="3"/>
  <c r="J95" i="3" s="1"/>
  <c r="H95" i="3"/>
  <c r="M95" i="3"/>
  <c r="N95" i="3" s="1"/>
  <c r="L95" i="3"/>
  <c r="Q95" i="3"/>
  <c r="R95" i="3" s="1"/>
  <c r="P95" i="3"/>
  <c r="U95" i="3"/>
  <c r="V95" i="3" s="1"/>
  <c r="T95" i="3"/>
  <c r="Y95" i="3"/>
  <c r="Z95" i="3" s="1"/>
  <c r="X95" i="3"/>
  <c r="AC95" i="3"/>
  <c r="AD95" i="3" s="1"/>
  <c r="AB95" i="3"/>
  <c r="AG95" i="3"/>
  <c r="AH95" i="3" s="1"/>
  <c r="AF95" i="3"/>
  <c r="B97" i="3"/>
  <c r="AE96" i="3"/>
  <c r="AA96" i="3"/>
  <c r="W96" i="3"/>
  <c r="S96" i="3"/>
  <c r="O96" i="3"/>
  <c r="K96" i="3"/>
  <c r="G96" i="3"/>
  <c r="C96" i="3"/>
  <c r="E96" i="3" l="1"/>
  <c r="F96" i="3" s="1"/>
  <c r="D96" i="3"/>
  <c r="I96" i="3"/>
  <c r="J96" i="3" s="1"/>
  <c r="H96" i="3"/>
  <c r="M96" i="3"/>
  <c r="N96" i="3" s="1"/>
  <c r="L96" i="3"/>
  <c r="Q96" i="3"/>
  <c r="R96" i="3" s="1"/>
  <c r="P96" i="3"/>
  <c r="U96" i="3"/>
  <c r="V96" i="3" s="1"/>
  <c r="T96" i="3"/>
  <c r="Y96" i="3"/>
  <c r="Z96" i="3" s="1"/>
  <c r="X96" i="3"/>
  <c r="AC96" i="3"/>
  <c r="AD96" i="3" s="1"/>
  <c r="AB96" i="3"/>
  <c r="AG96" i="3"/>
  <c r="AH96" i="3" s="1"/>
  <c r="AF96" i="3"/>
  <c r="B98" i="3"/>
  <c r="AE97" i="3"/>
  <c r="AA97" i="3"/>
  <c r="W97" i="3"/>
  <c r="S97" i="3"/>
  <c r="O97" i="3"/>
  <c r="K97" i="3"/>
  <c r="G97" i="3"/>
  <c r="C97" i="3"/>
  <c r="E97" i="3" l="1"/>
  <c r="F97" i="3" s="1"/>
  <c r="D97" i="3"/>
  <c r="I97" i="3"/>
  <c r="J97" i="3" s="1"/>
  <c r="H97" i="3"/>
  <c r="M97" i="3"/>
  <c r="N97" i="3" s="1"/>
  <c r="L97" i="3"/>
  <c r="Q97" i="3"/>
  <c r="R97" i="3" s="1"/>
  <c r="P97" i="3"/>
  <c r="U97" i="3"/>
  <c r="V97" i="3" s="1"/>
  <c r="T97" i="3"/>
  <c r="Y97" i="3"/>
  <c r="Z97" i="3" s="1"/>
  <c r="X97" i="3"/>
  <c r="AC97" i="3"/>
  <c r="AD97" i="3" s="1"/>
  <c r="AB97" i="3"/>
  <c r="AG97" i="3"/>
  <c r="AH97" i="3" s="1"/>
  <c r="AF97" i="3"/>
  <c r="B99" i="3"/>
  <c r="AE98" i="3"/>
  <c r="AA98" i="3"/>
  <c r="W98" i="3"/>
  <c r="S98" i="3"/>
  <c r="O98" i="3"/>
  <c r="K98" i="3"/>
  <c r="G98" i="3"/>
  <c r="C98" i="3"/>
  <c r="E98" i="3" l="1"/>
  <c r="F98" i="3" s="1"/>
  <c r="D98" i="3"/>
  <c r="I98" i="3"/>
  <c r="J98" i="3" s="1"/>
  <c r="H98" i="3"/>
  <c r="M98" i="3"/>
  <c r="N98" i="3" s="1"/>
  <c r="L98" i="3"/>
  <c r="Q98" i="3"/>
  <c r="R98" i="3" s="1"/>
  <c r="P98" i="3"/>
  <c r="U98" i="3"/>
  <c r="V98" i="3" s="1"/>
  <c r="T98" i="3"/>
  <c r="Y98" i="3"/>
  <c r="Z98" i="3" s="1"/>
  <c r="X98" i="3"/>
  <c r="AC98" i="3"/>
  <c r="AD98" i="3" s="1"/>
  <c r="AB98" i="3"/>
  <c r="AG98" i="3"/>
  <c r="AH98" i="3" s="1"/>
  <c r="AF98" i="3"/>
  <c r="B100" i="3"/>
  <c r="AE99" i="3"/>
  <c r="AA99" i="3"/>
  <c r="W99" i="3"/>
  <c r="S99" i="3"/>
  <c r="O99" i="3"/>
  <c r="K99" i="3"/>
  <c r="G99" i="3"/>
  <c r="C99" i="3"/>
  <c r="E99" i="3" l="1"/>
  <c r="F99" i="3" s="1"/>
  <c r="D99" i="3"/>
  <c r="I99" i="3"/>
  <c r="J99" i="3" s="1"/>
  <c r="H99" i="3"/>
  <c r="M99" i="3"/>
  <c r="N99" i="3" s="1"/>
  <c r="L99" i="3"/>
  <c r="Q99" i="3"/>
  <c r="R99" i="3" s="1"/>
  <c r="P99" i="3"/>
  <c r="U99" i="3"/>
  <c r="V99" i="3" s="1"/>
  <c r="T99" i="3"/>
  <c r="Y99" i="3"/>
  <c r="Z99" i="3" s="1"/>
  <c r="X99" i="3"/>
  <c r="AC99" i="3"/>
  <c r="AD99" i="3" s="1"/>
  <c r="AB99" i="3"/>
  <c r="AG99" i="3"/>
  <c r="AH99" i="3" s="1"/>
  <c r="AF99" i="3"/>
  <c r="B101" i="3"/>
  <c r="AE100" i="3"/>
  <c r="AA100" i="3"/>
  <c r="W100" i="3"/>
  <c r="S100" i="3"/>
  <c r="O100" i="3"/>
  <c r="K100" i="3"/>
  <c r="G100" i="3"/>
  <c r="C100" i="3"/>
  <c r="E100" i="3" l="1"/>
  <c r="F100" i="3" s="1"/>
  <c r="D100" i="3"/>
  <c r="I100" i="3"/>
  <c r="J100" i="3" s="1"/>
  <c r="H100" i="3"/>
  <c r="M100" i="3"/>
  <c r="N100" i="3" s="1"/>
  <c r="L100" i="3"/>
  <c r="Q100" i="3"/>
  <c r="R100" i="3" s="1"/>
  <c r="P100" i="3"/>
  <c r="U100" i="3"/>
  <c r="V100" i="3" s="1"/>
  <c r="T100" i="3"/>
  <c r="Y100" i="3"/>
  <c r="Z100" i="3" s="1"/>
  <c r="X100" i="3"/>
  <c r="AC100" i="3"/>
  <c r="AD100" i="3" s="1"/>
  <c r="AB100" i="3"/>
  <c r="AG100" i="3"/>
  <c r="AH100" i="3" s="1"/>
  <c r="AF100" i="3"/>
  <c r="B102" i="3"/>
  <c r="AE101" i="3"/>
  <c r="AA101" i="3"/>
  <c r="W101" i="3"/>
  <c r="S101" i="3"/>
  <c r="O101" i="3"/>
  <c r="K101" i="3"/>
  <c r="G101" i="3"/>
  <c r="C101" i="3"/>
  <c r="E101" i="3" l="1"/>
  <c r="F101" i="3" s="1"/>
  <c r="D101" i="3"/>
  <c r="I101" i="3"/>
  <c r="J101" i="3" s="1"/>
  <c r="H101" i="3"/>
  <c r="M101" i="3"/>
  <c r="N101" i="3" s="1"/>
  <c r="L101" i="3"/>
  <c r="Q101" i="3"/>
  <c r="R101" i="3" s="1"/>
  <c r="P101" i="3"/>
  <c r="U101" i="3"/>
  <c r="V101" i="3" s="1"/>
  <c r="T101" i="3"/>
  <c r="Y101" i="3"/>
  <c r="Z101" i="3" s="1"/>
  <c r="X101" i="3"/>
  <c r="AC101" i="3"/>
  <c r="AD101" i="3" s="1"/>
  <c r="AB101" i="3"/>
  <c r="AG101" i="3"/>
  <c r="AH101" i="3" s="1"/>
  <c r="AF101" i="3"/>
  <c r="B103" i="3"/>
  <c r="AE102" i="3"/>
  <c r="AA102" i="3"/>
  <c r="W102" i="3"/>
  <c r="S102" i="3"/>
  <c r="O102" i="3"/>
  <c r="K102" i="3"/>
  <c r="G102" i="3"/>
  <c r="C102" i="3"/>
  <c r="E102" i="3" l="1"/>
  <c r="F102" i="3" s="1"/>
  <c r="D102" i="3"/>
  <c r="I102" i="3"/>
  <c r="J102" i="3" s="1"/>
  <c r="H102" i="3"/>
  <c r="M102" i="3"/>
  <c r="N102" i="3" s="1"/>
  <c r="L102" i="3"/>
  <c r="Q102" i="3"/>
  <c r="R102" i="3" s="1"/>
  <c r="P102" i="3"/>
  <c r="U102" i="3"/>
  <c r="V102" i="3" s="1"/>
  <c r="T102" i="3"/>
  <c r="Y102" i="3"/>
  <c r="Z102" i="3" s="1"/>
  <c r="X102" i="3"/>
  <c r="AC102" i="3"/>
  <c r="AD102" i="3" s="1"/>
  <c r="AB102" i="3"/>
  <c r="AG102" i="3"/>
  <c r="AH102" i="3" s="1"/>
  <c r="AF102" i="3"/>
  <c r="B104" i="3"/>
  <c r="AE103" i="3"/>
  <c r="AA103" i="3"/>
  <c r="W103" i="3"/>
  <c r="S103" i="3"/>
  <c r="O103" i="3"/>
  <c r="K103" i="3"/>
  <c r="G103" i="3"/>
  <c r="C103" i="3"/>
  <c r="E103" i="3" l="1"/>
  <c r="F103" i="3" s="1"/>
  <c r="D103" i="3"/>
  <c r="I103" i="3"/>
  <c r="J103" i="3" s="1"/>
  <c r="H103" i="3"/>
  <c r="M103" i="3"/>
  <c r="N103" i="3" s="1"/>
  <c r="L103" i="3"/>
  <c r="Q103" i="3"/>
  <c r="R103" i="3" s="1"/>
  <c r="P103" i="3"/>
  <c r="U103" i="3"/>
  <c r="V103" i="3" s="1"/>
  <c r="T103" i="3"/>
  <c r="Y103" i="3"/>
  <c r="Z103" i="3" s="1"/>
  <c r="X103" i="3"/>
  <c r="AC103" i="3"/>
  <c r="AD103" i="3" s="1"/>
  <c r="AB103" i="3"/>
  <c r="AG103" i="3"/>
  <c r="AH103" i="3" s="1"/>
  <c r="AF103" i="3"/>
  <c r="B105" i="3"/>
  <c r="AE104" i="3"/>
  <c r="AA104" i="3"/>
  <c r="W104" i="3"/>
  <c r="S104" i="3"/>
  <c r="O104" i="3"/>
  <c r="K104" i="3"/>
  <c r="G104" i="3"/>
  <c r="C104" i="3"/>
  <c r="E104" i="3" l="1"/>
  <c r="F104" i="3" s="1"/>
  <c r="D104" i="3"/>
  <c r="I104" i="3"/>
  <c r="J104" i="3" s="1"/>
  <c r="H104" i="3"/>
  <c r="M104" i="3"/>
  <c r="N104" i="3" s="1"/>
  <c r="L104" i="3"/>
  <c r="Q104" i="3"/>
  <c r="R104" i="3" s="1"/>
  <c r="P104" i="3"/>
  <c r="U104" i="3"/>
  <c r="V104" i="3" s="1"/>
  <c r="T104" i="3"/>
  <c r="Y104" i="3"/>
  <c r="Z104" i="3" s="1"/>
  <c r="X104" i="3"/>
  <c r="AC104" i="3"/>
  <c r="AD104" i="3" s="1"/>
  <c r="AB104" i="3"/>
  <c r="AG104" i="3"/>
  <c r="AH104" i="3" s="1"/>
  <c r="AF104" i="3"/>
  <c r="B106" i="3"/>
  <c r="AE105" i="3"/>
  <c r="AA105" i="3"/>
  <c r="W105" i="3"/>
  <c r="S105" i="3"/>
  <c r="O105" i="3"/>
  <c r="K105" i="3"/>
  <c r="G105" i="3"/>
  <c r="C105" i="3"/>
  <c r="E105" i="3" l="1"/>
  <c r="F105" i="3" s="1"/>
  <c r="D105" i="3"/>
  <c r="I105" i="3"/>
  <c r="J105" i="3" s="1"/>
  <c r="H105" i="3"/>
  <c r="M105" i="3"/>
  <c r="N105" i="3" s="1"/>
  <c r="L105" i="3"/>
  <c r="Q105" i="3"/>
  <c r="R105" i="3" s="1"/>
  <c r="P105" i="3"/>
  <c r="U105" i="3"/>
  <c r="V105" i="3" s="1"/>
  <c r="T105" i="3"/>
  <c r="Y105" i="3"/>
  <c r="Z105" i="3" s="1"/>
  <c r="X105" i="3"/>
  <c r="AC105" i="3"/>
  <c r="AD105" i="3" s="1"/>
  <c r="AB105" i="3"/>
  <c r="AG105" i="3"/>
  <c r="AH105" i="3" s="1"/>
  <c r="AF105" i="3"/>
  <c r="B107" i="3"/>
  <c r="AE106" i="3"/>
  <c r="AA106" i="3"/>
  <c r="W106" i="3"/>
  <c r="S106" i="3"/>
  <c r="O106" i="3"/>
  <c r="K106" i="3"/>
  <c r="G106" i="3"/>
  <c r="C106" i="3"/>
  <c r="E106" i="3" l="1"/>
  <c r="F106" i="3" s="1"/>
  <c r="D106" i="3"/>
  <c r="I106" i="3"/>
  <c r="J106" i="3" s="1"/>
  <c r="H106" i="3"/>
  <c r="M106" i="3"/>
  <c r="N106" i="3" s="1"/>
  <c r="L106" i="3"/>
  <c r="Q106" i="3"/>
  <c r="R106" i="3" s="1"/>
  <c r="P106" i="3"/>
  <c r="U106" i="3"/>
  <c r="V106" i="3" s="1"/>
  <c r="T106" i="3"/>
  <c r="Y106" i="3"/>
  <c r="Z106" i="3" s="1"/>
  <c r="X106" i="3"/>
  <c r="AC106" i="3"/>
  <c r="AD106" i="3" s="1"/>
  <c r="AB106" i="3"/>
  <c r="AG106" i="3"/>
  <c r="AH106" i="3" s="1"/>
  <c r="AF106" i="3"/>
  <c r="B108" i="3"/>
  <c r="AE107" i="3"/>
  <c r="AA107" i="3"/>
  <c r="W107" i="3"/>
  <c r="S107" i="3"/>
  <c r="O107" i="3"/>
  <c r="K107" i="3"/>
  <c r="G107" i="3"/>
  <c r="C107" i="3"/>
  <c r="E107" i="3" l="1"/>
  <c r="F107" i="3" s="1"/>
  <c r="D107" i="3"/>
  <c r="I107" i="3"/>
  <c r="J107" i="3" s="1"/>
  <c r="H107" i="3"/>
  <c r="M107" i="3"/>
  <c r="N107" i="3" s="1"/>
  <c r="L107" i="3"/>
  <c r="Q107" i="3"/>
  <c r="R107" i="3" s="1"/>
  <c r="P107" i="3"/>
  <c r="U107" i="3"/>
  <c r="V107" i="3" s="1"/>
  <c r="T107" i="3"/>
  <c r="Y107" i="3"/>
  <c r="Z107" i="3" s="1"/>
  <c r="X107" i="3"/>
  <c r="AC107" i="3"/>
  <c r="AD107" i="3" s="1"/>
  <c r="AB107" i="3"/>
  <c r="AG107" i="3"/>
  <c r="AH107" i="3" s="1"/>
  <c r="AF107" i="3"/>
  <c r="B109" i="3"/>
  <c r="AE108" i="3"/>
  <c r="AA108" i="3"/>
  <c r="W108" i="3"/>
  <c r="S108" i="3"/>
  <c r="O108" i="3"/>
  <c r="K108" i="3"/>
  <c r="G108" i="3"/>
  <c r="C108" i="3"/>
  <c r="E108" i="3" l="1"/>
  <c r="F108" i="3" s="1"/>
  <c r="D108" i="3"/>
  <c r="I108" i="3"/>
  <c r="J108" i="3" s="1"/>
  <c r="H108" i="3"/>
  <c r="M108" i="3"/>
  <c r="N108" i="3" s="1"/>
  <c r="L108" i="3"/>
  <c r="Q108" i="3"/>
  <c r="R108" i="3" s="1"/>
  <c r="P108" i="3"/>
  <c r="U108" i="3"/>
  <c r="V108" i="3" s="1"/>
  <c r="T108" i="3"/>
  <c r="Y108" i="3"/>
  <c r="Z108" i="3" s="1"/>
  <c r="X108" i="3"/>
  <c r="AC108" i="3"/>
  <c r="AD108" i="3" s="1"/>
  <c r="AB108" i="3"/>
  <c r="AG108" i="3"/>
  <c r="AH108" i="3" s="1"/>
  <c r="AF108" i="3"/>
  <c r="B110" i="3"/>
  <c r="AE109" i="3"/>
  <c r="AA109" i="3"/>
  <c r="W109" i="3"/>
  <c r="S109" i="3"/>
  <c r="O109" i="3"/>
  <c r="K109" i="3"/>
  <c r="G109" i="3"/>
  <c r="C109" i="3"/>
  <c r="E109" i="3" l="1"/>
  <c r="F109" i="3" s="1"/>
  <c r="D109" i="3"/>
  <c r="I109" i="3"/>
  <c r="J109" i="3" s="1"/>
  <c r="H109" i="3"/>
  <c r="M109" i="3"/>
  <c r="N109" i="3" s="1"/>
  <c r="L109" i="3"/>
  <c r="Q109" i="3"/>
  <c r="R109" i="3" s="1"/>
  <c r="P109" i="3"/>
  <c r="U109" i="3"/>
  <c r="V109" i="3" s="1"/>
  <c r="T109" i="3"/>
  <c r="Y109" i="3"/>
  <c r="Z109" i="3" s="1"/>
  <c r="X109" i="3"/>
  <c r="AC109" i="3"/>
  <c r="AD109" i="3" s="1"/>
  <c r="AB109" i="3"/>
  <c r="AG109" i="3"/>
  <c r="AH109" i="3" s="1"/>
  <c r="AF109" i="3"/>
  <c r="B111" i="3"/>
  <c r="AE110" i="3"/>
  <c r="AA110" i="3"/>
  <c r="W110" i="3"/>
  <c r="S110" i="3"/>
  <c r="O110" i="3"/>
  <c r="K110" i="3"/>
  <c r="G110" i="3"/>
  <c r="C110" i="3"/>
  <c r="E110" i="3" l="1"/>
  <c r="F110" i="3" s="1"/>
  <c r="D110" i="3"/>
  <c r="I110" i="3"/>
  <c r="J110" i="3" s="1"/>
  <c r="H110" i="3"/>
  <c r="M110" i="3"/>
  <c r="N110" i="3" s="1"/>
  <c r="L110" i="3"/>
  <c r="Q110" i="3"/>
  <c r="R110" i="3" s="1"/>
  <c r="P110" i="3"/>
  <c r="U110" i="3"/>
  <c r="V110" i="3" s="1"/>
  <c r="T110" i="3"/>
  <c r="Y110" i="3"/>
  <c r="Z110" i="3" s="1"/>
  <c r="X110" i="3"/>
  <c r="AC110" i="3"/>
  <c r="AD110" i="3" s="1"/>
  <c r="AB110" i="3"/>
  <c r="AG110" i="3"/>
  <c r="AH110" i="3" s="1"/>
  <c r="AF110" i="3"/>
  <c r="B112" i="3"/>
  <c r="AE111" i="3"/>
  <c r="AA111" i="3"/>
  <c r="W111" i="3"/>
  <c r="S111" i="3"/>
  <c r="O111" i="3"/>
  <c r="K111" i="3"/>
  <c r="G111" i="3"/>
  <c r="C111" i="3"/>
  <c r="E111" i="3" l="1"/>
  <c r="F111" i="3" s="1"/>
  <c r="D111" i="3"/>
  <c r="I111" i="3"/>
  <c r="J111" i="3" s="1"/>
  <c r="H111" i="3"/>
  <c r="M111" i="3"/>
  <c r="N111" i="3" s="1"/>
  <c r="L111" i="3"/>
  <c r="Q111" i="3"/>
  <c r="R111" i="3" s="1"/>
  <c r="P111" i="3"/>
  <c r="U111" i="3"/>
  <c r="V111" i="3" s="1"/>
  <c r="T111" i="3"/>
  <c r="Y111" i="3"/>
  <c r="Z111" i="3" s="1"/>
  <c r="X111" i="3"/>
  <c r="AC111" i="3"/>
  <c r="AD111" i="3" s="1"/>
  <c r="AB111" i="3"/>
  <c r="AG111" i="3"/>
  <c r="AH111" i="3" s="1"/>
  <c r="AF111" i="3"/>
  <c r="B113" i="3"/>
  <c r="AE112" i="3"/>
  <c r="AA112" i="3"/>
  <c r="W112" i="3"/>
  <c r="S112" i="3"/>
  <c r="O112" i="3"/>
  <c r="K112" i="3"/>
  <c r="G112" i="3"/>
  <c r="C112" i="3"/>
  <c r="E112" i="3" l="1"/>
  <c r="F112" i="3" s="1"/>
  <c r="D112" i="3"/>
  <c r="I112" i="3"/>
  <c r="J112" i="3" s="1"/>
  <c r="H112" i="3"/>
  <c r="M112" i="3"/>
  <c r="N112" i="3" s="1"/>
  <c r="L112" i="3"/>
  <c r="Q112" i="3"/>
  <c r="R112" i="3" s="1"/>
  <c r="P112" i="3"/>
  <c r="U112" i="3"/>
  <c r="V112" i="3" s="1"/>
  <c r="T112" i="3"/>
  <c r="Y112" i="3"/>
  <c r="Z112" i="3" s="1"/>
  <c r="X112" i="3"/>
  <c r="AC112" i="3"/>
  <c r="AD112" i="3" s="1"/>
  <c r="AB112" i="3"/>
  <c r="AG112" i="3"/>
  <c r="AH112" i="3" s="1"/>
  <c r="AF112" i="3"/>
  <c r="B114" i="3"/>
  <c r="AE113" i="3"/>
  <c r="AA113" i="3"/>
  <c r="W113" i="3"/>
  <c r="S113" i="3"/>
  <c r="O113" i="3"/>
  <c r="K113" i="3"/>
  <c r="G113" i="3"/>
  <c r="C113" i="3"/>
  <c r="E113" i="3" l="1"/>
  <c r="F113" i="3" s="1"/>
  <c r="D113" i="3"/>
  <c r="I113" i="3"/>
  <c r="J113" i="3" s="1"/>
  <c r="H113" i="3"/>
  <c r="M113" i="3"/>
  <c r="N113" i="3" s="1"/>
  <c r="L113" i="3"/>
  <c r="Q113" i="3"/>
  <c r="R113" i="3" s="1"/>
  <c r="P113" i="3"/>
  <c r="U113" i="3"/>
  <c r="V113" i="3" s="1"/>
  <c r="T113" i="3"/>
  <c r="Y113" i="3"/>
  <c r="Z113" i="3" s="1"/>
  <c r="X113" i="3"/>
  <c r="AC113" i="3"/>
  <c r="AD113" i="3" s="1"/>
  <c r="AB113" i="3"/>
  <c r="AG113" i="3"/>
  <c r="AH113" i="3" s="1"/>
  <c r="AF113" i="3"/>
  <c r="B115" i="3"/>
  <c r="AE114" i="3"/>
  <c r="AA114" i="3"/>
  <c r="W114" i="3"/>
  <c r="S114" i="3"/>
  <c r="O114" i="3"/>
  <c r="K114" i="3"/>
  <c r="G114" i="3"/>
  <c r="C114" i="3"/>
  <c r="E114" i="3" l="1"/>
  <c r="F114" i="3" s="1"/>
  <c r="D114" i="3"/>
  <c r="I114" i="3"/>
  <c r="J114" i="3" s="1"/>
  <c r="H114" i="3"/>
  <c r="M114" i="3"/>
  <c r="N114" i="3" s="1"/>
  <c r="L114" i="3"/>
  <c r="Q114" i="3"/>
  <c r="R114" i="3" s="1"/>
  <c r="P114" i="3"/>
  <c r="U114" i="3"/>
  <c r="V114" i="3" s="1"/>
  <c r="T114" i="3"/>
  <c r="Y114" i="3"/>
  <c r="Z114" i="3" s="1"/>
  <c r="X114" i="3"/>
  <c r="AC114" i="3"/>
  <c r="AD114" i="3" s="1"/>
  <c r="AB114" i="3"/>
  <c r="AG114" i="3"/>
  <c r="AH114" i="3" s="1"/>
  <c r="AF114" i="3"/>
  <c r="B116" i="3"/>
  <c r="AE115" i="3"/>
  <c r="AA115" i="3"/>
  <c r="W115" i="3"/>
  <c r="S115" i="3"/>
  <c r="O115" i="3"/>
  <c r="K115" i="3"/>
  <c r="G115" i="3"/>
  <c r="C115" i="3"/>
  <c r="E115" i="3" l="1"/>
  <c r="F115" i="3" s="1"/>
  <c r="D115" i="3"/>
  <c r="I115" i="3"/>
  <c r="J115" i="3" s="1"/>
  <c r="H115" i="3"/>
  <c r="M115" i="3"/>
  <c r="N115" i="3" s="1"/>
  <c r="L115" i="3"/>
  <c r="Q115" i="3"/>
  <c r="R115" i="3" s="1"/>
  <c r="P115" i="3"/>
  <c r="U115" i="3"/>
  <c r="V115" i="3" s="1"/>
  <c r="T115" i="3"/>
  <c r="Y115" i="3"/>
  <c r="Z115" i="3" s="1"/>
  <c r="X115" i="3"/>
  <c r="AC115" i="3"/>
  <c r="AD115" i="3" s="1"/>
  <c r="AB115" i="3"/>
  <c r="AG115" i="3"/>
  <c r="AH115" i="3" s="1"/>
  <c r="AF115" i="3"/>
  <c r="B117" i="3"/>
  <c r="AE116" i="3"/>
  <c r="AA116" i="3"/>
  <c r="W116" i="3"/>
  <c r="S116" i="3"/>
  <c r="O116" i="3"/>
  <c r="K116" i="3"/>
  <c r="G116" i="3"/>
  <c r="C116" i="3"/>
  <c r="E116" i="3" l="1"/>
  <c r="F116" i="3" s="1"/>
  <c r="D116" i="3"/>
  <c r="I116" i="3"/>
  <c r="J116" i="3" s="1"/>
  <c r="H116" i="3"/>
  <c r="M116" i="3"/>
  <c r="N116" i="3" s="1"/>
  <c r="L116" i="3"/>
  <c r="Q116" i="3"/>
  <c r="R116" i="3" s="1"/>
  <c r="P116" i="3"/>
  <c r="U116" i="3"/>
  <c r="V116" i="3" s="1"/>
  <c r="T116" i="3"/>
  <c r="Y116" i="3"/>
  <c r="Z116" i="3" s="1"/>
  <c r="X116" i="3"/>
  <c r="AC116" i="3"/>
  <c r="AD116" i="3" s="1"/>
  <c r="AB116" i="3"/>
  <c r="AG116" i="3"/>
  <c r="AH116" i="3" s="1"/>
  <c r="AF116" i="3"/>
  <c r="B118" i="3"/>
  <c r="AE117" i="3"/>
  <c r="AA117" i="3"/>
  <c r="W117" i="3"/>
  <c r="S117" i="3"/>
  <c r="O117" i="3"/>
  <c r="K117" i="3"/>
  <c r="G117" i="3"/>
  <c r="C117" i="3"/>
  <c r="E117" i="3" l="1"/>
  <c r="F117" i="3" s="1"/>
  <c r="D117" i="3"/>
  <c r="I117" i="3"/>
  <c r="J117" i="3" s="1"/>
  <c r="H117" i="3"/>
  <c r="M117" i="3"/>
  <c r="N117" i="3" s="1"/>
  <c r="L117" i="3"/>
  <c r="Q117" i="3"/>
  <c r="R117" i="3" s="1"/>
  <c r="P117" i="3"/>
  <c r="U117" i="3"/>
  <c r="V117" i="3" s="1"/>
  <c r="T117" i="3"/>
  <c r="Y117" i="3"/>
  <c r="Z117" i="3" s="1"/>
  <c r="X117" i="3"/>
  <c r="AC117" i="3"/>
  <c r="AD117" i="3" s="1"/>
  <c r="AB117" i="3"/>
  <c r="AG117" i="3"/>
  <c r="AH117" i="3" s="1"/>
  <c r="AF117" i="3"/>
  <c r="B119" i="3"/>
  <c r="AE118" i="3"/>
  <c r="AA118" i="3"/>
  <c r="W118" i="3"/>
  <c r="S118" i="3"/>
  <c r="O118" i="3"/>
  <c r="K118" i="3"/>
  <c r="G118" i="3"/>
  <c r="C118" i="3"/>
  <c r="E118" i="3" l="1"/>
  <c r="F118" i="3" s="1"/>
  <c r="D118" i="3"/>
  <c r="I118" i="3"/>
  <c r="J118" i="3" s="1"/>
  <c r="H118" i="3"/>
  <c r="M118" i="3"/>
  <c r="N118" i="3" s="1"/>
  <c r="L118" i="3"/>
  <c r="Q118" i="3"/>
  <c r="R118" i="3" s="1"/>
  <c r="P118" i="3"/>
  <c r="U118" i="3"/>
  <c r="V118" i="3" s="1"/>
  <c r="T118" i="3"/>
  <c r="Y118" i="3"/>
  <c r="Z118" i="3" s="1"/>
  <c r="X118" i="3"/>
  <c r="AC118" i="3"/>
  <c r="AD118" i="3" s="1"/>
  <c r="AB118" i="3"/>
  <c r="AG118" i="3"/>
  <c r="AH118" i="3" s="1"/>
  <c r="AF118" i="3"/>
  <c r="B120" i="3"/>
  <c r="AE119" i="3"/>
  <c r="AA119" i="3"/>
  <c r="W119" i="3"/>
  <c r="S119" i="3"/>
  <c r="O119" i="3"/>
  <c r="K119" i="3"/>
  <c r="G119" i="3"/>
  <c r="C119" i="3"/>
  <c r="E119" i="3" l="1"/>
  <c r="F119" i="3" s="1"/>
  <c r="D119" i="3"/>
  <c r="I119" i="3"/>
  <c r="J119" i="3" s="1"/>
  <c r="H119" i="3"/>
  <c r="M119" i="3"/>
  <c r="N119" i="3" s="1"/>
  <c r="L119" i="3"/>
  <c r="Q119" i="3"/>
  <c r="R119" i="3" s="1"/>
  <c r="P119" i="3"/>
  <c r="U119" i="3"/>
  <c r="V119" i="3" s="1"/>
  <c r="T119" i="3"/>
  <c r="Y119" i="3"/>
  <c r="Z119" i="3" s="1"/>
  <c r="X119" i="3"/>
  <c r="AC119" i="3"/>
  <c r="AD119" i="3" s="1"/>
  <c r="AB119" i="3"/>
  <c r="AG119" i="3"/>
  <c r="AH119" i="3" s="1"/>
  <c r="AF119" i="3"/>
  <c r="B121" i="3"/>
  <c r="AE120" i="3"/>
  <c r="AA120" i="3"/>
  <c r="W120" i="3"/>
  <c r="S120" i="3"/>
  <c r="O120" i="3"/>
  <c r="K120" i="3"/>
  <c r="G120" i="3"/>
  <c r="C120" i="3"/>
  <c r="E120" i="3" l="1"/>
  <c r="F120" i="3" s="1"/>
  <c r="D120" i="3"/>
  <c r="I120" i="3"/>
  <c r="J120" i="3" s="1"/>
  <c r="H120" i="3"/>
  <c r="M120" i="3"/>
  <c r="N120" i="3" s="1"/>
  <c r="L120" i="3"/>
  <c r="Q120" i="3"/>
  <c r="R120" i="3" s="1"/>
  <c r="P120" i="3"/>
  <c r="U120" i="3"/>
  <c r="V120" i="3" s="1"/>
  <c r="T120" i="3"/>
  <c r="Y120" i="3"/>
  <c r="Z120" i="3" s="1"/>
  <c r="X120" i="3"/>
  <c r="AC120" i="3"/>
  <c r="AD120" i="3" s="1"/>
  <c r="AB120" i="3"/>
  <c r="AG120" i="3"/>
  <c r="AH120" i="3" s="1"/>
  <c r="AF120" i="3"/>
  <c r="B122" i="3"/>
  <c r="AE121" i="3"/>
  <c r="AA121" i="3"/>
  <c r="W121" i="3"/>
  <c r="S121" i="3"/>
  <c r="O121" i="3"/>
  <c r="K121" i="3"/>
  <c r="G121" i="3"/>
  <c r="C121" i="3"/>
  <c r="E121" i="3" l="1"/>
  <c r="F121" i="3" s="1"/>
  <c r="D121" i="3"/>
  <c r="I121" i="3"/>
  <c r="J121" i="3" s="1"/>
  <c r="H121" i="3"/>
  <c r="M121" i="3"/>
  <c r="N121" i="3" s="1"/>
  <c r="L121" i="3"/>
  <c r="Q121" i="3"/>
  <c r="R121" i="3" s="1"/>
  <c r="P121" i="3"/>
  <c r="U121" i="3"/>
  <c r="V121" i="3" s="1"/>
  <c r="T121" i="3"/>
  <c r="Y121" i="3"/>
  <c r="Z121" i="3" s="1"/>
  <c r="X121" i="3"/>
  <c r="AC121" i="3"/>
  <c r="AD121" i="3" s="1"/>
  <c r="AB121" i="3"/>
  <c r="AG121" i="3"/>
  <c r="AH121" i="3" s="1"/>
  <c r="AF121" i="3"/>
  <c r="B123" i="3"/>
  <c r="AE122" i="3"/>
  <c r="AA122" i="3"/>
  <c r="W122" i="3"/>
  <c r="S122" i="3"/>
  <c r="O122" i="3"/>
  <c r="K122" i="3"/>
  <c r="G122" i="3"/>
  <c r="C122" i="3"/>
  <c r="E122" i="3" l="1"/>
  <c r="F122" i="3" s="1"/>
  <c r="D122" i="3"/>
  <c r="I122" i="3"/>
  <c r="J122" i="3" s="1"/>
  <c r="H122" i="3"/>
  <c r="M122" i="3"/>
  <c r="N122" i="3" s="1"/>
  <c r="L122" i="3"/>
  <c r="Q122" i="3"/>
  <c r="R122" i="3" s="1"/>
  <c r="P122" i="3"/>
  <c r="U122" i="3"/>
  <c r="V122" i="3" s="1"/>
  <c r="T122" i="3"/>
  <c r="Y122" i="3"/>
  <c r="Z122" i="3" s="1"/>
  <c r="X122" i="3"/>
  <c r="AC122" i="3"/>
  <c r="AD122" i="3" s="1"/>
  <c r="AB122" i="3"/>
  <c r="AG122" i="3"/>
  <c r="AH122" i="3" s="1"/>
  <c r="AF122" i="3"/>
  <c r="B124" i="3"/>
  <c r="AE123" i="3"/>
  <c r="AA123" i="3"/>
  <c r="W123" i="3"/>
  <c r="S123" i="3"/>
  <c r="O123" i="3"/>
  <c r="K123" i="3"/>
  <c r="G123" i="3"/>
  <c r="C123" i="3"/>
  <c r="E123" i="3" l="1"/>
  <c r="F123" i="3" s="1"/>
  <c r="D123" i="3"/>
  <c r="I123" i="3"/>
  <c r="J123" i="3" s="1"/>
  <c r="H123" i="3"/>
  <c r="M123" i="3"/>
  <c r="N123" i="3" s="1"/>
  <c r="L123" i="3"/>
  <c r="Q123" i="3"/>
  <c r="R123" i="3" s="1"/>
  <c r="P123" i="3"/>
  <c r="U123" i="3"/>
  <c r="V123" i="3" s="1"/>
  <c r="T123" i="3"/>
  <c r="Y123" i="3"/>
  <c r="Z123" i="3" s="1"/>
  <c r="X123" i="3"/>
  <c r="AC123" i="3"/>
  <c r="AD123" i="3" s="1"/>
  <c r="AB123" i="3"/>
  <c r="AG123" i="3"/>
  <c r="AH123" i="3" s="1"/>
  <c r="AF123" i="3"/>
  <c r="B125" i="3"/>
  <c r="AE124" i="3"/>
  <c r="AA124" i="3"/>
  <c r="W124" i="3"/>
  <c r="S124" i="3"/>
  <c r="O124" i="3"/>
  <c r="K124" i="3"/>
  <c r="G124" i="3"/>
  <c r="C124" i="3"/>
  <c r="E124" i="3" l="1"/>
  <c r="F124" i="3" s="1"/>
  <c r="D124" i="3"/>
  <c r="I124" i="3"/>
  <c r="J124" i="3" s="1"/>
  <c r="H124" i="3"/>
  <c r="M124" i="3"/>
  <c r="N124" i="3" s="1"/>
  <c r="L124" i="3"/>
  <c r="Q124" i="3"/>
  <c r="R124" i="3" s="1"/>
  <c r="P124" i="3"/>
  <c r="U124" i="3"/>
  <c r="V124" i="3" s="1"/>
  <c r="T124" i="3"/>
  <c r="Y124" i="3"/>
  <c r="Z124" i="3" s="1"/>
  <c r="X124" i="3"/>
  <c r="AC124" i="3"/>
  <c r="AD124" i="3" s="1"/>
  <c r="AB124" i="3"/>
  <c r="AG124" i="3"/>
  <c r="AH124" i="3" s="1"/>
  <c r="AF124" i="3"/>
  <c r="B126" i="3"/>
  <c r="AE125" i="3"/>
  <c r="AA125" i="3"/>
  <c r="W125" i="3"/>
  <c r="S125" i="3"/>
  <c r="O125" i="3"/>
  <c r="K125" i="3"/>
  <c r="G125" i="3"/>
  <c r="C125" i="3"/>
  <c r="E125" i="3" l="1"/>
  <c r="F125" i="3" s="1"/>
  <c r="D125" i="3"/>
  <c r="I125" i="3"/>
  <c r="J125" i="3" s="1"/>
  <c r="H125" i="3"/>
  <c r="M125" i="3"/>
  <c r="N125" i="3" s="1"/>
  <c r="L125" i="3"/>
  <c r="Q125" i="3"/>
  <c r="R125" i="3" s="1"/>
  <c r="P125" i="3"/>
  <c r="U125" i="3"/>
  <c r="V125" i="3" s="1"/>
  <c r="T125" i="3"/>
  <c r="Y125" i="3"/>
  <c r="Z125" i="3" s="1"/>
  <c r="X125" i="3"/>
  <c r="AC125" i="3"/>
  <c r="AD125" i="3" s="1"/>
  <c r="AB125" i="3"/>
  <c r="AG125" i="3"/>
  <c r="AH125" i="3" s="1"/>
  <c r="AF125" i="3"/>
  <c r="B127" i="3"/>
  <c r="AE126" i="3"/>
  <c r="AA126" i="3"/>
  <c r="W126" i="3"/>
  <c r="S126" i="3"/>
  <c r="O126" i="3"/>
  <c r="K126" i="3"/>
  <c r="G126" i="3"/>
  <c r="C126" i="3"/>
  <c r="E126" i="3" l="1"/>
  <c r="F126" i="3" s="1"/>
  <c r="D126" i="3"/>
  <c r="I126" i="3"/>
  <c r="J126" i="3" s="1"/>
  <c r="H126" i="3"/>
  <c r="M126" i="3"/>
  <c r="N126" i="3" s="1"/>
  <c r="L126" i="3"/>
  <c r="Q126" i="3"/>
  <c r="R126" i="3" s="1"/>
  <c r="P126" i="3"/>
  <c r="U126" i="3"/>
  <c r="V126" i="3" s="1"/>
  <c r="T126" i="3"/>
  <c r="Y126" i="3"/>
  <c r="Z126" i="3" s="1"/>
  <c r="X126" i="3"/>
  <c r="AC126" i="3"/>
  <c r="AD126" i="3" s="1"/>
  <c r="AB126" i="3"/>
  <c r="AG126" i="3"/>
  <c r="AH126" i="3" s="1"/>
  <c r="AF126" i="3"/>
  <c r="B128" i="3"/>
  <c r="AE127" i="3"/>
  <c r="AA127" i="3"/>
  <c r="W127" i="3"/>
  <c r="S127" i="3"/>
  <c r="O127" i="3"/>
  <c r="K127" i="3"/>
  <c r="G127" i="3"/>
  <c r="C127" i="3"/>
  <c r="E127" i="3" l="1"/>
  <c r="F127" i="3" s="1"/>
  <c r="D127" i="3"/>
  <c r="I127" i="3"/>
  <c r="J127" i="3" s="1"/>
  <c r="H127" i="3"/>
  <c r="M127" i="3"/>
  <c r="N127" i="3" s="1"/>
  <c r="L127" i="3"/>
  <c r="Q127" i="3"/>
  <c r="R127" i="3" s="1"/>
  <c r="P127" i="3"/>
  <c r="U127" i="3"/>
  <c r="V127" i="3" s="1"/>
  <c r="T127" i="3"/>
  <c r="Y127" i="3"/>
  <c r="Z127" i="3" s="1"/>
  <c r="X127" i="3"/>
  <c r="AC127" i="3"/>
  <c r="AD127" i="3" s="1"/>
  <c r="AB127" i="3"/>
  <c r="AG127" i="3"/>
  <c r="AH127" i="3" s="1"/>
  <c r="AF127" i="3"/>
  <c r="B129" i="3"/>
  <c r="AE128" i="3"/>
  <c r="AA128" i="3"/>
  <c r="W128" i="3"/>
  <c r="S128" i="3"/>
  <c r="O128" i="3"/>
  <c r="K128" i="3"/>
  <c r="G128" i="3"/>
  <c r="C128" i="3"/>
  <c r="E128" i="3" l="1"/>
  <c r="F128" i="3" s="1"/>
  <c r="D128" i="3"/>
  <c r="I128" i="3"/>
  <c r="J128" i="3" s="1"/>
  <c r="H128" i="3"/>
  <c r="M128" i="3"/>
  <c r="N128" i="3" s="1"/>
  <c r="L128" i="3"/>
  <c r="Q128" i="3"/>
  <c r="R128" i="3" s="1"/>
  <c r="P128" i="3"/>
  <c r="U128" i="3"/>
  <c r="V128" i="3" s="1"/>
  <c r="T128" i="3"/>
  <c r="Y128" i="3"/>
  <c r="Z128" i="3" s="1"/>
  <c r="X128" i="3"/>
  <c r="AC128" i="3"/>
  <c r="AD128" i="3" s="1"/>
  <c r="AB128" i="3"/>
  <c r="AG128" i="3"/>
  <c r="AH128" i="3" s="1"/>
  <c r="AF128" i="3"/>
  <c r="B130" i="3"/>
  <c r="AE129" i="3"/>
  <c r="AA129" i="3"/>
  <c r="W129" i="3"/>
  <c r="S129" i="3"/>
  <c r="O129" i="3"/>
  <c r="K129" i="3"/>
  <c r="G129" i="3"/>
  <c r="C129" i="3"/>
  <c r="E129" i="3" l="1"/>
  <c r="F129" i="3" s="1"/>
  <c r="D129" i="3"/>
  <c r="I129" i="3"/>
  <c r="J129" i="3" s="1"/>
  <c r="H129" i="3"/>
  <c r="M129" i="3"/>
  <c r="N129" i="3" s="1"/>
  <c r="L129" i="3"/>
  <c r="Q129" i="3"/>
  <c r="R129" i="3" s="1"/>
  <c r="P129" i="3"/>
  <c r="U129" i="3"/>
  <c r="V129" i="3" s="1"/>
  <c r="T129" i="3"/>
  <c r="Y129" i="3"/>
  <c r="Z129" i="3" s="1"/>
  <c r="X129" i="3"/>
  <c r="AC129" i="3"/>
  <c r="AD129" i="3" s="1"/>
  <c r="AB129" i="3"/>
  <c r="AG129" i="3"/>
  <c r="AH129" i="3" s="1"/>
  <c r="AF129" i="3"/>
  <c r="B131" i="3"/>
  <c r="AE130" i="3"/>
  <c r="AA130" i="3"/>
  <c r="W130" i="3"/>
  <c r="S130" i="3"/>
  <c r="O130" i="3"/>
  <c r="K130" i="3"/>
  <c r="G130" i="3"/>
  <c r="C130" i="3"/>
  <c r="E130" i="3" l="1"/>
  <c r="F130" i="3" s="1"/>
  <c r="D130" i="3"/>
  <c r="I130" i="3"/>
  <c r="J130" i="3" s="1"/>
  <c r="H130" i="3"/>
  <c r="M130" i="3"/>
  <c r="N130" i="3" s="1"/>
  <c r="L130" i="3"/>
  <c r="Q130" i="3"/>
  <c r="R130" i="3" s="1"/>
  <c r="P130" i="3"/>
  <c r="U130" i="3"/>
  <c r="V130" i="3" s="1"/>
  <c r="T130" i="3"/>
  <c r="Y130" i="3"/>
  <c r="Z130" i="3" s="1"/>
  <c r="X130" i="3"/>
  <c r="AC130" i="3"/>
  <c r="AD130" i="3" s="1"/>
  <c r="AB130" i="3"/>
  <c r="AG130" i="3"/>
  <c r="AH130" i="3" s="1"/>
  <c r="AF130" i="3"/>
  <c r="B132" i="3"/>
  <c r="AE131" i="3"/>
  <c r="AA131" i="3"/>
  <c r="W131" i="3"/>
  <c r="S131" i="3"/>
  <c r="O131" i="3"/>
  <c r="K131" i="3"/>
  <c r="G131" i="3"/>
  <c r="C131" i="3"/>
  <c r="E131" i="3" l="1"/>
  <c r="F131" i="3" s="1"/>
  <c r="D131" i="3"/>
  <c r="I131" i="3"/>
  <c r="J131" i="3" s="1"/>
  <c r="H131" i="3"/>
  <c r="M131" i="3"/>
  <c r="N131" i="3" s="1"/>
  <c r="L131" i="3"/>
  <c r="Q131" i="3"/>
  <c r="R131" i="3" s="1"/>
  <c r="P131" i="3"/>
  <c r="U131" i="3"/>
  <c r="V131" i="3" s="1"/>
  <c r="T131" i="3"/>
  <c r="Y131" i="3"/>
  <c r="Z131" i="3" s="1"/>
  <c r="X131" i="3"/>
  <c r="AC131" i="3"/>
  <c r="AD131" i="3" s="1"/>
  <c r="AB131" i="3"/>
  <c r="AG131" i="3"/>
  <c r="AH131" i="3" s="1"/>
  <c r="AF131" i="3"/>
  <c r="B133" i="3"/>
  <c r="AE132" i="3"/>
  <c r="AA132" i="3"/>
  <c r="W132" i="3"/>
  <c r="S132" i="3"/>
  <c r="O132" i="3"/>
  <c r="K132" i="3"/>
  <c r="G132" i="3"/>
  <c r="C132" i="3"/>
  <c r="E132" i="3" l="1"/>
  <c r="F132" i="3" s="1"/>
  <c r="D132" i="3"/>
  <c r="I132" i="3"/>
  <c r="J132" i="3" s="1"/>
  <c r="H132" i="3"/>
  <c r="M132" i="3"/>
  <c r="N132" i="3" s="1"/>
  <c r="L132" i="3"/>
  <c r="Q132" i="3"/>
  <c r="R132" i="3" s="1"/>
  <c r="P132" i="3"/>
  <c r="U132" i="3"/>
  <c r="V132" i="3" s="1"/>
  <c r="T132" i="3"/>
  <c r="Y132" i="3"/>
  <c r="Z132" i="3" s="1"/>
  <c r="X132" i="3"/>
  <c r="AC132" i="3"/>
  <c r="AD132" i="3" s="1"/>
  <c r="AB132" i="3"/>
  <c r="AG132" i="3"/>
  <c r="AH132" i="3" s="1"/>
  <c r="AF132" i="3"/>
  <c r="B134" i="3"/>
  <c r="AE133" i="3"/>
  <c r="AA133" i="3"/>
  <c r="W133" i="3"/>
  <c r="S133" i="3"/>
  <c r="O133" i="3"/>
  <c r="K133" i="3"/>
  <c r="G133" i="3"/>
  <c r="C133" i="3"/>
  <c r="E133" i="3" l="1"/>
  <c r="F133" i="3" s="1"/>
  <c r="D133" i="3"/>
  <c r="I133" i="3"/>
  <c r="J133" i="3" s="1"/>
  <c r="H133" i="3"/>
  <c r="M133" i="3"/>
  <c r="N133" i="3" s="1"/>
  <c r="L133" i="3"/>
  <c r="Q133" i="3"/>
  <c r="R133" i="3" s="1"/>
  <c r="P133" i="3"/>
  <c r="U133" i="3"/>
  <c r="V133" i="3" s="1"/>
  <c r="T133" i="3"/>
  <c r="Y133" i="3"/>
  <c r="Z133" i="3" s="1"/>
  <c r="X133" i="3"/>
  <c r="AC133" i="3"/>
  <c r="AD133" i="3" s="1"/>
  <c r="AB133" i="3"/>
  <c r="AG133" i="3"/>
  <c r="AH133" i="3" s="1"/>
  <c r="AF133" i="3"/>
  <c r="B135" i="3"/>
  <c r="AE134" i="3"/>
  <c r="AA134" i="3"/>
  <c r="W134" i="3"/>
  <c r="S134" i="3"/>
  <c r="O134" i="3"/>
  <c r="K134" i="3"/>
  <c r="G134" i="3"/>
  <c r="C134" i="3"/>
  <c r="E134" i="3" l="1"/>
  <c r="F134" i="3" s="1"/>
  <c r="D134" i="3"/>
  <c r="I134" i="3"/>
  <c r="J134" i="3" s="1"/>
  <c r="H134" i="3"/>
  <c r="M134" i="3"/>
  <c r="N134" i="3" s="1"/>
  <c r="L134" i="3"/>
  <c r="Q134" i="3"/>
  <c r="R134" i="3" s="1"/>
  <c r="P134" i="3"/>
  <c r="U134" i="3"/>
  <c r="V134" i="3" s="1"/>
  <c r="T134" i="3"/>
  <c r="Y134" i="3"/>
  <c r="Z134" i="3" s="1"/>
  <c r="X134" i="3"/>
  <c r="AC134" i="3"/>
  <c r="AD134" i="3" s="1"/>
  <c r="AB134" i="3"/>
  <c r="AG134" i="3"/>
  <c r="AH134" i="3" s="1"/>
  <c r="AF134" i="3"/>
  <c r="B136" i="3"/>
  <c r="AE135" i="3"/>
  <c r="AA135" i="3"/>
  <c r="W135" i="3"/>
  <c r="S135" i="3"/>
  <c r="O135" i="3"/>
  <c r="K135" i="3"/>
  <c r="G135" i="3"/>
  <c r="C135" i="3"/>
  <c r="E135" i="3" l="1"/>
  <c r="F135" i="3" s="1"/>
  <c r="D135" i="3"/>
  <c r="I135" i="3"/>
  <c r="J135" i="3" s="1"/>
  <c r="H135" i="3"/>
  <c r="M135" i="3"/>
  <c r="N135" i="3" s="1"/>
  <c r="L135" i="3"/>
  <c r="Q135" i="3"/>
  <c r="R135" i="3" s="1"/>
  <c r="P135" i="3"/>
  <c r="U135" i="3"/>
  <c r="V135" i="3" s="1"/>
  <c r="T135" i="3"/>
  <c r="Y135" i="3"/>
  <c r="Z135" i="3" s="1"/>
  <c r="X135" i="3"/>
  <c r="AC135" i="3"/>
  <c r="AD135" i="3" s="1"/>
  <c r="AB135" i="3"/>
  <c r="AG135" i="3"/>
  <c r="AH135" i="3" s="1"/>
  <c r="AF135" i="3"/>
  <c r="B137" i="3"/>
  <c r="AE136" i="3"/>
  <c r="AA136" i="3"/>
  <c r="W136" i="3"/>
  <c r="S136" i="3"/>
  <c r="O136" i="3"/>
  <c r="K136" i="3"/>
  <c r="G136" i="3"/>
  <c r="C136" i="3"/>
  <c r="E136" i="3" l="1"/>
  <c r="F136" i="3" s="1"/>
  <c r="D136" i="3"/>
  <c r="I136" i="3"/>
  <c r="J136" i="3" s="1"/>
  <c r="H136" i="3"/>
  <c r="M136" i="3"/>
  <c r="N136" i="3" s="1"/>
  <c r="L136" i="3"/>
  <c r="Q136" i="3"/>
  <c r="R136" i="3" s="1"/>
  <c r="P136" i="3"/>
  <c r="U136" i="3"/>
  <c r="V136" i="3" s="1"/>
  <c r="T136" i="3"/>
  <c r="Y136" i="3"/>
  <c r="Z136" i="3" s="1"/>
  <c r="X136" i="3"/>
  <c r="AC136" i="3"/>
  <c r="AD136" i="3" s="1"/>
  <c r="AB136" i="3"/>
  <c r="AG136" i="3"/>
  <c r="AH136" i="3" s="1"/>
  <c r="AF136" i="3"/>
  <c r="B138" i="3"/>
  <c r="AE137" i="3"/>
  <c r="AA137" i="3"/>
  <c r="W137" i="3"/>
  <c r="S137" i="3"/>
  <c r="O137" i="3"/>
  <c r="K137" i="3"/>
  <c r="G137" i="3"/>
  <c r="C137" i="3"/>
  <c r="E137" i="3" l="1"/>
  <c r="F137" i="3" s="1"/>
  <c r="D137" i="3"/>
  <c r="I137" i="3"/>
  <c r="J137" i="3" s="1"/>
  <c r="H137" i="3"/>
  <c r="M137" i="3"/>
  <c r="N137" i="3" s="1"/>
  <c r="L137" i="3"/>
  <c r="Q137" i="3"/>
  <c r="R137" i="3" s="1"/>
  <c r="P137" i="3"/>
  <c r="U137" i="3"/>
  <c r="V137" i="3" s="1"/>
  <c r="T137" i="3"/>
  <c r="Y137" i="3"/>
  <c r="Z137" i="3" s="1"/>
  <c r="X137" i="3"/>
  <c r="AC137" i="3"/>
  <c r="AD137" i="3" s="1"/>
  <c r="AB137" i="3"/>
  <c r="AG137" i="3"/>
  <c r="AH137" i="3" s="1"/>
  <c r="AF137" i="3"/>
  <c r="B139" i="3"/>
  <c r="AE138" i="3"/>
  <c r="AA138" i="3"/>
  <c r="W138" i="3"/>
  <c r="S138" i="3"/>
  <c r="O138" i="3"/>
  <c r="K138" i="3"/>
  <c r="G138" i="3"/>
  <c r="C138" i="3"/>
  <c r="E138" i="3" l="1"/>
  <c r="F138" i="3" s="1"/>
  <c r="D138" i="3"/>
  <c r="I138" i="3"/>
  <c r="J138" i="3" s="1"/>
  <c r="H138" i="3"/>
  <c r="M138" i="3"/>
  <c r="N138" i="3" s="1"/>
  <c r="L138" i="3"/>
  <c r="Q138" i="3"/>
  <c r="R138" i="3" s="1"/>
  <c r="P138" i="3"/>
  <c r="U138" i="3"/>
  <c r="V138" i="3" s="1"/>
  <c r="T138" i="3"/>
  <c r="Y138" i="3"/>
  <c r="Z138" i="3" s="1"/>
  <c r="X138" i="3"/>
  <c r="AC138" i="3"/>
  <c r="AD138" i="3" s="1"/>
  <c r="AB138" i="3"/>
  <c r="AG138" i="3"/>
  <c r="AH138" i="3" s="1"/>
  <c r="AF138" i="3"/>
  <c r="B140" i="3"/>
  <c r="AE139" i="3"/>
  <c r="AA139" i="3"/>
  <c r="W139" i="3"/>
  <c r="S139" i="3"/>
  <c r="O139" i="3"/>
  <c r="K139" i="3"/>
  <c r="G139" i="3"/>
  <c r="C139" i="3"/>
  <c r="E139" i="3" l="1"/>
  <c r="F139" i="3" s="1"/>
  <c r="D139" i="3"/>
  <c r="I139" i="3"/>
  <c r="J139" i="3" s="1"/>
  <c r="H139" i="3"/>
  <c r="M139" i="3"/>
  <c r="N139" i="3" s="1"/>
  <c r="L139" i="3"/>
  <c r="Q139" i="3"/>
  <c r="R139" i="3" s="1"/>
  <c r="P139" i="3"/>
  <c r="U139" i="3"/>
  <c r="V139" i="3" s="1"/>
  <c r="T139" i="3"/>
  <c r="Y139" i="3"/>
  <c r="Z139" i="3" s="1"/>
  <c r="X139" i="3"/>
  <c r="AC139" i="3"/>
  <c r="AD139" i="3" s="1"/>
  <c r="AB139" i="3"/>
  <c r="AG139" i="3"/>
  <c r="AH139" i="3" s="1"/>
  <c r="AF139" i="3"/>
  <c r="B141" i="3"/>
  <c r="AE140" i="3"/>
  <c r="AA140" i="3"/>
  <c r="W140" i="3"/>
  <c r="S140" i="3"/>
  <c r="O140" i="3"/>
  <c r="K140" i="3"/>
  <c r="G140" i="3"/>
  <c r="C140" i="3"/>
  <c r="E140" i="3" l="1"/>
  <c r="F140" i="3" s="1"/>
  <c r="D140" i="3"/>
  <c r="I140" i="3"/>
  <c r="J140" i="3" s="1"/>
  <c r="H140" i="3"/>
  <c r="M140" i="3"/>
  <c r="N140" i="3" s="1"/>
  <c r="L140" i="3"/>
  <c r="Q140" i="3"/>
  <c r="R140" i="3" s="1"/>
  <c r="P140" i="3"/>
  <c r="U140" i="3"/>
  <c r="V140" i="3" s="1"/>
  <c r="T140" i="3"/>
  <c r="Y140" i="3"/>
  <c r="Z140" i="3" s="1"/>
  <c r="X140" i="3"/>
  <c r="AC140" i="3"/>
  <c r="AD140" i="3" s="1"/>
  <c r="AB140" i="3"/>
  <c r="AG140" i="3"/>
  <c r="AH140" i="3" s="1"/>
  <c r="AF140" i="3"/>
  <c r="B142" i="3"/>
  <c r="AE141" i="3"/>
  <c r="AA141" i="3"/>
  <c r="W141" i="3"/>
  <c r="S141" i="3"/>
  <c r="O141" i="3"/>
  <c r="K141" i="3"/>
  <c r="G141" i="3"/>
  <c r="C141" i="3"/>
  <c r="E141" i="3" l="1"/>
  <c r="F141" i="3" s="1"/>
  <c r="D141" i="3"/>
  <c r="I141" i="3"/>
  <c r="J141" i="3" s="1"/>
  <c r="H141" i="3"/>
  <c r="M141" i="3"/>
  <c r="N141" i="3" s="1"/>
  <c r="L141" i="3"/>
  <c r="Q141" i="3"/>
  <c r="R141" i="3" s="1"/>
  <c r="P141" i="3"/>
  <c r="U141" i="3"/>
  <c r="V141" i="3" s="1"/>
  <c r="T141" i="3"/>
  <c r="Y141" i="3"/>
  <c r="Z141" i="3" s="1"/>
  <c r="X141" i="3"/>
  <c r="AC141" i="3"/>
  <c r="AD141" i="3" s="1"/>
  <c r="AB141" i="3"/>
  <c r="AG141" i="3"/>
  <c r="AH141" i="3" s="1"/>
  <c r="AF141" i="3"/>
  <c r="B143" i="3"/>
  <c r="AE142" i="3"/>
  <c r="AA142" i="3"/>
  <c r="W142" i="3"/>
  <c r="S142" i="3"/>
  <c r="O142" i="3"/>
  <c r="K142" i="3"/>
  <c r="G142" i="3"/>
  <c r="C142" i="3"/>
  <c r="E142" i="3" l="1"/>
  <c r="F142" i="3" s="1"/>
  <c r="D142" i="3"/>
  <c r="I142" i="3"/>
  <c r="J142" i="3" s="1"/>
  <c r="H142" i="3"/>
  <c r="M142" i="3"/>
  <c r="N142" i="3" s="1"/>
  <c r="L142" i="3"/>
  <c r="Q142" i="3"/>
  <c r="R142" i="3" s="1"/>
  <c r="P142" i="3"/>
  <c r="U142" i="3"/>
  <c r="V142" i="3" s="1"/>
  <c r="T142" i="3"/>
  <c r="Y142" i="3"/>
  <c r="Z142" i="3" s="1"/>
  <c r="X142" i="3"/>
  <c r="AC142" i="3"/>
  <c r="AD142" i="3" s="1"/>
  <c r="AB142" i="3"/>
  <c r="AG142" i="3"/>
  <c r="AH142" i="3" s="1"/>
  <c r="AF142" i="3"/>
  <c r="B144" i="3"/>
  <c r="AE143" i="3"/>
  <c r="AA143" i="3"/>
  <c r="W143" i="3"/>
  <c r="S143" i="3"/>
  <c r="O143" i="3"/>
  <c r="K143" i="3"/>
  <c r="G143" i="3"/>
  <c r="C143" i="3"/>
  <c r="E143" i="3" l="1"/>
  <c r="F143" i="3" s="1"/>
  <c r="D143" i="3"/>
  <c r="I143" i="3"/>
  <c r="J143" i="3" s="1"/>
  <c r="H143" i="3"/>
  <c r="M143" i="3"/>
  <c r="N143" i="3" s="1"/>
  <c r="L143" i="3"/>
  <c r="Q143" i="3"/>
  <c r="R143" i="3" s="1"/>
  <c r="P143" i="3"/>
  <c r="U143" i="3"/>
  <c r="V143" i="3" s="1"/>
  <c r="T143" i="3"/>
  <c r="Y143" i="3"/>
  <c r="Z143" i="3" s="1"/>
  <c r="X143" i="3"/>
  <c r="AC143" i="3"/>
  <c r="AD143" i="3" s="1"/>
  <c r="AB143" i="3"/>
  <c r="AG143" i="3"/>
  <c r="AH143" i="3" s="1"/>
  <c r="AF143" i="3"/>
  <c r="B145" i="3"/>
  <c r="AE144" i="3"/>
  <c r="AA144" i="3"/>
  <c r="W144" i="3"/>
  <c r="S144" i="3"/>
  <c r="O144" i="3"/>
  <c r="K144" i="3"/>
  <c r="G144" i="3"/>
  <c r="C144" i="3"/>
  <c r="E144" i="3" l="1"/>
  <c r="F144" i="3" s="1"/>
  <c r="D144" i="3"/>
  <c r="I144" i="3"/>
  <c r="J144" i="3" s="1"/>
  <c r="H144" i="3"/>
  <c r="M144" i="3"/>
  <c r="N144" i="3" s="1"/>
  <c r="L144" i="3"/>
  <c r="Q144" i="3"/>
  <c r="R144" i="3" s="1"/>
  <c r="P144" i="3"/>
  <c r="U144" i="3"/>
  <c r="V144" i="3" s="1"/>
  <c r="T144" i="3"/>
  <c r="Y144" i="3"/>
  <c r="Z144" i="3" s="1"/>
  <c r="X144" i="3"/>
  <c r="AC144" i="3"/>
  <c r="AD144" i="3" s="1"/>
  <c r="AB144" i="3"/>
  <c r="AG144" i="3"/>
  <c r="AH144" i="3" s="1"/>
  <c r="AF144" i="3"/>
  <c r="B146" i="3"/>
  <c r="AE145" i="3"/>
  <c r="AA145" i="3"/>
  <c r="W145" i="3"/>
  <c r="S145" i="3"/>
  <c r="O145" i="3"/>
  <c r="K145" i="3"/>
  <c r="G145" i="3"/>
  <c r="C145" i="3"/>
  <c r="E145" i="3" l="1"/>
  <c r="F145" i="3" s="1"/>
  <c r="D145" i="3"/>
  <c r="I145" i="3"/>
  <c r="J145" i="3" s="1"/>
  <c r="H145" i="3"/>
  <c r="M145" i="3"/>
  <c r="N145" i="3" s="1"/>
  <c r="L145" i="3"/>
  <c r="Q145" i="3"/>
  <c r="R145" i="3" s="1"/>
  <c r="P145" i="3"/>
  <c r="U145" i="3"/>
  <c r="V145" i="3" s="1"/>
  <c r="T145" i="3"/>
  <c r="Y145" i="3"/>
  <c r="Z145" i="3" s="1"/>
  <c r="X145" i="3"/>
  <c r="AC145" i="3"/>
  <c r="AD145" i="3" s="1"/>
  <c r="AB145" i="3"/>
  <c r="AG145" i="3"/>
  <c r="AH145" i="3" s="1"/>
  <c r="AF145" i="3"/>
  <c r="B147" i="3"/>
  <c r="AE146" i="3"/>
  <c r="AA146" i="3"/>
  <c r="W146" i="3"/>
  <c r="S146" i="3"/>
  <c r="O146" i="3"/>
  <c r="K146" i="3"/>
  <c r="G146" i="3"/>
  <c r="C146" i="3"/>
  <c r="E146" i="3" l="1"/>
  <c r="F146" i="3" s="1"/>
  <c r="D146" i="3"/>
  <c r="I146" i="3"/>
  <c r="J146" i="3" s="1"/>
  <c r="H146" i="3"/>
  <c r="M146" i="3"/>
  <c r="N146" i="3" s="1"/>
  <c r="L146" i="3"/>
  <c r="Q146" i="3"/>
  <c r="R146" i="3" s="1"/>
  <c r="P146" i="3"/>
  <c r="U146" i="3"/>
  <c r="V146" i="3" s="1"/>
  <c r="T146" i="3"/>
  <c r="Y146" i="3"/>
  <c r="Z146" i="3" s="1"/>
  <c r="X146" i="3"/>
  <c r="AC146" i="3"/>
  <c r="AD146" i="3" s="1"/>
  <c r="AB146" i="3"/>
  <c r="AG146" i="3"/>
  <c r="AH146" i="3" s="1"/>
  <c r="AF146" i="3"/>
  <c r="B148" i="3"/>
  <c r="AE147" i="3"/>
  <c r="AA147" i="3"/>
  <c r="W147" i="3"/>
  <c r="S147" i="3"/>
  <c r="O147" i="3"/>
  <c r="K147" i="3"/>
  <c r="G147" i="3"/>
  <c r="C147" i="3"/>
  <c r="E147" i="3" l="1"/>
  <c r="F147" i="3" s="1"/>
  <c r="D147" i="3"/>
  <c r="I147" i="3"/>
  <c r="J147" i="3" s="1"/>
  <c r="H147" i="3"/>
  <c r="M147" i="3"/>
  <c r="N147" i="3" s="1"/>
  <c r="L147" i="3"/>
  <c r="Q147" i="3"/>
  <c r="R147" i="3" s="1"/>
  <c r="P147" i="3"/>
  <c r="U147" i="3"/>
  <c r="V147" i="3" s="1"/>
  <c r="T147" i="3"/>
  <c r="Y147" i="3"/>
  <c r="Z147" i="3" s="1"/>
  <c r="X147" i="3"/>
  <c r="AC147" i="3"/>
  <c r="AD147" i="3" s="1"/>
  <c r="AB147" i="3"/>
  <c r="AG147" i="3"/>
  <c r="AH147" i="3" s="1"/>
  <c r="AF147" i="3"/>
  <c r="B149" i="3"/>
  <c r="AE148" i="3"/>
  <c r="AA148" i="3"/>
  <c r="W148" i="3"/>
  <c r="S148" i="3"/>
  <c r="O148" i="3"/>
  <c r="K148" i="3"/>
  <c r="G148" i="3"/>
  <c r="C148" i="3"/>
  <c r="E148" i="3" l="1"/>
  <c r="F148" i="3" s="1"/>
  <c r="D148" i="3"/>
  <c r="I148" i="3"/>
  <c r="J148" i="3" s="1"/>
  <c r="H148" i="3"/>
  <c r="M148" i="3"/>
  <c r="N148" i="3" s="1"/>
  <c r="L148" i="3"/>
  <c r="Q148" i="3"/>
  <c r="R148" i="3" s="1"/>
  <c r="P148" i="3"/>
  <c r="U148" i="3"/>
  <c r="V148" i="3" s="1"/>
  <c r="T148" i="3"/>
  <c r="Y148" i="3"/>
  <c r="Z148" i="3" s="1"/>
  <c r="X148" i="3"/>
  <c r="AC148" i="3"/>
  <c r="AD148" i="3" s="1"/>
  <c r="AB148" i="3"/>
  <c r="AG148" i="3"/>
  <c r="AH148" i="3" s="1"/>
  <c r="AF148" i="3"/>
  <c r="B150" i="3"/>
  <c r="AE149" i="3"/>
  <c r="AA149" i="3"/>
  <c r="W149" i="3"/>
  <c r="S149" i="3"/>
  <c r="O149" i="3"/>
  <c r="K149" i="3"/>
  <c r="G149" i="3"/>
  <c r="C149" i="3"/>
  <c r="E149" i="3" l="1"/>
  <c r="F149" i="3" s="1"/>
  <c r="D149" i="3"/>
  <c r="I149" i="3"/>
  <c r="J149" i="3" s="1"/>
  <c r="H149" i="3"/>
  <c r="M149" i="3"/>
  <c r="N149" i="3" s="1"/>
  <c r="L149" i="3"/>
  <c r="Q149" i="3"/>
  <c r="R149" i="3" s="1"/>
  <c r="P149" i="3"/>
  <c r="U149" i="3"/>
  <c r="V149" i="3" s="1"/>
  <c r="T149" i="3"/>
  <c r="Y149" i="3"/>
  <c r="Z149" i="3" s="1"/>
  <c r="X149" i="3"/>
  <c r="AC149" i="3"/>
  <c r="AD149" i="3" s="1"/>
  <c r="AB149" i="3"/>
  <c r="AG149" i="3"/>
  <c r="AH149" i="3" s="1"/>
  <c r="AF149" i="3"/>
  <c r="B151" i="3"/>
  <c r="AE150" i="3"/>
  <c r="AA150" i="3"/>
  <c r="W150" i="3"/>
  <c r="S150" i="3"/>
  <c r="O150" i="3"/>
  <c r="K150" i="3"/>
  <c r="G150" i="3"/>
  <c r="C150" i="3"/>
  <c r="E150" i="3" l="1"/>
  <c r="F150" i="3" s="1"/>
  <c r="D150" i="3"/>
  <c r="I150" i="3"/>
  <c r="J150" i="3" s="1"/>
  <c r="H150" i="3"/>
  <c r="M150" i="3"/>
  <c r="N150" i="3" s="1"/>
  <c r="L150" i="3"/>
  <c r="Q150" i="3"/>
  <c r="R150" i="3" s="1"/>
  <c r="P150" i="3"/>
  <c r="U150" i="3"/>
  <c r="V150" i="3" s="1"/>
  <c r="T150" i="3"/>
  <c r="Y150" i="3"/>
  <c r="Z150" i="3" s="1"/>
  <c r="X150" i="3"/>
  <c r="AC150" i="3"/>
  <c r="AD150" i="3" s="1"/>
  <c r="AB150" i="3"/>
  <c r="AG150" i="3"/>
  <c r="AH150" i="3" s="1"/>
  <c r="AF150" i="3"/>
  <c r="B152" i="3"/>
  <c r="AE151" i="3"/>
  <c r="AA151" i="3"/>
  <c r="W151" i="3"/>
  <c r="S151" i="3"/>
  <c r="O151" i="3"/>
  <c r="K151" i="3"/>
  <c r="G151" i="3"/>
  <c r="C151" i="3"/>
  <c r="E151" i="3" l="1"/>
  <c r="F151" i="3" s="1"/>
  <c r="D151" i="3"/>
  <c r="I151" i="3"/>
  <c r="J151" i="3" s="1"/>
  <c r="H151" i="3"/>
  <c r="M151" i="3"/>
  <c r="N151" i="3" s="1"/>
  <c r="L151" i="3"/>
  <c r="Q151" i="3"/>
  <c r="R151" i="3" s="1"/>
  <c r="P151" i="3"/>
  <c r="U151" i="3"/>
  <c r="V151" i="3" s="1"/>
  <c r="T151" i="3"/>
  <c r="Y151" i="3"/>
  <c r="Z151" i="3" s="1"/>
  <c r="X151" i="3"/>
  <c r="AC151" i="3"/>
  <c r="AD151" i="3" s="1"/>
  <c r="AB151" i="3"/>
  <c r="AG151" i="3"/>
  <c r="AH151" i="3" s="1"/>
  <c r="AF151" i="3"/>
  <c r="B153" i="3"/>
  <c r="AE152" i="3"/>
  <c r="AA152" i="3"/>
  <c r="W152" i="3"/>
  <c r="S152" i="3"/>
  <c r="O152" i="3"/>
  <c r="K152" i="3"/>
  <c r="G152" i="3"/>
  <c r="C152" i="3"/>
  <c r="E152" i="3" l="1"/>
  <c r="F152" i="3" s="1"/>
  <c r="D152" i="3"/>
  <c r="I152" i="3"/>
  <c r="J152" i="3" s="1"/>
  <c r="H152" i="3"/>
  <c r="M152" i="3"/>
  <c r="N152" i="3" s="1"/>
  <c r="L152" i="3"/>
  <c r="Q152" i="3"/>
  <c r="R152" i="3" s="1"/>
  <c r="P152" i="3"/>
  <c r="U152" i="3"/>
  <c r="V152" i="3" s="1"/>
  <c r="T152" i="3"/>
  <c r="Y152" i="3"/>
  <c r="Z152" i="3" s="1"/>
  <c r="X152" i="3"/>
  <c r="AC152" i="3"/>
  <c r="AD152" i="3" s="1"/>
  <c r="AB152" i="3"/>
  <c r="AG152" i="3"/>
  <c r="AH152" i="3" s="1"/>
  <c r="AF152" i="3"/>
  <c r="B154" i="3"/>
  <c r="AE153" i="3"/>
  <c r="AA153" i="3"/>
  <c r="W153" i="3"/>
  <c r="S153" i="3"/>
  <c r="O153" i="3"/>
  <c r="K153" i="3"/>
  <c r="G153" i="3"/>
  <c r="C153" i="3"/>
  <c r="E153" i="3" l="1"/>
  <c r="F153" i="3" s="1"/>
  <c r="D153" i="3"/>
  <c r="I153" i="3"/>
  <c r="J153" i="3" s="1"/>
  <c r="H153" i="3"/>
  <c r="M153" i="3"/>
  <c r="N153" i="3" s="1"/>
  <c r="L153" i="3"/>
  <c r="Q153" i="3"/>
  <c r="R153" i="3" s="1"/>
  <c r="P153" i="3"/>
  <c r="U153" i="3"/>
  <c r="V153" i="3" s="1"/>
  <c r="T153" i="3"/>
  <c r="Y153" i="3"/>
  <c r="Z153" i="3" s="1"/>
  <c r="X153" i="3"/>
  <c r="AC153" i="3"/>
  <c r="AD153" i="3" s="1"/>
  <c r="AB153" i="3"/>
  <c r="AG153" i="3"/>
  <c r="AH153" i="3" s="1"/>
  <c r="AF153" i="3"/>
  <c r="B155" i="3"/>
  <c r="AE154" i="3"/>
  <c r="AA154" i="3"/>
  <c r="W154" i="3"/>
  <c r="S154" i="3"/>
  <c r="O154" i="3"/>
  <c r="K154" i="3"/>
  <c r="G154" i="3"/>
  <c r="C154" i="3"/>
  <c r="E154" i="3" l="1"/>
  <c r="F154" i="3" s="1"/>
  <c r="D154" i="3"/>
  <c r="I154" i="3"/>
  <c r="J154" i="3" s="1"/>
  <c r="H154" i="3"/>
  <c r="M154" i="3"/>
  <c r="N154" i="3" s="1"/>
  <c r="L154" i="3"/>
  <c r="Q154" i="3"/>
  <c r="R154" i="3" s="1"/>
  <c r="P154" i="3"/>
  <c r="U154" i="3"/>
  <c r="V154" i="3" s="1"/>
  <c r="T154" i="3"/>
  <c r="Y154" i="3"/>
  <c r="Z154" i="3" s="1"/>
  <c r="X154" i="3"/>
  <c r="AC154" i="3"/>
  <c r="AD154" i="3" s="1"/>
  <c r="AB154" i="3"/>
  <c r="AG154" i="3"/>
  <c r="AH154" i="3" s="1"/>
  <c r="AF154" i="3"/>
  <c r="B156" i="3"/>
  <c r="AE155" i="3"/>
  <c r="AA155" i="3"/>
  <c r="W155" i="3"/>
  <c r="S155" i="3"/>
  <c r="O155" i="3"/>
  <c r="K155" i="3"/>
  <c r="G155" i="3"/>
  <c r="C155" i="3"/>
  <c r="E155" i="3" l="1"/>
  <c r="F155" i="3" s="1"/>
  <c r="D155" i="3"/>
  <c r="I155" i="3"/>
  <c r="J155" i="3" s="1"/>
  <c r="H155" i="3"/>
  <c r="M155" i="3"/>
  <c r="N155" i="3" s="1"/>
  <c r="L155" i="3"/>
  <c r="Q155" i="3"/>
  <c r="R155" i="3" s="1"/>
  <c r="P155" i="3"/>
  <c r="U155" i="3"/>
  <c r="V155" i="3" s="1"/>
  <c r="T155" i="3"/>
  <c r="Y155" i="3"/>
  <c r="Z155" i="3" s="1"/>
  <c r="X155" i="3"/>
  <c r="AC155" i="3"/>
  <c r="AD155" i="3" s="1"/>
  <c r="AB155" i="3"/>
  <c r="AG155" i="3"/>
  <c r="AH155" i="3" s="1"/>
  <c r="AF155" i="3"/>
  <c r="B157" i="3"/>
  <c r="AE156" i="3"/>
  <c r="AA156" i="3"/>
  <c r="W156" i="3"/>
  <c r="S156" i="3"/>
  <c r="O156" i="3"/>
  <c r="K156" i="3"/>
  <c r="G156" i="3"/>
  <c r="C156" i="3"/>
  <c r="E156" i="3" l="1"/>
  <c r="F156" i="3" s="1"/>
  <c r="D156" i="3"/>
  <c r="I156" i="3"/>
  <c r="J156" i="3" s="1"/>
  <c r="H156" i="3"/>
  <c r="M156" i="3"/>
  <c r="N156" i="3" s="1"/>
  <c r="L156" i="3"/>
  <c r="Q156" i="3"/>
  <c r="R156" i="3" s="1"/>
  <c r="P156" i="3"/>
  <c r="U156" i="3"/>
  <c r="V156" i="3" s="1"/>
  <c r="T156" i="3"/>
  <c r="Y156" i="3"/>
  <c r="Z156" i="3" s="1"/>
  <c r="X156" i="3"/>
  <c r="AC156" i="3"/>
  <c r="AD156" i="3" s="1"/>
  <c r="AB156" i="3"/>
  <c r="AG156" i="3"/>
  <c r="AH156" i="3" s="1"/>
  <c r="AF156" i="3"/>
  <c r="B158" i="3"/>
  <c r="AE157" i="3"/>
  <c r="AA157" i="3"/>
  <c r="W157" i="3"/>
  <c r="S157" i="3"/>
  <c r="O157" i="3"/>
  <c r="K157" i="3"/>
  <c r="G157" i="3"/>
  <c r="C157" i="3"/>
  <c r="E157" i="3" l="1"/>
  <c r="F157" i="3" s="1"/>
  <c r="D157" i="3"/>
  <c r="I157" i="3"/>
  <c r="J157" i="3" s="1"/>
  <c r="H157" i="3"/>
  <c r="M157" i="3"/>
  <c r="N157" i="3" s="1"/>
  <c r="L157" i="3"/>
  <c r="Q157" i="3"/>
  <c r="R157" i="3" s="1"/>
  <c r="P157" i="3"/>
  <c r="U157" i="3"/>
  <c r="V157" i="3" s="1"/>
  <c r="T157" i="3"/>
  <c r="Y157" i="3"/>
  <c r="Z157" i="3" s="1"/>
  <c r="X157" i="3"/>
  <c r="AC157" i="3"/>
  <c r="AD157" i="3" s="1"/>
  <c r="AB157" i="3"/>
  <c r="AG157" i="3"/>
  <c r="AH157" i="3" s="1"/>
  <c r="AF157" i="3"/>
  <c r="B159" i="3"/>
  <c r="AE158" i="3"/>
  <c r="AA158" i="3"/>
  <c r="W158" i="3"/>
  <c r="S158" i="3"/>
  <c r="O158" i="3"/>
  <c r="K158" i="3"/>
  <c r="G158" i="3"/>
  <c r="C158" i="3"/>
  <c r="E158" i="3" l="1"/>
  <c r="F158" i="3" s="1"/>
  <c r="D158" i="3"/>
  <c r="I158" i="3"/>
  <c r="J158" i="3" s="1"/>
  <c r="H158" i="3"/>
  <c r="M158" i="3"/>
  <c r="N158" i="3" s="1"/>
  <c r="L158" i="3"/>
  <c r="Q158" i="3"/>
  <c r="R158" i="3" s="1"/>
  <c r="P158" i="3"/>
  <c r="U158" i="3"/>
  <c r="V158" i="3" s="1"/>
  <c r="T158" i="3"/>
  <c r="Y158" i="3"/>
  <c r="Z158" i="3" s="1"/>
  <c r="X158" i="3"/>
  <c r="AC158" i="3"/>
  <c r="AD158" i="3" s="1"/>
  <c r="AB158" i="3"/>
  <c r="AG158" i="3"/>
  <c r="AH158" i="3" s="1"/>
  <c r="AF158" i="3"/>
  <c r="B160" i="3"/>
  <c r="AE159" i="3"/>
  <c r="AA159" i="3"/>
  <c r="W159" i="3"/>
  <c r="S159" i="3"/>
  <c r="O159" i="3"/>
  <c r="K159" i="3"/>
  <c r="G159" i="3"/>
  <c r="C159" i="3"/>
  <c r="E159" i="3" l="1"/>
  <c r="F159" i="3" s="1"/>
  <c r="D159" i="3"/>
  <c r="I159" i="3"/>
  <c r="J159" i="3" s="1"/>
  <c r="H159" i="3"/>
  <c r="M159" i="3"/>
  <c r="N159" i="3" s="1"/>
  <c r="L159" i="3"/>
  <c r="Q159" i="3"/>
  <c r="R159" i="3" s="1"/>
  <c r="P159" i="3"/>
  <c r="U159" i="3"/>
  <c r="V159" i="3" s="1"/>
  <c r="T159" i="3"/>
  <c r="Y159" i="3"/>
  <c r="Z159" i="3" s="1"/>
  <c r="X159" i="3"/>
  <c r="AC159" i="3"/>
  <c r="AD159" i="3" s="1"/>
  <c r="AB159" i="3"/>
  <c r="AG159" i="3"/>
  <c r="AH159" i="3" s="1"/>
  <c r="AF159" i="3"/>
  <c r="B161" i="3"/>
  <c r="AE160" i="3"/>
  <c r="AA160" i="3"/>
  <c r="W160" i="3"/>
  <c r="S160" i="3"/>
  <c r="O160" i="3"/>
  <c r="K160" i="3"/>
  <c r="G160" i="3"/>
  <c r="C160" i="3"/>
  <c r="E160" i="3" l="1"/>
  <c r="F160" i="3" s="1"/>
  <c r="D160" i="3"/>
  <c r="I160" i="3"/>
  <c r="J160" i="3" s="1"/>
  <c r="H160" i="3"/>
  <c r="M160" i="3"/>
  <c r="N160" i="3" s="1"/>
  <c r="L160" i="3"/>
  <c r="Q160" i="3"/>
  <c r="R160" i="3" s="1"/>
  <c r="P160" i="3"/>
  <c r="U160" i="3"/>
  <c r="V160" i="3" s="1"/>
  <c r="T160" i="3"/>
  <c r="Y160" i="3"/>
  <c r="Z160" i="3" s="1"/>
  <c r="X160" i="3"/>
  <c r="AC160" i="3"/>
  <c r="AD160" i="3" s="1"/>
  <c r="AB160" i="3"/>
  <c r="AG160" i="3"/>
  <c r="AH160" i="3" s="1"/>
  <c r="AF160" i="3"/>
  <c r="B162" i="3"/>
  <c r="AE161" i="3"/>
  <c r="AA161" i="3"/>
  <c r="W161" i="3"/>
  <c r="S161" i="3"/>
  <c r="O161" i="3"/>
  <c r="K161" i="3"/>
  <c r="G161" i="3"/>
  <c r="C161" i="3"/>
  <c r="E161" i="3" l="1"/>
  <c r="F161" i="3" s="1"/>
  <c r="D161" i="3"/>
  <c r="I161" i="3"/>
  <c r="J161" i="3" s="1"/>
  <c r="H161" i="3"/>
  <c r="M161" i="3"/>
  <c r="N161" i="3" s="1"/>
  <c r="L161" i="3"/>
  <c r="Q161" i="3"/>
  <c r="R161" i="3" s="1"/>
  <c r="P161" i="3"/>
  <c r="U161" i="3"/>
  <c r="V161" i="3" s="1"/>
  <c r="T161" i="3"/>
  <c r="Y161" i="3"/>
  <c r="Z161" i="3" s="1"/>
  <c r="X161" i="3"/>
  <c r="AC161" i="3"/>
  <c r="AD161" i="3" s="1"/>
  <c r="AB161" i="3"/>
  <c r="AG161" i="3"/>
  <c r="AH161" i="3" s="1"/>
  <c r="AF161" i="3"/>
  <c r="B163" i="3"/>
  <c r="AE162" i="3"/>
  <c r="AA162" i="3"/>
  <c r="W162" i="3"/>
  <c r="S162" i="3"/>
  <c r="O162" i="3"/>
  <c r="K162" i="3"/>
  <c r="G162" i="3"/>
  <c r="C162" i="3"/>
  <c r="E162" i="3" l="1"/>
  <c r="F162" i="3" s="1"/>
  <c r="D162" i="3"/>
  <c r="I162" i="3"/>
  <c r="J162" i="3" s="1"/>
  <c r="H162" i="3"/>
  <c r="M162" i="3"/>
  <c r="N162" i="3" s="1"/>
  <c r="L162" i="3"/>
  <c r="Q162" i="3"/>
  <c r="R162" i="3" s="1"/>
  <c r="P162" i="3"/>
  <c r="U162" i="3"/>
  <c r="V162" i="3" s="1"/>
  <c r="T162" i="3"/>
  <c r="Y162" i="3"/>
  <c r="Z162" i="3" s="1"/>
  <c r="X162" i="3"/>
  <c r="AC162" i="3"/>
  <c r="AD162" i="3" s="1"/>
  <c r="AB162" i="3"/>
  <c r="AG162" i="3"/>
  <c r="AH162" i="3" s="1"/>
  <c r="AF162" i="3"/>
  <c r="B164" i="3"/>
  <c r="AE163" i="3"/>
  <c r="AA163" i="3"/>
  <c r="W163" i="3"/>
  <c r="S163" i="3"/>
  <c r="O163" i="3"/>
  <c r="K163" i="3"/>
  <c r="G163" i="3"/>
  <c r="C163" i="3"/>
  <c r="E163" i="3" l="1"/>
  <c r="F163" i="3" s="1"/>
  <c r="D163" i="3"/>
  <c r="I163" i="3"/>
  <c r="J163" i="3" s="1"/>
  <c r="H163" i="3"/>
  <c r="M163" i="3"/>
  <c r="N163" i="3" s="1"/>
  <c r="L163" i="3"/>
  <c r="Q163" i="3"/>
  <c r="R163" i="3" s="1"/>
  <c r="P163" i="3"/>
  <c r="U163" i="3"/>
  <c r="V163" i="3" s="1"/>
  <c r="T163" i="3"/>
  <c r="Y163" i="3"/>
  <c r="Z163" i="3" s="1"/>
  <c r="X163" i="3"/>
  <c r="AC163" i="3"/>
  <c r="AD163" i="3" s="1"/>
  <c r="AB163" i="3"/>
  <c r="AG163" i="3"/>
  <c r="AH163" i="3" s="1"/>
  <c r="AF163" i="3"/>
  <c r="B165" i="3"/>
  <c r="AE164" i="3"/>
  <c r="AA164" i="3"/>
  <c r="W164" i="3"/>
  <c r="S164" i="3"/>
  <c r="O164" i="3"/>
  <c r="K164" i="3"/>
  <c r="G164" i="3"/>
  <c r="C164" i="3"/>
  <c r="E164" i="3" l="1"/>
  <c r="F164" i="3" s="1"/>
  <c r="D164" i="3"/>
  <c r="I164" i="3"/>
  <c r="J164" i="3" s="1"/>
  <c r="H164" i="3"/>
  <c r="M164" i="3"/>
  <c r="N164" i="3" s="1"/>
  <c r="L164" i="3"/>
  <c r="Q164" i="3"/>
  <c r="R164" i="3" s="1"/>
  <c r="P164" i="3"/>
  <c r="U164" i="3"/>
  <c r="V164" i="3" s="1"/>
  <c r="T164" i="3"/>
  <c r="Y164" i="3"/>
  <c r="Z164" i="3" s="1"/>
  <c r="X164" i="3"/>
  <c r="AC164" i="3"/>
  <c r="AD164" i="3" s="1"/>
  <c r="AB164" i="3"/>
  <c r="AG164" i="3"/>
  <c r="AH164" i="3" s="1"/>
  <c r="AF164" i="3"/>
  <c r="B166" i="3"/>
  <c r="AE165" i="3"/>
  <c r="AA165" i="3"/>
  <c r="W165" i="3"/>
  <c r="S165" i="3"/>
  <c r="O165" i="3"/>
  <c r="K165" i="3"/>
  <c r="G165" i="3"/>
  <c r="C165" i="3"/>
  <c r="E165" i="3" l="1"/>
  <c r="F165" i="3" s="1"/>
  <c r="D165" i="3"/>
  <c r="I165" i="3"/>
  <c r="J165" i="3" s="1"/>
  <c r="H165" i="3"/>
  <c r="M165" i="3"/>
  <c r="N165" i="3" s="1"/>
  <c r="L165" i="3"/>
  <c r="Q165" i="3"/>
  <c r="R165" i="3" s="1"/>
  <c r="P165" i="3"/>
  <c r="U165" i="3"/>
  <c r="V165" i="3" s="1"/>
  <c r="T165" i="3"/>
  <c r="Y165" i="3"/>
  <c r="Z165" i="3" s="1"/>
  <c r="X165" i="3"/>
  <c r="AC165" i="3"/>
  <c r="AD165" i="3" s="1"/>
  <c r="AB165" i="3"/>
  <c r="AG165" i="3"/>
  <c r="AH165" i="3" s="1"/>
  <c r="AF165" i="3"/>
  <c r="B167" i="3"/>
  <c r="AE166" i="3"/>
  <c r="AA166" i="3"/>
  <c r="W166" i="3"/>
  <c r="S166" i="3"/>
  <c r="O166" i="3"/>
  <c r="K166" i="3"/>
  <c r="G166" i="3"/>
  <c r="C166" i="3"/>
  <c r="E166" i="3" l="1"/>
  <c r="F166" i="3" s="1"/>
  <c r="D166" i="3"/>
  <c r="I166" i="3"/>
  <c r="J166" i="3" s="1"/>
  <c r="H166" i="3"/>
  <c r="M166" i="3"/>
  <c r="N166" i="3" s="1"/>
  <c r="L166" i="3"/>
  <c r="Q166" i="3"/>
  <c r="R166" i="3" s="1"/>
  <c r="P166" i="3"/>
  <c r="U166" i="3"/>
  <c r="V166" i="3" s="1"/>
  <c r="T166" i="3"/>
  <c r="Y166" i="3"/>
  <c r="Z166" i="3" s="1"/>
  <c r="X166" i="3"/>
  <c r="AC166" i="3"/>
  <c r="AD166" i="3" s="1"/>
  <c r="AB166" i="3"/>
  <c r="AG166" i="3"/>
  <c r="AH166" i="3" s="1"/>
  <c r="AF166" i="3"/>
  <c r="B168" i="3"/>
  <c r="AE167" i="3"/>
  <c r="AA167" i="3"/>
  <c r="W167" i="3"/>
  <c r="S167" i="3"/>
  <c r="O167" i="3"/>
  <c r="K167" i="3"/>
  <c r="G167" i="3"/>
  <c r="C167" i="3"/>
  <c r="E167" i="3" l="1"/>
  <c r="F167" i="3" s="1"/>
  <c r="D167" i="3"/>
  <c r="I167" i="3"/>
  <c r="J167" i="3" s="1"/>
  <c r="H167" i="3"/>
  <c r="M167" i="3"/>
  <c r="N167" i="3" s="1"/>
  <c r="L167" i="3"/>
  <c r="Q167" i="3"/>
  <c r="R167" i="3" s="1"/>
  <c r="P167" i="3"/>
  <c r="U167" i="3"/>
  <c r="V167" i="3" s="1"/>
  <c r="T167" i="3"/>
  <c r="Y167" i="3"/>
  <c r="Z167" i="3" s="1"/>
  <c r="X167" i="3"/>
  <c r="AC167" i="3"/>
  <c r="AD167" i="3" s="1"/>
  <c r="AB167" i="3"/>
  <c r="AG167" i="3"/>
  <c r="AH167" i="3" s="1"/>
  <c r="AF167" i="3"/>
  <c r="B169" i="3"/>
  <c r="AE168" i="3"/>
  <c r="AA168" i="3"/>
  <c r="W168" i="3"/>
  <c r="S168" i="3"/>
  <c r="O168" i="3"/>
  <c r="K168" i="3"/>
  <c r="G168" i="3"/>
  <c r="C168" i="3"/>
  <c r="E168" i="3" l="1"/>
  <c r="F168" i="3" s="1"/>
  <c r="D168" i="3"/>
  <c r="I168" i="3"/>
  <c r="J168" i="3" s="1"/>
  <c r="H168" i="3"/>
  <c r="M168" i="3"/>
  <c r="N168" i="3" s="1"/>
  <c r="L168" i="3"/>
  <c r="Q168" i="3"/>
  <c r="R168" i="3" s="1"/>
  <c r="P168" i="3"/>
  <c r="U168" i="3"/>
  <c r="V168" i="3" s="1"/>
  <c r="T168" i="3"/>
  <c r="Y168" i="3"/>
  <c r="Z168" i="3" s="1"/>
  <c r="X168" i="3"/>
  <c r="AC168" i="3"/>
  <c r="AD168" i="3" s="1"/>
  <c r="AB168" i="3"/>
  <c r="AG168" i="3"/>
  <c r="AH168" i="3" s="1"/>
  <c r="AF168" i="3"/>
  <c r="B170" i="3"/>
  <c r="AE169" i="3"/>
  <c r="AA169" i="3"/>
  <c r="W169" i="3"/>
  <c r="S169" i="3"/>
  <c r="O169" i="3"/>
  <c r="K169" i="3"/>
  <c r="G169" i="3"/>
  <c r="C169" i="3"/>
  <c r="E169" i="3" l="1"/>
  <c r="F169" i="3" s="1"/>
  <c r="D169" i="3"/>
  <c r="I169" i="3"/>
  <c r="J169" i="3" s="1"/>
  <c r="H169" i="3"/>
  <c r="M169" i="3"/>
  <c r="N169" i="3" s="1"/>
  <c r="L169" i="3"/>
  <c r="Q169" i="3"/>
  <c r="R169" i="3" s="1"/>
  <c r="P169" i="3"/>
  <c r="U169" i="3"/>
  <c r="V169" i="3" s="1"/>
  <c r="T169" i="3"/>
  <c r="Y169" i="3"/>
  <c r="Z169" i="3" s="1"/>
  <c r="X169" i="3"/>
  <c r="AC169" i="3"/>
  <c r="AD169" i="3" s="1"/>
  <c r="AB169" i="3"/>
  <c r="AG169" i="3"/>
  <c r="AH169" i="3" s="1"/>
  <c r="AF169" i="3"/>
  <c r="B171" i="3"/>
  <c r="AE170" i="3"/>
  <c r="AA170" i="3"/>
  <c r="W170" i="3"/>
  <c r="S170" i="3"/>
  <c r="O170" i="3"/>
  <c r="K170" i="3"/>
  <c r="G170" i="3"/>
  <c r="C170" i="3"/>
  <c r="E170" i="3" l="1"/>
  <c r="F170" i="3" s="1"/>
  <c r="D170" i="3"/>
  <c r="I170" i="3"/>
  <c r="J170" i="3" s="1"/>
  <c r="H170" i="3"/>
  <c r="M170" i="3"/>
  <c r="N170" i="3" s="1"/>
  <c r="L170" i="3"/>
  <c r="Q170" i="3"/>
  <c r="R170" i="3" s="1"/>
  <c r="P170" i="3"/>
  <c r="U170" i="3"/>
  <c r="V170" i="3" s="1"/>
  <c r="T170" i="3"/>
  <c r="Y170" i="3"/>
  <c r="Z170" i="3" s="1"/>
  <c r="X170" i="3"/>
  <c r="AC170" i="3"/>
  <c r="AD170" i="3" s="1"/>
  <c r="AB170" i="3"/>
  <c r="AG170" i="3"/>
  <c r="AH170" i="3" s="1"/>
  <c r="AF170" i="3"/>
  <c r="B172" i="3"/>
  <c r="AE171" i="3"/>
  <c r="AA171" i="3"/>
  <c r="W171" i="3"/>
  <c r="S171" i="3"/>
  <c r="O171" i="3"/>
  <c r="K171" i="3"/>
  <c r="G171" i="3"/>
  <c r="C171" i="3"/>
  <c r="E171" i="3" l="1"/>
  <c r="F171" i="3" s="1"/>
  <c r="D171" i="3"/>
  <c r="I171" i="3"/>
  <c r="J171" i="3" s="1"/>
  <c r="H171" i="3"/>
  <c r="M171" i="3"/>
  <c r="N171" i="3" s="1"/>
  <c r="L171" i="3"/>
  <c r="Q171" i="3"/>
  <c r="R171" i="3" s="1"/>
  <c r="P171" i="3"/>
  <c r="U171" i="3"/>
  <c r="V171" i="3" s="1"/>
  <c r="T171" i="3"/>
  <c r="Y171" i="3"/>
  <c r="Z171" i="3" s="1"/>
  <c r="X171" i="3"/>
  <c r="AC171" i="3"/>
  <c r="AD171" i="3" s="1"/>
  <c r="AB171" i="3"/>
  <c r="AG171" i="3"/>
  <c r="AH171" i="3" s="1"/>
  <c r="AF171" i="3"/>
  <c r="B173" i="3"/>
  <c r="AE172" i="3"/>
  <c r="AA172" i="3"/>
  <c r="W172" i="3"/>
  <c r="S172" i="3"/>
  <c r="O172" i="3"/>
  <c r="K172" i="3"/>
  <c r="G172" i="3"/>
  <c r="C172" i="3"/>
  <c r="E172" i="3" l="1"/>
  <c r="F172" i="3" s="1"/>
  <c r="D172" i="3"/>
  <c r="I172" i="3"/>
  <c r="J172" i="3" s="1"/>
  <c r="H172" i="3"/>
  <c r="M172" i="3"/>
  <c r="N172" i="3" s="1"/>
  <c r="L172" i="3"/>
  <c r="Q172" i="3"/>
  <c r="R172" i="3" s="1"/>
  <c r="P172" i="3"/>
  <c r="U172" i="3"/>
  <c r="V172" i="3" s="1"/>
  <c r="T172" i="3"/>
  <c r="Y172" i="3"/>
  <c r="Z172" i="3" s="1"/>
  <c r="X172" i="3"/>
  <c r="AC172" i="3"/>
  <c r="AD172" i="3" s="1"/>
  <c r="AB172" i="3"/>
  <c r="AG172" i="3"/>
  <c r="AH172" i="3" s="1"/>
  <c r="AF172" i="3"/>
  <c r="B174" i="3"/>
  <c r="AE173" i="3"/>
  <c r="AA173" i="3"/>
  <c r="W173" i="3"/>
  <c r="S173" i="3"/>
  <c r="O173" i="3"/>
  <c r="K173" i="3"/>
  <c r="G173" i="3"/>
  <c r="C173" i="3"/>
  <c r="E173" i="3" l="1"/>
  <c r="F173" i="3" s="1"/>
  <c r="D173" i="3"/>
  <c r="I173" i="3"/>
  <c r="J173" i="3" s="1"/>
  <c r="H173" i="3"/>
  <c r="M173" i="3"/>
  <c r="N173" i="3" s="1"/>
  <c r="L173" i="3"/>
  <c r="Q173" i="3"/>
  <c r="R173" i="3" s="1"/>
  <c r="P173" i="3"/>
  <c r="U173" i="3"/>
  <c r="V173" i="3" s="1"/>
  <c r="T173" i="3"/>
  <c r="Y173" i="3"/>
  <c r="Z173" i="3" s="1"/>
  <c r="X173" i="3"/>
  <c r="AC173" i="3"/>
  <c r="AD173" i="3" s="1"/>
  <c r="AB173" i="3"/>
  <c r="AG173" i="3"/>
  <c r="AH173" i="3" s="1"/>
  <c r="AF173" i="3"/>
  <c r="B175" i="3"/>
  <c r="AE174" i="3"/>
  <c r="AA174" i="3"/>
  <c r="W174" i="3"/>
  <c r="S174" i="3"/>
  <c r="O174" i="3"/>
  <c r="K174" i="3"/>
  <c r="G174" i="3"/>
  <c r="C174" i="3"/>
  <c r="E174" i="3" l="1"/>
  <c r="F174" i="3" s="1"/>
  <c r="D174" i="3"/>
  <c r="I174" i="3"/>
  <c r="J174" i="3" s="1"/>
  <c r="H174" i="3"/>
  <c r="M174" i="3"/>
  <c r="N174" i="3" s="1"/>
  <c r="L174" i="3"/>
  <c r="Q174" i="3"/>
  <c r="R174" i="3" s="1"/>
  <c r="P174" i="3"/>
  <c r="U174" i="3"/>
  <c r="V174" i="3" s="1"/>
  <c r="T174" i="3"/>
  <c r="Y174" i="3"/>
  <c r="Z174" i="3" s="1"/>
  <c r="X174" i="3"/>
  <c r="AC174" i="3"/>
  <c r="AD174" i="3" s="1"/>
  <c r="AB174" i="3"/>
  <c r="AG174" i="3"/>
  <c r="AH174" i="3" s="1"/>
  <c r="AF174" i="3"/>
  <c r="B176" i="3"/>
  <c r="AE175" i="3"/>
  <c r="AA175" i="3"/>
  <c r="W175" i="3"/>
  <c r="S175" i="3"/>
  <c r="O175" i="3"/>
  <c r="K175" i="3"/>
  <c r="G175" i="3"/>
  <c r="C175" i="3"/>
  <c r="E175" i="3" l="1"/>
  <c r="F175" i="3" s="1"/>
  <c r="D175" i="3"/>
  <c r="I175" i="3"/>
  <c r="J175" i="3" s="1"/>
  <c r="H175" i="3"/>
  <c r="M175" i="3"/>
  <c r="N175" i="3" s="1"/>
  <c r="L175" i="3"/>
  <c r="Q175" i="3"/>
  <c r="R175" i="3" s="1"/>
  <c r="P175" i="3"/>
  <c r="U175" i="3"/>
  <c r="V175" i="3" s="1"/>
  <c r="T175" i="3"/>
  <c r="Y175" i="3"/>
  <c r="Z175" i="3" s="1"/>
  <c r="X175" i="3"/>
  <c r="AC175" i="3"/>
  <c r="AD175" i="3" s="1"/>
  <c r="AB175" i="3"/>
  <c r="AG175" i="3"/>
  <c r="AH175" i="3" s="1"/>
  <c r="AF175" i="3"/>
  <c r="B177" i="3"/>
  <c r="AE176" i="3"/>
  <c r="AA176" i="3"/>
  <c r="W176" i="3"/>
  <c r="S176" i="3"/>
  <c r="O176" i="3"/>
  <c r="K176" i="3"/>
  <c r="G176" i="3"/>
  <c r="C176" i="3"/>
  <c r="E176" i="3" l="1"/>
  <c r="F176" i="3" s="1"/>
  <c r="D176" i="3"/>
  <c r="I176" i="3"/>
  <c r="J176" i="3" s="1"/>
  <c r="H176" i="3"/>
  <c r="M176" i="3"/>
  <c r="N176" i="3" s="1"/>
  <c r="L176" i="3"/>
  <c r="Q176" i="3"/>
  <c r="R176" i="3" s="1"/>
  <c r="P176" i="3"/>
  <c r="U176" i="3"/>
  <c r="V176" i="3" s="1"/>
  <c r="T176" i="3"/>
  <c r="Y176" i="3"/>
  <c r="Z176" i="3" s="1"/>
  <c r="X176" i="3"/>
  <c r="AC176" i="3"/>
  <c r="AD176" i="3" s="1"/>
  <c r="AB176" i="3"/>
  <c r="AG176" i="3"/>
  <c r="AH176" i="3" s="1"/>
  <c r="AF176" i="3"/>
  <c r="B178" i="3"/>
  <c r="AE177" i="3"/>
  <c r="AA177" i="3"/>
  <c r="W177" i="3"/>
  <c r="S177" i="3"/>
  <c r="O177" i="3"/>
  <c r="K177" i="3"/>
  <c r="G177" i="3"/>
  <c r="C177" i="3"/>
  <c r="E177" i="3" l="1"/>
  <c r="F177" i="3" s="1"/>
  <c r="D177" i="3"/>
  <c r="I177" i="3"/>
  <c r="J177" i="3" s="1"/>
  <c r="H177" i="3"/>
  <c r="M177" i="3"/>
  <c r="N177" i="3" s="1"/>
  <c r="L177" i="3"/>
  <c r="Q177" i="3"/>
  <c r="R177" i="3" s="1"/>
  <c r="P177" i="3"/>
  <c r="U177" i="3"/>
  <c r="V177" i="3" s="1"/>
  <c r="T177" i="3"/>
  <c r="Y177" i="3"/>
  <c r="Z177" i="3" s="1"/>
  <c r="X177" i="3"/>
  <c r="AC177" i="3"/>
  <c r="AD177" i="3" s="1"/>
  <c r="AB177" i="3"/>
  <c r="AG177" i="3"/>
  <c r="AH177" i="3" s="1"/>
  <c r="AF177" i="3"/>
  <c r="B179" i="3"/>
  <c r="AE178" i="3"/>
  <c r="AA178" i="3"/>
  <c r="W178" i="3"/>
  <c r="S178" i="3"/>
  <c r="O178" i="3"/>
  <c r="K178" i="3"/>
  <c r="G178" i="3"/>
  <c r="C178" i="3"/>
  <c r="E178" i="3" l="1"/>
  <c r="F178" i="3" s="1"/>
  <c r="D178" i="3"/>
  <c r="I178" i="3"/>
  <c r="J178" i="3" s="1"/>
  <c r="H178" i="3"/>
  <c r="M178" i="3"/>
  <c r="N178" i="3" s="1"/>
  <c r="L178" i="3"/>
  <c r="Q178" i="3"/>
  <c r="R178" i="3" s="1"/>
  <c r="P178" i="3"/>
  <c r="U178" i="3"/>
  <c r="V178" i="3" s="1"/>
  <c r="T178" i="3"/>
  <c r="Y178" i="3"/>
  <c r="Z178" i="3" s="1"/>
  <c r="X178" i="3"/>
  <c r="AC178" i="3"/>
  <c r="AD178" i="3" s="1"/>
  <c r="AB178" i="3"/>
  <c r="AG178" i="3"/>
  <c r="AH178" i="3" s="1"/>
  <c r="AF178" i="3"/>
  <c r="B180" i="3"/>
  <c r="AE179" i="3"/>
  <c r="AA179" i="3"/>
  <c r="W179" i="3"/>
  <c r="S179" i="3"/>
  <c r="O179" i="3"/>
  <c r="K179" i="3"/>
  <c r="G179" i="3"/>
  <c r="C179" i="3"/>
  <c r="E179" i="3" l="1"/>
  <c r="F179" i="3" s="1"/>
  <c r="D179" i="3"/>
  <c r="I179" i="3"/>
  <c r="J179" i="3" s="1"/>
  <c r="H179" i="3"/>
  <c r="M179" i="3"/>
  <c r="N179" i="3" s="1"/>
  <c r="L179" i="3"/>
  <c r="Q179" i="3"/>
  <c r="R179" i="3" s="1"/>
  <c r="P179" i="3"/>
  <c r="U179" i="3"/>
  <c r="V179" i="3" s="1"/>
  <c r="T179" i="3"/>
  <c r="Y179" i="3"/>
  <c r="Z179" i="3" s="1"/>
  <c r="X179" i="3"/>
  <c r="AC179" i="3"/>
  <c r="AD179" i="3" s="1"/>
  <c r="AB179" i="3"/>
  <c r="AG179" i="3"/>
  <c r="AH179" i="3" s="1"/>
  <c r="AF179" i="3"/>
  <c r="B181" i="3"/>
  <c r="AE180" i="3"/>
  <c r="AA180" i="3"/>
  <c r="W180" i="3"/>
  <c r="S180" i="3"/>
  <c r="O180" i="3"/>
  <c r="K180" i="3"/>
  <c r="G180" i="3"/>
  <c r="C180" i="3"/>
  <c r="E180" i="3" l="1"/>
  <c r="F180" i="3" s="1"/>
  <c r="D180" i="3"/>
  <c r="I180" i="3"/>
  <c r="J180" i="3" s="1"/>
  <c r="H180" i="3"/>
  <c r="M180" i="3"/>
  <c r="N180" i="3" s="1"/>
  <c r="L180" i="3"/>
  <c r="Q180" i="3"/>
  <c r="R180" i="3" s="1"/>
  <c r="P180" i="3"/>
  <c r="U180" i="3"/>
  <c r="V180" i="3" s="1"/>
  <c r="T180" i="3"/>
  <c r="Y180" i="3"/>
  <c r="Z180" i="3" s="1"/>
  <c r="X180" i="3"/>
  <c r="AC180" i="3"/>
  <c r="AD180" i="3" s="1"/>
  <c r="AB180" i="3"/>
  <c r="AG180" i="3"/>
  <c r="AH180" i="3" s="1"/>
  <c r="AF180" i="3"/>
  <c r="B182" i="3"/>
  <c r="AE181" i="3"/>
  <c r="AA181" i="3"/>
  <c r="W181" i="3"/>
  <c r="S181" i="3"/>
  <c r="O181" i="3"/>
  <c r="K181" i="3"/>
  <c r="G181" i="3"/>
  <c r="C181" i="3"/>
  <c r="E181" i="3" l="1"/>
  <c r="F181" i="3" s="1"/>
  <c r="D181" i="3"/>
  <c r="I181" i="3"/>
  <c r="J181" i="3" s="1"/>
  <c r="H181" i="3"/>
  <c r="M181" i="3"/>
  <c r="N181" i="3" s="1"/>
  <c r="L181" i="3"/>
  <c r="Q181" i="3"/>
  <c r="R181" i="3" s="1"/>
  <c r="P181" i="3"/>
  <c r="U181" i="3"/>
  <c r="V181" i="3" s="1"/>
  <c r="T181" i="3"/>
  <c r="Y181" i="3"/>
  <c r="Z181" i="3" s="1"/>
  <c r="X181" i="3"/>
  <c r="AC181" i="3"/>
  <c r="AD181" i="3" s="1"/>
  <c r="AB181" i="3"/>
  <c r="AG181" i="3"/>
  <c r="AH181" i="3" s="1"/>
  <c r="AF181" i="3"/>
  <c r="B183" i="3"/>
  <c r="AE182" i="3"/>
  <c r="AA182" i="3"/>
  <c r="W182" i="3"/>
  <c r="S182" i="3"/>
  <c r="O182" i="3"/>
  <c r="K182" i="3"/>
  <c r="G182" i="3"/>
  <c r="C182" i="3"/>
  <c r="E182" i="3" l="1"/>
  <c r="F182" i="3" s="1"/>
  <c r="D182" i="3"/>
  <c r="I182" i="3"/>
  <c r="J182" i="3" s="1"/>
  <c r="H182" i="3"/>
  <c r="M182" i="3"/>
  <c r="N182" i="3" s="1"/>
  <c r="L182" i="3"/>
  <c r="Q182" i="3"/>
  <c r="R182" i="3" s="1"/>
  <c r="P182" i="3"/>
  <c r="U182" i="3"/>
  <c r="V182" i="3" s="1"/>
  <c r="T182" i="3"/>
  <c r="Y182" i="3"/>
  <c r="Z182" i="3" s="1"/>
  <c r="X182" i="3"/>
  <c r="AC182" i="3"/>
  <c r="AD182" i="3" s="1"/>
  <c r="AB182" i="3"/>
  <c r="AG182" i="3"/>
  <c r="AH182" i="3" s="1"/>
  <c r="AF182" i="3"/>
  <c r="B184" i="3"/>
  <c r="AE183" i="3"/>
  <c r="AA183" i="3"/>
  <c r="W183" i="3"/>
  <c r="S183" i="3"/>
  <c r="O183" i="3"/>
  <c r="K183" i="3"/>
  <c r="G183" i="3"/>
  <c r="C183" i="3"/>
  <c r="E183" i="3" l="1"/>
  <c r="F183" i="3" s="1"/>
  <c r="D183" i="3"/>
  <c r="I183" i="3"/>
  <c r="J183" i="3" s="1"/>
  <c r="H183" i="3"/>
  <c r="M183" i="3"/>
  <c r="N183" i="3" s="1"/>
  <c r="L183" i="3"/>
  <c r="Q183" i="3"/>
  <c r="R183" i="3" s="1"/>
  <c r="P183" i="3"/>
  <c r="U183" i="3"/>
  <c r="V183" i="3" s="1"/>
  <c r="T183" i="3"/>
  <c r="Y183" i="3"/>
  <c r="Z183" i="3" s="1"/>
  <c r="X183" i="3"/>
  <c r="AC183" i="3"/>
  <c r="AD183" i="3" s="1"/>
  <c r="AB183" i="3"/>
  <c r="AG183" i="3"/>
  <c r="AH183" i="3" s="1"/>
  <c r="AF183" i="3"/>
  <c r="B185" i="3"/>
  <c r="AE184" i="3"/>
  <c r="AA184" i="3"/>
  <c r="W184" i="3"/>
  <c r="S184" i="3"/>
  <c r="O184" i="3"/>
  <c r="K184" i="3"/>
  <c r="G184" i="3"/>
  <c r="C184" i="3"/>
  <c r="E184" i="3" l="1"/>
  <c r="F184" i="3" s="1"/>
  <c r="D184" i="3"/>
  <c r="I184" i="3"/>
  <c r="J184" i="3" s="1"/>
  <c r="H184" i="3"/>
  <c r="M184" i="3"/>
  <c r="N184" i="3" s="1"/>
  <c r="L184" i="3"/>
  <c r="Q184" i="3"/>
  <c r="R184" i="3" s="1"/>
  <c r="P184" i="3"/>
  <c r="U184" i="3"/>
  <c r="V184" i="3" s="1"/>
  <c r="T184" i="3"/>
  <c r="Y184" i="3"/>
  <c r="Z184" i="3" s="1"/>
  <c r="X184" i="3"/>
  <c r="AC184" i="3"/>
  <c r="AD184" i="3" s="1"/>
  <c r="AB184" i="3"/>
  <c r="AG184" i="3"/>
  <c r="AH184" i="3" s="1"/>
  <c r="AF184" i="3"/>
  <c r="B186" i="3"/>
  <c r="AE185" i="3"/>
  <c r="AA185" i="3"/>
  <c r="W185" i="3"/>
  <c r="S185" i="3"/>
  <c r="O185" i="3"/>
  <c r="K185" i="3"/>
  <c r="G185" i="3"/>
  <c r="C185" i="3"/>
  <c r="E185" i="3" l="1"/>
  <c r="F185" i="3" s="1"/>
  <c r="D185" i="3"/>
  <c r="I185" i="3"/>
  <c r="J185" i="3" s="1"/>
  <c r="H185" i="3"/>
  <c r="M185" i="3"/>
  <c r="N185" i="3" s="1"/>
  <c r="L185" i="3"/>
  <c r="Q185" i="3"/>
  <c r="R185" i="3" s="1"/>
  <c r="P185" i="3"/>
  <c r="U185" i="3"/>
  <c r="V185" i="3" s="1"/>
  <c r="T185" i="3"/>
  <c r="Y185" i="3"/>
  <c r="Z185" i="3" s="1"/>
  <c r="X185" i="3"/>
  <c r="AC185" i="3"/>
  <c r="AD185" i="3" s="1"/>
  <c r="AB185" i="3"/>
  <c r="AG185" i="3"/>
  <c r="AH185" i="3" s="1"/>
  <c r="AF185" i="3"/>
  <c r="B187" i="3"/>
  <c r="AE186" i="3"/>
  <c r="AA186" i="3"/>
  <c r="W186" i="3"/>
  <c r="S186" i="3"/>
  <c r="O186" i="3"/>
  <c r="K186" i="3"/>
  <c r="G186" i="3"/>
  <c r="C186" i="3"/>
  <c r="E186" i="3" l="1"/>
  <c r="F186" i="3" s="1"/>
  <c r="D186" i="3"/>
  <c r="I186" i="3"/>
  <c r="J186" i="3" s="1"/>
  <c r="H186" i="3"/>
  <c r="M186" i="3"/>
  <c r="N186" i="3" s="1"/>
  <c r="L186" i="3"/>
  <c r="Q186" i="3"/>
  <c r="R186" i="3" s="1"/>
  <c r="P186" i="3"/>
  <c r="U186" i="3"/>
  <c r="V186" i="3" s="1"/>
  <c r="T186" i="3"/>
  <c r="Y186" i="3"/>
  <c r="Z186" i="3" s="1"/>
  <c r="X186" i="3"/>
  <c r="AC186" i="3"/>
  <c r="AD186" i="3" s="1"/>
  <c r="AB186" i="3"/>
  <c r="AG186" i="3"/>
  <c r="AH186" i="3" s="1"/>
  <c r="AF186" i="3"/>
  <c r="B188" i="3"/>
  <c r="AE187" i="3"/>
  <c r="AA187" i="3"/>
  <c r="W187" i="3"/>
  <c r="S187" i="3"/>
  <c r="O187" i="3"/>
  <c r="K187" i="3"/>
  <c r="G187" i="3"/>
  <c r="C187" i="3"/>
  <c r="E187" i="3" l="1"/>
  <c r="F187" i="3" s="1"/>
  <c r="D187" i="3"/>
  <c r="I187" i="3"/>
  <c r="J187" i="3" s="1"/>
  <c r="H187" i="3"/>
  <c r="M187" i="3"/>
  <c r="N187" i="3" s="1"/>
  <c r="L187" i="3"/>
  <c r="Q187" i="3"/>
  <c r="R187" i="3" s="1"/>
  <c r="P187" i="3"/>
  <c r="U187" i="3"/>
  <c r="V187" i="3" s="1"/>
  <c r="T187" i="3"/>
  <c r="Y187" i="3"/>
  <c r="Z187" i="3" s="1"/>
  <c r="X187" i="3"/>
  <c r="AC187" i="3"/>
  <c r="AD187" i="3" s="1"/>
  <c r="AB187" i="3"/>
  <c r="AG187" i="3"/>
  <c r="AH187" i="3" s="1"/>
  <c r="AF187" i="3"/>
  <c r="B189" i="3"/>
  <c r="AE188" i="3"/>
  <c r="AA188" i="3"/>
  <c r="W188" i="3"/>
  <c r="S188" i="3"/>
  <c r="O188" i="3"/>
  <c r="K188" i="3"/>
  <c r="G188" i="3"/>
  <c r="C188" i="3"/>
  <c r="E188" i="3" l="1"/>
  <c r="F188" i="3" s="1"/>
  <c r="D188" i="3"/>
  <c r="I188" i="3"/>
  <c r="J188" i="3" s="1"/>
  <c r="H188" i="3"/>
  <c r="M188" i="3"/>
  <c r="N188" i="3" s="1"/>
  <c r="L188" i="3"/>
  <c r="Q188" i="3"/>
  <c r="R188" i="3" s="1"/>
  <c r="P188" i="3"/>
  <c r="U188" i="3"/>
  <c r="V188" i="3" s="1"/>
  <c r="T188" i="3"/>
  <c r="Y188" i="3"/>
  <c r="Z188" i="3" s="1"/>
  <c r="X188" i="3"/>
  <c r="AC188" i="3"/>
  <c r="AD188" i="3" s="1"/>
  <c r="AB188" i="3"/>
  <c r="AG188" i="3"/>
  <c r="AH188" i="3" s="1"/>
  <c r="AF188" i="3"/>
  <c r="B190" i="3"/>
  <c r="AE189" i="3"/>
  <c r="AA189" i="3"/>
  <c r="W189" i="3"/>
  <c r="S189" i="3"/>
  <c r="O189" i="3"/>
  <c r="K189" i="3"/>
  <c r="G189" i="3"/>
  <c r="C189" i="3"/>
  <c r="E189" i="3" l="1"/>
  <c r="F189" i="3" s="1"/>
  <c r="D189" i="3"/>
  <c r="I189" i="3"/>
  <c r="J189" i="3" s="1"/>
  <c r="H189" i="3"/>
  <c r="M189" i="3"/>
  <c r="N189" i="3" s="1"/>
  <c r="L189" i="3"/>
  <c r="Q189" i="3"/>
  <c r="R189" i="3" s="1"/>
  <c r="P189" i="3"/>
  <c r="U189" i="3"/>
  <c r="V189" i="3" s="1"/>
  <c r="T189" i="3"/>
  <c r="Y189" i="3"/>
  <c r="Z189" i="3" s="1"/>
  <c r="X189" i="3"/>
  <c r="AC189" i="3"/>
  <c r="AD189" i="3" s="1"/>
  <c r="AB189" i="3"/>
  <c r="AG189" i="3"/>
  <c r="AH189" i="3" s="1"/>
  <c r="AF189" i="3"/>
  <c r="B191" i="3"/>
  <c r="AE190" i="3"/>
  <c r="AA190" i="3"/>
  <c r="W190" i="3"/>
  <c r="S190" i="3"/>
  <c r="O190" i="3"/>
  <c r="K190" i="3"/>
  <c r="G190" i="3"/>
  <c r="C190" i="3"/>
  <c r="E190" i="3" l="1"/>
  <c r="F190" i="3" s="1"/>
  <c r="D190" i="3"/>
  <c r="I190" i="3"/>
  <c r="J190" i="3" s="1"/>
  <c r="H190" i="3"/>
  <c r="M190" i="3"/>
  <c r="N190" i="3" s="1"/>
  <c r="L190" i="3"/>
  <c r="Q190" i="3"/>
  <c r="R190" i="3" s="1"/>
  <c r="P190" i="3"/>
  <c r="U190" i="3"/>
  <c r="V190" i="3" s="1"/>
  <c r="T190" i="3"/>
  <c r="Y190" i="3"/>
  <c r="Z190" i="3" s="1"/>
  <c r="X190" i="3"/>
  <c r="AC190" i="3"/>
  <c r="AD190" i="3" s="1"/>
  <c r="AB190" i="3"/>
  <c r="AG190" i="3"/>
  <c r="AH190" i="3" s="1"/>
  <c r="AF190" i="3"/>
  <c r="B192" i="3"/>
  <c r="AE191" i="3"/>
  <c r="AA191" i="3"/>
  <c r="W191" i="3"/>
  <c r="S191" i="3"/>
  <c r="O191" i="3"/>
  <c r="K191" i="3"/>
  <c r="G191" i="3"/>
  <c r="C191" i="3"/>
  <c r="E191" i="3" l="1"/>
  <c r="F191" i="3" s="1"/>
  <c r="D191" i="3"/>
  <c r="I191" i="3"/>
  <c r="J191" i="3" s="1"/>
  <c r="H191" i="3"/>
  <c r="M191" i="3"/>
  <c r="N191" i="3" s="1"/>
  <c r="L191" i="3"/>
  <c r="Q191" i="3"/>
  <c r="R191" i="3" s="1"/>
  <c r="P191" i="3"/>
  <c r="U191" i="3"/>
  <c r="V191" i="3" s="1"/>
  <c r="T191" i="3"/>
  <c r="Y191" i="3"/>
  <c r="Z191" i="3" s="1"/>
  <c r="X191" i="3"/>
  <c r="AC191" i="3"/>
  <c r="AD191" i="3" s="1"/>
  <c r="AB191" i="3"/>
  <c r="AG191" i="3"/>
  <c r="AH191" i="3" s="1"/>
  <c r="AF191" i="3"/>
  <c r="B193" i="3"/>
  <c r="AE192" i="3"/>
  <c r="AA192" i="3"/>
  <c r="W192" i="3"/>
  <c r="S192" i="3"/>
  <c r="O192" i="3"/>
  <c r="K192" i="3"/>
  <c r="G192" i="3"/>
  <c r="C192" i="3"/>
  <c r="E192" i="3" l="1"/>
  <c r="F192" i="3" s="1"/>
  <c r="D192" i="3"/>
  <c r="I192" i="3"/>
  <c r="J192" i="3" s="1"/>
  <c r="H192" i="3"/>
  <c r="M192" i="3"/>
  <c r="N192" i="3" s="1"/>
  <c r="L192" i="3"/>
  <c r="Q192" i="3"/>
  <c r="R192" i="3" s="1"/>
  <c r="P192" i="3"/>
  <c r="U192" i="3"/>
  <c r="V192" i="3" s="1"/>
  <c r="T192" i="3"/>
  <c r="Y192" i="3"/>
  <c r="Z192" i="3" s="1"/>
  <c r="X192" i="3"/>
  <c r="AC192" i="3"/>
  <c r="AD192" i="3" s="1"/>
  <c r="AB192" i="3"/>
  <c r="AG192" i="3"/>
  <c r="AH192" i="3" s="1"/>
  <c r="AF192" i="3"/>
  <c r="B194" i="3"/>
  <c r="AE193" i="3"/>
  <c r="AA193" i="3"/>
  <c r="W193" i="3"/>
  <c r="S193" i="3"/>
  <c r="O193" i="3"/>
  <c r="K193" i="3"/>
  <c r="G193" i="3"/>
  <c r="C193" i="3"/>
  <c r="E193" i="3" l="1"/>
  <c r="F193" i="3" s="1"/>
  <c r="D193" i="3"/>
  <c r="I193" i="3"/>
  <c r="J193" i="3" s="1"/>
  <c r="H193" i="3"/>
  <c r="M193" i="3"/>
  <c r="N193" i="3" s="1"/>
  <c r="L193" i="3"/>
  <c r="Q193" i="3"/>
  <c r="R193" i="3" s="1"/>
  <c r="P193" i="3"/>
  <c r="U193" i="3"/>
  <c r="V193" i="3" s="1"/>
  <c r="T193" i="3"/>
  <c r="Y193" i="3"/>
  <c r="Z193" i="3" s="1"/>
  <c r="X193" i="3"/>
  <c r="AC193" i="3"/>
  <c r="AD193" i="3" s="1"/>
  <c r="AB193" i="3"/>
  <c r="AG193" i="3"/>
  <c r="AH193" i="3" s="1"/>
  <c r="AF193" i="3"/>
  <c r="B195" i="3"/>
  <c r="AE194" i="3"/>
  <c r="AA194" i="3"/>
  <c r="W194" i="3"/>
  <c r="S194" i="3"/>
  <c r="O194" i="3"/>
  <c r="K194" i="3"/>
  <c r="G194" i="3"/>
  <c r="C194" i="3"/>
  <c r="E194" i="3" l="1"/>
  <c r="F194" i="3" s="1"/>
  <c r="D194" i="3"/>
  <c r="I194" i="3"/>
  <c r="J194" i="3" s="1"/>
  <c r="H194" i="3"/>
  <c r="M194" i="3"/>
  <c r="N194" i="3" s="1"/>
  <c r="L194" i="3"/>
  <c r="Q194" i="3"/>
  <c r="R194" i="3" s="1"/>
  <c r="P194" i="3"/>
  <c r="U194" i="3"/>
  <c r="V194" i="3" s="1"/>
  <c r="T194" i="3"/>
  <c r="Y194" i="3"/>
  <c r="Z194" i="3" s="1"/>
  <c r="X194" i="3"/>
  <c r="AC194" i="3"/>
  <c r="AD194" i="3" s="1"/>
  <c r="AB194" i="3"/>
  <c r="AG194" i="3"/>
  <c r="AH194" i="3" s="1"/>
  <c r="AF194" i="3"/>
  <c r="B196" i="3"/>
  <c r="AE195" i="3"/>
  <c r="AA195" i="3"/>
  <c r="W195" i="3"/>
  <c r="S195" i="3"/>
  <c r="O195" i="3"/>
  <c r="K195" i="3"/>
  <c r="G195" i="3"/>
  <c r="C195" i="3"/>
  <c r="E195" i="3" l="1"/>
  <c r="F195" i="3" s="1"/>
  <c r="D195" i="3"/>
  <c r="I195" i="3"/>
  <c r="J195" i="3" s="1"/>
  <c r="H195" i="3"/>
  <c r="M195" i="3"/>
  <c r="N195" i="3" s="1"/>
  <c r="L195" i="3"/>
  <c r="Q195" i="3"/>
  <c r="R195" i="3" s="1"/>
  <c r="P195" i="3"/>
  <c r="U195" i="3"/>
  <c r="V195" i="3" s="1"/>
  <c r="T195" i="3"/>
  <c r="Y195" i="3"/>
  <c r="Z195" i="3" s="1"/>
  <c r="X195" i="3"/>
  <c r="AC195" i="3"/>
  <c r="AD195" i="3" s="1"/>
  <c r="AB195" i="3"/>
  <c r="AG195" i="3"/>
  <c r="AH195" i="3" s="1"/>
  <c r="AF195" i="3"/>
  <c r="B197" i="3"/>
  <c r="AE196" i="3"/>
  <c r="AA196" i="3"/>
  <c r="W196" i="3"/>
  <c r="S196" i="3"/>
  <c r="O196" i="3"/>
  <c r="K196" i="3"/>
  <c r="G196" i="3"/>
  <c r="C196" i="3"/>
  <c r="E196" i="3" l="1"/>
  <c r="F196" i="3" s="1"/>
  <c r="D196" i="3"/>
  <c r="I196" i="3"/>
  <c r="J196" i="3" s="1"/>
  <c r="H196" i="3"/>
  <c r="M196" i="3"/>
  <c r="N196" i="3" s="1"/>
  <c r="L196" i="3"/>
  <c r="Q196" i="3"/>
  <c r="R196" i="3" s="1"/>
  <c r="P196" i="3"/>
  <c r="U196" i="3"/>
  <c r="V196" i="3" s="1"/>
  <c r="T196" i="3"/>
  <c r="Y196" i="3"/>
  <c r="Z196" i="3" s="1"/>
  <c r="X196" i="3"/>
  <c r="AC196" i="3"/>
  <c r="AD196" i="3" s="1"/>
  <c r="AB196" i="3"/>
  <c r="AG196" i="3"/>
  <c r="AH196" i="3" s="1"/>
  <c r="AF196" i="3"/>
  <c r="B198" i="3"/>
  <c r="AE197" i="3"/>
  <c r="AA197" i="3"/>
  <c r="W197" i="3"/>
  <c r="S197" i="3"/>
  <c r="O197" i="3"/>
  <c r="K197" i="3"/>
  <c r="G197" i="3"/>
  <c r="C197" i="3"/>
  <c r="E197" i="3" l="1"/>
  <c r="F197" i="3" s="1"/>
  <c r="D197" i="3"/>
  <c r="I197" i="3"/>
  <c r="J197" i="3" s="1"/>
  <c r="H197" i="3"/>
  <c r="M197" i="3"/>
  <c r="N197" i="3" s="1"/>
  <c r="L197" i="3"/>
  <c r="Q197" i="3"/>
  <c r="R197" i="3" s="1"/>
  <c r="P197" i="3"/>
  <c r="U197" i="3"/>
  <c r="V197" i="3" s="1"/>
  <c r="T197" i="3"/>
  <c r="Y197" i="3"/>
  <c r="Z197" i="3" s="1"/>
  <c r="X197" i="3"/>
  <c r="AC197" i="3"/>
  <c r="AD197" i="3" s="1"/>
  <c r="AB197" i="3"/>
  <c r="AG197" i="3"/>
  <c r="AH197" i="3" s="1"/>
  <c r="AF197" i="3"/>
  <c r="B199" i="3"/>
  <c r="AE198" i="3"/>
  <c r="AA198" i="3"/>
  <c r="W198" i="3"/>
  <c r="S198" i="3"/>
  <c r="O198" i="3"/>
  <c r="K198" i="3"/>
  <c r="G198" i="3"/>
  <c r="C198" i="3"/>
  <c r="E198" i="3" l="1"/>
  <c r="F198" i="3" s="1"/>
  <c r="D198" i="3"/>
  <c r="I198" i="3"/>
  <c r="J198" i="3" s="1"/>
  <c r="H198" i="3"/>
  <c r="M198" i="3"/>
  <c r="N198" i="3" s="1"/>
  <c r="L198" i="3"/>
  <c r="Q198" i="3"/>
  <c r="R198" i="3" s="1"/>
  <c r="P198" i="3"/>
  <c r="U198" i="3"/>
  <c r="V198" i="3" s="1"/>
  <c r="T198" i="3"/>
  <c r="Y198" i="3"/>
  <c r="Z198" i="3" s="1"/>
  <c r="X198" i="3"/>
  <c r="AC198" i="3"/>
  <c r="AD198" i="3" s="1"/>
  <c r="AB198" i="3"/>
  <c r="AG198" i="3"/>
  <c r="AH198" i="3" s="1"/>
  <c r="AF198" i="3"/>
  <c r="B200" i="3"/>
  <c r="AE199" i="3"/>
  <c r="AA199" i="3"/>
  <c r="W199" i="3"/>
  <c r="S199" i="3"/>
  <c r="O199" i="3"/>
  <c r="K199" i="3"/>
  <c r="G199" i="3"/>
  <c r="C199" i="3"/>
  <c r="E199" i="3" l="1"/>
  <c r="F199" i="3" s="1"/>
  <c r="D199" i="3"/>
  <c r="I199" i="3"/>
  <c r="J199" i="3" s="1"/>
  <c r="H199" i="3"/>
  <c r="M199" i="3"/>
  <c r="N199" i="3" s="1"/>
  <c r="L199" i="3"/>
  <c r="Q199" i="3"/>
  <c r="R199" i="3" s="1"/>
  <c r="P199" i="3"/>
  <c r="U199" i="3"/>
  <c r="V199" i="3" s="1"/>
  <c r="T199" i="3"/>
  <c r="Y199" i="3"/>
  <c r="Z199" i="3" s="1"/>
  <c r="X199" i="3"/>
  <c r="AC199" i="3"/>
  <c r="AD199" i="3" s="1"/>
  <c r="AB199" i="3"/>
  <c r="AG199" i="3"/>
  <c r="AH199" i="3" s="1"/>
  <c r="AF199" i="3"/>
  <c r="B201" i="3"/>
  <c r="AE200" i="3"/>
  <c r="AA200" i="3"/>
  <c r="W200" i="3"/>
  <c r="S200" i="3"/>
  <c r="O200" i="3"/>
  <c r="K200" i="3"/>
  <c r="G200" i="3"/>
  <c r="C200" i="3"/>
  <c r="E200" i="3" l="1"/>
  <c r="F200" i="3" s="1"/>
  <c r="D200" i="3"/>
  <c r="I200" i="3"/>
  <c r="J200" i="3" s="1"/>
  <c r="H200" i="3"/>
  <c r="M200" i="3"/>
  <c r="N200" i="3" s="1"/>
  <c r="L200" i="3"/>
  <c r="Q200" i="3"/>
  <c r="R200" i="3" s="1"/>
  <c r="P200" i="3"/>
  <c r="U200" i="3"/>
  <c r="V200" i="3" s="1"/>
  <c r="T200" i="3"/>
  <c r="Y200" i="3"/>
  <c r="Z200" i="3" s="1"/>
  <c r="X200" i="3"/>
  <c r="AC200" i="3"/>
  <c r="AD200" i="3" s="1"/>
  <c r="AB200" i="3"/>
  <c r="AG200" i="3"/>
  <c r="AH200" i="3" s="1"/>
  <c r="AF200" i="3"/>
  <c r="B202" i="3"/>
  <c r="AE201" i="3"/>
  <c r="AA201" i="3"/>
  <c r="W201" i="3"/>
  <c r="S201" i="3"/>
  <c r="O201" i="3"/>
  <c r="K201" i="3"/>
  <c r="G201" i="3"/>
  <c r="C201" i="3"/>
  <c r="E201" i="3" l="1"/>
  <c r="F201" i="3" s="1"/>
  <c r="D201" i="3"/>
  <c r="I201" i="3"/>
  <c r="J201" i="3" s="1"/>
  <c r="H201" i="3"/>
  <c r="M201" i="3"/>
  <c r="N201" i="3" s="1"/>
  <c r="L201" i="3"/>
  <c r="Q201" i="3"/>
  <c r="R201" i="3" s="1"/>
  <c r="P201" i="3"/>
  <c r="U201" i="3"/>
  <c r="V201" i="3" s="1"/>
  <c r="T201" i="3"/>
  <c r="Y201" i="3"/>
  <c r="Z201" i="3" s="1"/>
  <c r="X201" i="3"/>
  <c r="AC201" i="3"/>
  <c r="AD201" i="3" s="1"/>
  <c r="AB201" i="3"/>
  <c r="AG201" i="3"/>
  <c r="AH201" i="3" s="1"/>
  <c r="AF201" i="3"/>
  <c r="B203" i="3"/>
  <c r="AE202" i="3"/>
  <c r="AA202" i="3"/>
  <c r="W202" i="3"/>
  <c r="S202" i="3"/>
  <c r="O202" i="3"/>
  <c r="K202" i="3"/>
  <c r="G202" i="3"/>
  <c r="C202" i="3"/>
  <c r="E202" i="3" l="1"/>
  <c r="F202" i="3" s="1"/>
  <c r="D202" i="3"/>
  <c r="I202" i="3"/>
  <c r="J202" i="3" s="1"/>
  <c r="H202" i="3"/>
  <c r="M202" i="3"/>
  <c r="N202" i="3" s="1"/>
  <c r="L202" i="3"/>
  <c r="Q202" i="3"/>
  <c r="R202" i="3" s="1"/>
  <c r="P202" i="3"/>
  <c r="U202" i="3"/>
  <c r="V202" i="3" s="1"/>
  <c r="T202" i="3"/>
  <c r="Y202" i="3"/>
  <c r="Z202" i="3" s="1"/>
  <c r="X202" i="3"/>
  <c r="AC202" i="3"/>
  <c r="AD202" i="3" s="1"/>
  <c r="AB202" i="3"/>
  <c r="AG202" i="3"/>
  <c r="AH202" i="3" s="1"/>
  <c r="AF202" i="3"/>
  <c r="B204" i="3"/>
  <c r="AE203" i="3"/>
  <c r="AA203" i="3"/>
  <c r="W203" i="3"/>
  <c r="S203" i="3"/>
  <c r="O203" i="3"/>
  <c r="K203" i="3"/>
  <c r="G203" i="3"/>
  <c r="C203" i="3"/>
  <c r="E203" i="3" l="1"/>
  <c r="F203" i="3" s="1"/>
  <c r="D203" i="3"/>
  <c r="I203" i="3"/>
  <c r="J203" i="3" s="1"/>
  <c r="H203" i="3"/>
  <c r="M203" i="3"/>
  <c r="N203" i="3" s="1"/>
  <c r="L203" i="3"/>
  <c r="Q203" i="3"/>
  <c r="R203" i="3" s="1"/>
  <c r="P203" i="3"/>
  <c r="U203" i="3"/>
  <c r="V203" i="3" s="1"/>
  <c r="T203" i="3"/>
  <c r="Y203" i="3"/>
  <c r="Z203" i="3" s="1"/>
  <c r="X203" i="3"/>
  <c r="AC203" i="3"/>
  <c r="AD203" i="3" s="1"/>
  <c r="AB203" i="3"/>
  <c r="AG203" i="3"/>
  <c r="AH203" i="3" s="1"/>
  <c r="AF203" i="3"/>
  <c r="B205" i="3"/>
  <c r="AE204" i="3"/>
  <c r="AA204" i="3"/>
  <c r="W204" i="3"/>
  <c r="S204" i="3"/>
  <c r="O204" i="3"/>
  <c r="K204" i="3"/>
  <c r="G204" i="3"/>
  <c r="C204" i="3"/>
  <c r="E204" i="3" l="1"/>
  <c r="F204" i="3" s="1"/>
  <c r="D204" i="3"/>
  <c r="I204" i="3"/>
  <c r="J204" i="3" s="1"/>
  <c r="H204" i="3"/>
  <c r="M204" i="3"/>
  <c r="N204" i="3" s="1"/>
  <c r="L204" i="3"/>
  <c r="Q204" i="3"/>
  <c r="R204" i="3" s="1"/>
  <c r="P204" i="3"/>
  <c r="U204" i="3"/>
  <c r="V204" i="3" s="1"/>
  <c r="T204" i="3"/>
  <c r="Y204" i="3"/>
  <c r="Z204" i="3" s="1"/>
  <c r="X204" i="3"/>
  <c r="AC204" i="3"/>
  <c r="AD204" i="3" s="1"/>
  <c r="AB204" i="3"/>
  <c r="AG204" i="3"/>
  <c r="AH204" i="3" s="1"/>
  <c r="AF204" i="3"/>
  <c r="B206" i="3"/>
  <c r="AE205" i="3"/>
  <c r="AA205" i="3"/>
  <c r="W205" i="3"/>
  <c r="S205" i="3"/>
  <c r="O205" i="3"/>
  <c r="K205" i="3"/>
  <c r="G205" i="3"/>
  <c r="C205" i="3"/>
  <c r="E205" i="3" l="1"/>
  <c r="F205" i="3" s="1"/>
  <c r="D205" i="3"/>
  <c r="I205" i="3"/>
  <c r="J205" i="3" s="1"/>
  <c r="H205" i="3"/>
  <c r="M205" i="3"/>
  <c r="N205" i="3" s="1"/>
  <c r="L205" i="3"/>
  <c r="Q205" i="3"/>
  <c r="R205" i="3" s="1"/>
  <c r="P205" i="3"/>
  <c r="U205" i="3"/>
  <c r="V205" i="3" s="1"/>
  <c r="T205" i="3"/>
  <c r="Y205" i="3"/>
  <c r="Z205" i="3" s="1"/>
  <c r="X205" i="3"/>
  <c r="AC205" i="3"/>
  <c r="AD205" i="3" s="1"/>
  <c r="AB205" i="3"/>
  <c r="AG205" i="3"/>
  <c r="AH205" i="3" s="1"/>
  <c r="AF205" i="3"/>
  <c r="B207" i="3"/>
  <c r="AE206" i="3"/>
  <c r="AA206" i="3"/>
  <c r="W206" i="3"/>
  <c r="S206" i="3"/>
  <c r="O206" i="3"/>
  <c r="K206" i="3"/>
  <c r="G206" i="3"/>
  <c r="C206" i="3"/>
  <c r="E206" i="3" l="1"/>
  <c r="F206" i="3" s="1"/>
  <c r="D206" i="3"/>
  <c r="I206" i="3"/>
  <c r="J206" i="3" s="1"/>
  <c r="H206" i="3"/>
  <c r="M206" i="3"/>
  <c r="N206" i="3" s="1"/>
  <c r="L206" i="3"/>
  <c r="Q206" i="3"/>
  <c r="R206" i="3" s="1"/>
  <c r="P206" i="3"/>
  <c r="U206" i="3"/>
  <c r="V206" i="3" s="1"/>
  <c r="T206" i="3"/>
  <c r="Y206" i="3"/>
  <c r="Z206" i="3" s="1"/>
  <c r="X206" i="3"/>
  <c r="AC206" i="3"/>
  <c r="AD206" i="3" s="1"/>
  <c r="AB206" i="3"/>
  <c r="AG206" i="3"/>
  <c r="AH206" i="3" s="1"/>
  <c r="AF206" i="3"/>
  <c r="B208" i="3"/>
  <c r="AE207" i="3"/>
  <c r="AA207" i="3"/>
  <c r="W207" i="3"/>
  <c r="S207" i="3"/>
  <c r="O207" i="3"/>
  <c r="K207" i="3"/>
  <c r="G207" i="3"/>
  <c r="C207" i="3"/>
  <c r="E207" i="3" l="1"/>
  <c r="F207" i="3" s="1"/>
  <c r="D207" i="3"/>
  <c r="I207" i="3"/>
  <c r="J207" i="3" s="1"/>
  <c r="H207" i="3"/>
  <c r="M207" i="3"/>
  <c r="N207" i="3" s="1"/>
  <c r="L207" i="3"/>
  <c r="Q207" i="3"/>
  <c r="R207" i="3" s="1"/>
  <c r="P207" i="3"/>
  <c r="U207" i="3"/>
  <c r="V207" i="3" s="1"/>
  <c r="T207" i="3"/>
  <c r="Y207" i="3"/>
  <c r="Z207" i="3" s="1"/>
  <c r="X207" i="3"/>
  <c r="AC207" i="3"/>
  <c r="AD207" i="3" s="1"/>
  <c r="AB207" i="3"/>
  <c r="AG207" i="3"/>
  <c r="AH207" i="3" s="1"/>
  <c r="AF207" i="3"/>
  <c r="B209" i="3"/>
  <c r="AE208" i="3"/>
  <c r="AA208" i="3"/>
  <c r="W208" i="3"/>
  <c r="S208" i="3"/>
  <c r="O208" i="3"/>
  <c r="K208" i="3"/>
  <c r="G208" i="3"/>
  <c r="C208" i="3"/>
  <c r="E208" i="3" l="1"/>
  <c r="F208" i="3" s="1"/>
  <c r="D208" i="3"/>
  <c r="I208" i="3"/>
  <c r="J208" i="3" s="1"/>
  <c r="H208" i="3"/>
  <c r="M208" i="3"/>
  <c r="N208" i="3" s="1"/>
  <c r="L208" i="3"/>
  <c r="Q208" i="3"/>
  <c r="R208" i="3" s="1"/>
  <c r="P208" i="3"/>
  <c r="U208" i="3"/>
  <c r="V208" i="3" s="1"/>
  <c r="T208" i="3"/>
  <c r="Y208" i="3"/>
  <c r="Z208" i="3" s="1"/>
  <c r="X208" i="3"/>
  <c r="AC208" i="3"/>
  <c r="AD208" i="3" s="1"/>
  <c r="AB208" i="3"/>
  <c r="AG208" i="3"/>
  <c r="AH208" i="3" s="1"/>
  <c r="AF208" i="3"/>
  <c r="B210" i="3"/>
  <c r="AE209" i="3"/>
  <c r="AA209" i="3"/>
  <c r="W209" i="3"/>
  <c r="S209" i="3"/>
  <c r="O209" i="3"/>
  <c r="K209" i="3"/>
  <c r="G209" i="3"/>
  <c r="C209" i="3"/>
  <c r="E209" i="3" l="1"/>
  <c r="F209" i="3" s="1"/>
  <c r="D209" i="3"/>
  <c r="I209" i="3"/>
  <c r="J209" i="3" s="1"/>
  <c r="H209" i="3"/>
  <c r="M209" i="3"/>
  <c r="N209" i="3" s="1"/>
  <c r="L209" i="3"/>
  <c r="Q209" i="3"/>
  <c r="R209" i="3" s="1"/>
  <c r="P209" i="3"/>
  <c r="U209" i="3"/>
  <c r="V209" i="3" s="1"/>
  <c r="T209" i="3"/>
  <c r="Y209" i="3"/>
  <c r="Z209" i="3" s="1"/>
  <c r="X209" i="3"/>
  <c r="AC209" i="3"/>
  <c r="AD209" i="3" s="1"/>
  <c r="AB209" i="3"/>
  <c r="AG209" i="3"/>
  <c r="AH209" i="3" s="1"/>
  <c r="AF209" i="3"/>
  <c r="B211" i="3"/>
  <c r="AE210" i="3"/>
  <c r="AA210" i="3"/>
  <c r="W210" i="3"/>
  <c r="S210" i="3"/>
  <c r="O210" i="3"/>
  <c r="K210" i="3"/>
  <c r="G210" i="3"/>
  <c r="C210" i="3"/>
  <c r="E210" i="3" l="1"/>
  <c r="F210" i="3" s="1"/>
  <c r="D210" i="3"/>
  <c r="I210" i="3"/>
  <c r="J210" i="3" s="1"/>
  <c r="H210" i="3"/>
  <c r="M210" i="3"/>
  <c r="N210" i="3" s="1"/>
  <c r="L210" i="3"/>
  <c r="Q210" i="3"/>
  <c r="R210" i="3" s="1"/>
  <c r="P210" i="3"/>
  <c r="U210" i="3"/>
  <c r="V210" i="3" s="1"/>
  <c r="T210" i="3"/>
  <c r="Y210" i="3"/>
  <c r="Z210" i="3" s="1"/>
  <c r="X210" i="3"/>
  <c r="AC210" i="3"/>
  <c r="AD210" i="3" s="1"/>
  <c r="AB210" i="3"/>
  <c r="AG210" i="3"/>
  <c r="AH210" i="3" s="1"/>
  <c r="AF210" i="3"/>
  <c r="B212" i="3"/>
  <c r="AE211" i="3"/>
  <c r="AA211" i="3"/>
  <c r="W211" i="3"/>
  <c r="S211" i="3"/>
  <c r="O211" i="3"/>
  <c r="K211" i="3"/>
  <c r="G211" i="3"/>
  <c r="C211" i="3"/>
  <c r="E211" i="3" l="1"/>
  <c r="F211" i="3" s="1"/>
  <c r="D211" i="3"/>
  <c r="I211" i="3"/>
  <c r="J211" i="3" s="1"/>
  <c r="H211" i="3"/>
  <c r="M211" i="3"/>
  <c r="N211" i="3" s="1"/>
  <c r="L211" i="3"/>
  <c r="Q211" i="3"/>
  <c r="R211" i="3" s="1"/>
  <c r="P211" i="3"/>
  <c r="U211" i="3"/>
  <c r="V211" i="3" s="1"/>
  <c r="T211" i="3"/>
  <c r="Y211" i="3"/>
  <c r="Z211" i="3" s="1"/>
  <c r="X211" i="3"/>
  <c r="AC211" i="3"/>
  <c r="AD211" i="3" s="1"/>
  <c r="AB211" i="3"/>
  <c r="AG211" i="3"/>
  <c r="AH211" i="3" s="1"/>
  <c r="AF211" i="3"/>
  <c r="B213" i="3"/>
  <c r="AE212" i="3"/>
  <c r="AA212" i="3"/>
  <c r="W212" i="3"/>
  <c r="S212" i="3"/>
  <c r="O212" i="3"/>
  <c r="K212" i="3"/>
  <c r="G212" i="3"/>
  <c r="C212" i="3"/>
  <c r="E212" i="3" l="1"/>
  <c r="F212" i="3" s="1"/>
  <c r="D212" i="3"/>
  <c r="I212" i="3"/>
  <c r="J212" i="3" s="1"/>
  <c r="H212" i="3"/>
  <c r="M212" i="3"/>
  <c r="N212" i="3" s="1"/>
  <c r="L212" i="3"/>
  <c r="Q212" i="3"/>
  <c r="R212" i="3" s="1"/>
  <c r="P212" i="3"/>
  <c r="U212" i="3"/>
  <c r="V212" i="3" s="1"/>
  <c r="T212" i="3"/>
  <c r="Y212" i="3"/>
  <c r="Z212" i="3" s="1"/>
  <c r="X212" i="3"/>
  <c r="AC212" i="3"/>
  <c r="AD212" i="3" s="1"/>
  <c r="AB212" i="3"/>
  <c r="AG212" i="3"/>
  <c r="AH212" i="3" s="1"/>
  <c r="AF212" i="3"/>
  <c r="B214" i="3"/>
  <c r="AE213" i="3"/>
  <c r="AA213" i="3"/>
  <c r="W213" i="3"/>
  <c r="S213" i="3"/>
  <c r="O213" i="3"/>
  <c r="K213" i="3"/>
  <c r="G213" i="3"/>
  <c r="C213" i="3"/>
  <c r="E213" i="3" l="1"/>
  <c r="F213" i="3" s="1"/>
  <c r="D213" i="3"/>
  <c r="I213" i="3"/>
  <c r="J213" i="3" s="1"/>
  <c r="H213" i="3"/>
  <c r="M213" i="3"/>
  <c r="N213" i="3" s="1"/>
  <c r="L213" i="3"/>
  <c r="Q213" i="3"/>
  <c r="R213" i="3" s="1"/>
  <c r="P213" i="3"/>
  <c r="U213" i="3"/>
  <c r="V213" i="3" s="1"/>
  <c r="T213" i="3"/>
  <c r="Y213" i="3"/>
  <c r="Z213" i="3" s="1"/>
  <c r="X213" i="3"/>
  <c r="AC213" i="3"/>
  <c r="AD213" i="3" s="1"/>
  <c r="AB213" i="3"/>
  <c r="AG213" i="3"/>
  <c r="AH213" i="3" s="1"/>
  <c r="AF213" i="3"/>
  <c r="B215" i="3"/>
  <c r="AE214" i="3"/>
  <c r="AA214" i="3"/>
  <c r="W214" i="3"/>
  <c r="S214" i="3"/>
  <c r="O214" i="3"/>
  <c r="K214" i="3"/>
  <c r="G214" i="3"/>
  <c r="C214" i="3"/>
  <c r="E214" i="3" l="1"/>
  <c r="F214" i="3" s="1"/>
  <c r="D214" i="3"/>
  <c r="I214" i="3"/>
  <c r="J214" i="3" s="1"/>
  <c r="H214" i="3"/>
  <c r="M214" i="3"/>
  <c r="N214" i="3" s="1"/>
  <c r="L214" i="3"/>
  <c r="Q214" i="3"/>
  <c r="R214" i="3" s="1"/>
  <c r="P214" i="3"/>
  <c r="U214" i="3"/>
  <c r="V214" i="3" s="1"/>
  <c r="T214" i="3"/>
  <c r="Y214" i="3"/>
  <c r="Z214" i="3" s="1"/>
  <c r="X214" i="3"/>
  <c r="AC214" i="3"/>
  <c r="AD214" i="3" s="1"/>
  <c r="AB214" i="3"/>
  <c r="AG214" i="3"/>
  <c r="AH214" i="3" s="1"/>
  <c r="AF214" i="3"/>
  <c r="B216" i="3"/>
  <c r="AE215" i="3"/>
  <c r="AA215" i="3"/>
  <c r="W215" i="3"/>
  <c r="S215" i="3"/>
  <c r="O215" i="3"/>
  <c r="K215" i="3"/>
  <c r="G215" i="3"/>
  <c r="C215" i="3"/>
  <c r="E215" i="3" l="1"/>
  <c r="F215" i="3" s="1"/>
  <c r="D215" i="3"/>
  <c r="I215" i="3"/>
  <c r="J215" i="3" s="1"/>
  <c r="H215" i="3"/>
  <c r="M215" i="3"/>
  <c r="N215" i="3" s="1"/>
  <c r="L215" i="3"/>
  <c r="Q215" i="3"/>
  <c r="R215" i="3" s="1"/>
  <c r="P215" i="3"/>
  <c r="U215" i="3"/>
  <c r="V215" i="3" s="1"/>
  <c r="T215" i="3"/>
  <c r="Y215" i="3"/>
  <c r="Z215" i="3" s="1"/>
  <c r="X215" i="3"/>
  <c r="AC215" i="3"/>
  <c r="AD215" i="3" s="1"/>
  <c r="AB215" i="3"/>
  <c r="AG215" i="3"/>
  <c r="AH215" i="3" s="1"/>
  <c r="AF215" i="3"/>
  <c r="B217" i="3"/>
  <c r="AE216" i="3"/>
  <c r="AA216" i="3"/>
  <c r="W216" i="3"/>
  <c r="S216" i="3"/>
  <c r="O216" i="3"/>
  <c r="K216" i="3"/>
  <c r="G216" i="3"/>
  <c r="C216" i="3"/>
  <c r="E216" i="3" l="1"/>
  <c r="F216" i="3" s="1"/>
  <c r="D216" i="3"/>
  <c r="I216" i="3"/>
  <c r="J216" i="3" s="1"/>
  <c r="H216" i="3"/>
  <c r="M216" i="3"/>
  <c r="N216" i="3" s="1"/>
  <c r="L216" i="3"/>
  <c r="Q216" i="3"/>
  <c r="R216" i="3" s="1"/>
  <c r="P216" i="3"/>
  <c r="U216" i="3"/>
  <c r="V216" i="3" s="1"/>
  <c r="T216" i="3"/>
  <c r="Y216" i="3"/>
  <c r="Z216" i="3" s="1"/>
  <c r="X216" i="3"/>
  <c r="AC216" i="3"/>
  <c r="AD216" i="3" s="1"/>
  <c r="AB216" i="3"/>
  <c r="AG216" i="3"/>
  <c r="AH216" i="3" s="1"/>
  <c r="AF216" i="3"/>
  <c r="B218" i="3"/>
  <c r="AE217" i="3"/>
  <c r="AA217" i="3"/>
  <c r="W217" i="3"/>
  <c r="S217" i="3"/>
  <c r="O217" i="3"/>
  <c r="K217" i="3"/>
  <c r="G217" i="3"/>
  <c r="C217" i="3"/>
  <c r="E217" i="3" l="1"/>
  <c r="F217" i="3" s="1"/>
  <c r="D217" i="3"/>
  <c r="I217" i="3"/>
  <c r="J217" i="3" s="1"/>
  <c r="H217" i="3"/>
  <c r="M217" i="3"/>
  <c r="N217" i="3" s="1"/>
  <c r="L217" i="3"/>
  <c r="Q217" i="3"/>
  <c r="R217" i="3" s="1"/>
  <c r="P217" i="3"/>
  <c r="U217" i="3"/>
  <c r="V217" i="3" s="1"/>
  <c r="T217" i="3"/>
  <c r="Y217" i="3"/>
  <c r="Z217" i="3" s="1"/>
  <c r="X217" i="3"/>
  <c r="AC217" i="3"/>
  <c r="AD217" i="3" s="1"/>
  <c r="AB217" i="3"/>
  <c r="AG217" i="3"/>
  <c r="AH217" i="3" s="1"/>
  <c r="AF217" i="3"/>
  <c r="B219" i="3"/>
  <c r="AE218" i="3"/>
  <c r="AA218" i="3"/>
  <c r="W218" i="3"/>
  <c r="S218" i="3"/>
  <c r="O218" i="3"/>
  <c r="K218" i="3"/>
  <c r="G218" i="3"/>
  <c r="C218" i="3"/>
  <c r="E218" i="3" l="1"/>
  <c r="F218" i="3" s="1"/>
  <c r="D218" i="3"/>
  <c r="I218" i="3"/>
  <c r="J218" i="3" s="1"/>
  <c r="H218" i="3"/>
  <c r="M218" i="3"/>
  <c r="N218" i="3" s="1"/>
  <c r="L218" i="3"/>
  <c r="Q218" i="3"/>
  <c r="R218" i="3" s="1"/>
  <c r="P218" i="3"/>
  <c r="U218" i="3"/>
  <c r="V218" i="3" s="1"/>
  <c r="T218" i="3"/>
  <c r="Y218" i="3"/>
  <c r="Z218" i="3" s="1"/>
  <c r="X218" i="3"/>
  <c r="AC218" i="3"/>
  <c r="AD218" i="3" s="1"/>
  <c r="AB218" i="3"/>
  <c r="AG218" i="3"/>
  <c r="AH218" i="3" s="1"/>
  <c r="AF218" i="3"/>
  <c r="B220" i="3"/>
  <c r="AE219" i="3"/>
  <c r="AA219" i="3"/>
  <c r="W219" i="3"/>
  <c r="S219" i="3"/>
  <c r="O219" i="3"/>
  <c r="K219" i="3"/>
  <c r="G219" i="3"/>
  <c r="C219" i="3"/>
  <c r="E219" i="3" l="1"/>
  <c r="F219" i="3" s="1"/>
  <c r="D219" i="3"/>
  <c r="I219" i="3"/>
  <c r="J219" i="3" s="1"/>
  <c r="H219" i="3"/>
  <c r="M219" i="3"/>
  <c r="N219" i="3" s="1"/>
  <c r="L219" i="3"/>
  <c r="Q219" i="3"/>
  <c r="R219" i="3" s="1"/>
  <c r="P219" i="3"/>
  <c r="U219" i="3"/>
  <c r="V219" i="3" s="1"/>
  <c r="T219" i="3"/>
  <c r="Y219" i="3"/>
  <c r="Z219" i="3" s="1"/>
  <c r="X219" i="3"/>
  <c r="AC219" i="3"/>
  <c r="AD219" i="3" s="1"/>
  <c r="AB219" i="3"/>
  <c r="AG219" i="3"/>
  <c r="AH219" i="3" s="1"/>
  <c r="AF219" i="3"/>
  <c r="B221" i="3"/>
  <c r="AE220" i="3"/>
  <c r="AA220" i="3"/>
  <c r="W220" i="3"/>
  <c r="S220" i="3"/>
  <c r="O220" i="3"/>
  <c r="K220" i="3"/>
  <c r="G220" i="3"/>
  <c r="C220" i="3"/>
  <c r="E220" i="3" l="1"/>
  <c r="F220" i="3" s="1"/>
  <c r="D220" i="3"/>
  <c r="I220" i="3"/>
  <c r="J220" i="3" s="1"/>
  <c r="H220" i="3"/>
  <c r="M220" i="3"/>
  <c r="N220" i="3" s="1"/>
  <c r="L220" i="3"/>
  <c r="Q220" i="3"/>
  <c r="R220" i="3" s="1"/>
  <c r="P220" i="3"/>
  <c r="U220" i="3"/>
  <c r="V220" i="3" s="1"/>
  <c r="T220" i="3"/>
  <c r="Y220" i="3"/>
  <c r="Z220" i="3" s="1"/>
  <c r="X220" i="3"/>
  <c r="AC220" i="3"/>
  <c r="AD220" i="3" s="1"/>
  <c r="AB220" i="3"/>
  <c r="AG220" i="3"/>
  <c r="AH220" i="3" s="1"/>
  <c r="AF220" i="3"/>
  <c r="B222" i="3"/>
  <c r="AE221" i="3"/>
  <c r="AA221" i="3"/>
  <c r="W221" i="3"/>
  <c r="S221" i="3"/>
  <c r="O221" i="3"/>
  <c r="K221" i="3"/>
  <c r="G221" i="3"/>
  <c r="C221" i="3"/>
  <c r="E221" i="3" l="1"/>
  <c r="F221" i="3" s="1"/>
  <c r="D221" i="3"/>
  <c r="I221" i="3"/>
  <c r="J221" i="3" s="1"/>
  <c r="H221" i="3"/>
  <c r="M221" i="3"/>
  <c r="N221" i="3" s="1"/>
  <c r="L221" i="3"/>
  <c r="Q221" i="3"/>
  <c r="R221" i="3" s="1"/>
  <c r="P221" i="3"/>
  <c r="U221" i="3"/>
  <c r="V221" i="3" s="1"/>
  <c r="T221" i="3"/>
  <c r="Y221" i="3"/>
  <c r="Z221" i="3" s="1"/>
  <c r="X221" i="3"/>
  <c r="AC221" i="3"/>
  <c r="AD221" i="3" s="1"/>
  <c r="AB221" i="3"/>
  <c r="AG221" i="3"/>
  <c r="AH221" i="3" s="1"/>
  <c r="AF221" i="3"/>
  <c r="B223" i="3"/>
  <c r="AE222" i="3"/>
  <c r="AA222" i="3"/>
  <c r="W222" i="3"/>
  <c r="S222" i="3"/>
  <c r="O222" i="3"/>
  <c r="K222" i="3"/>
  <c r="G222" i="3"/>
  <c r="C222" i="3"/>
  <c r="E222" i="3" l="1"/>
  <c r="F222" i="3" s="1"/>
  <c r="D222" i="3"/>
  <c r="I222" i="3"/>
  <c r="J222" i="3" s="1"/>
  <c r="H222" i="3"/>
  <c r="M222" i="3"/>
  <c r="N222" i="3" s="1"/>
  <c r="L222" i="3"/>
  <c r="Q222" i="3"/>
  <c r="R222" i="3" s="1"/>
  <c r="P222" i="3"/>
  <c r="U222" i="3"/>
  <c r="V222" i="3" s="1"/>
  <c r="T222" i="3"/>
  <c r="Y222" i="3"/>
  <c r="Z222" i="3" s="1"/>
  <c r="X222" i="3"/>
  <c r="AC222" i="3"/>
  <c r="AD222" i="3" s="1"/>
  <c r="AB222" i="3"/>
  <c r="AG222" i="3"/>
  <c r="AH222" i="3" s="1"/>
  <c r="AF222" i="3"/>
  <c r="B224" i="3"/>
  <c r="AE223" i="3"/>
  <c r="AA223" i="3"/>
  <c r="W223" i="3"/>
  <c r="S223" i="3"/>
  <c r="O223" i="3"/>
  <c r="K223" i="3"/>
  <c r="G223" i="3"/>
  <c r="C223" i="3"/>
  <c r="E223" i="3" l="1"/>
  <c r="F223" i="3" s="1"/>
  <c r="D223" i="3"/>
  <c r="I223" i="3"/>
  <c r="J223" i="3" s="1"/>
  <c r="H223" i="3"/>
  <c r="M223" i="3"/>
  <c r="N223" i="3" s="1"/>
  <c r="L223" i="3"/>
  <c r="Q223" i="3"/>
  <c r="R223" i="3" s="1"/>
  <c r="P223" i="3"/>
  <c r="U223" i="3"/>
  <c r="V223" i="3" s="1"/>
  <c r="T223" i="3"/>
  <c r="Y223" i="3"/>
  <c r="Z223" i="3" s="1"/>
  <c r="X223" i="3"/>
  <c r="AC223" i="3"/>
  <c r="AD223" i="3" s="1"/>
  <c r="AB223" i="3"/>
  <c r="AG223" i="3"/>
  <c r="AH223" i="3" s="1"/>
  <c r="AF223" i="3"/>
  <c r="B225" i="3"/>
  <c r="AE224" i="3"/>
  <c r="AA224" i="3"/>
  <c r="W224" i="3"/>
  <c r="S224" i="3"/>
  <c r="O224" i="3"/>
  <c r="K224" i="3"/>
  <c r="G224" i="3"/>
  <c r="C224" i="3"/>
  <c r="E224" i="3" l="1"/>
  <c r="F224" i="3" s="1"/>
  <c r="D224" i="3"/>
  <c r="I224" i="3"/>
  <c r="J224" i="3" s="1"/>
  <c r="H224" i="3"/>
  <c r="M224" i="3"/>
  <c r="N224" i="3" s="1"/>
  <c r="L224" i="3"/>
  <c r="Q224" i="3"/>
  <c r="R224" i="3" s="1"/>
  <c r="P224" i="3"/>
  <c r="U224" i="3"/>
  <c r="V224" i="3" s="1"/>
  <c r="T224" i="3"/>
  <c r="Y224" i="3"/>
  <c r="Z224" i="3" s="1"/>
  <c r="X224" i="3"/>
  <c r="AC224" i="3"/>
  <c r="AD224" i="3" s="1"/>
  <c r="AB224" i="3"/>
  <c r="AG224" i="3"/>
  <c r="AH224" i="3" s="1"/>
  <c r="AF224" i="3"/>
  <c r="B226" i="3"/>
  <c r="AE225" i="3"/>
  <c r="AA225" i="3"/>
  <c r="W225" i="3"/>
  <c r="S225" i="3"/>
  <c r="O225" i="3"/>
  <c r="K225" i="3"/>
  <c r="G225" i="3"/>
  <c r="C225" i="3"/>
  <c r="E225" i="3" l="1"/>
  <c r="F225" i="3" s="1"/>
  <c r="D225" i="3"/>
  <c r="I225" i="3"/>
  <c r="J225" i="3" s="1"/>
  <c r="H225" i="3"/>
  <c r="M225" i="3"/>
  <c r="N225" i="3" s="1"/>
  <c r="L225" i="3"/>
  <c r="Q225" i="3"/>
  <c r="R225" i="3" s="1"/>
  <c r="P225" i="3"/>
  <c r="U225" i="3"/>
  <c r="V225" i="3" s="1"/>
  <c r="T225" i="3"/>
  <c r="Y225" i="3"/>
  <c r="Z225" i="3" s="1"/>
  <c r="X225" i="3"/>
  <c r="AC225" i="3"/>
  <c r="AD225" i="3" s="1"/>
  <c r="AB225" i="3"/>
  <c r="AG225" i="3"/>
  <c r="AH225" i="3" s="1"/>
  <c r="AF225" i="3"/>
  <c r="B227" i="3"/>
  <c r="AE226" i="3"/>
  <c r="AA226" i="3"/>
  <c r="W226" i="3"/>
  <c r="S226" i="3"/>
  <c r="O226" i="3"/>
  <c r="K226" i="3"/>
  <c r="G226" i="3"/>
  <c r="C226" i="3"/>
  <c r="E226" i="3" l="1"/>
  <c r="F226" i="3" s="1"/>
  <c r="D226" i="3"/>
  <c r="I226" i="3"/>
  <c r="J226" i="3" s="1"/>
  <c r="H226" i="3"/>
  <c r="M226" i="3"/>
  <c r="N226" i="3" s="1"/>
  <c r="L226" i="3"/>
  <c r="Q226" i="3"/>
  <c r="R226" i="3" s="1"/>
  <c r="P226" i="3"/>
  <c r="U226" i="3"/>
  <c r="V226" i="3" s="1"/>
  <c r="T226" i="3"/>
  <c r="Y226" i="3"/>
  <c r="Z226" i="3" s="1"/>
  <c r="X226" i="3"/>
  <c r="AC226" i="3"/>
  <c r="AD226" i="3" s="1"/>
  <c r="AB226" i="3"/>
  <c r="AG226" i="3"/>
  <c r="AH226" i="3" s="1"/>
  <c r="AF226" i="3"/>
  <c r="B228" i="3"/>
  <c r="AE227" i="3"/>
  <c r="AA227" i="3"/>
  <c r="W227" i="3"/>
  <c r="S227" i="3"/>
  <c r="O227" i="3"/>
  <c r="K227" i="3"/>
  <c r="G227" i="3"/>
  <c r="C227" i="3"/>
  <c r="E227" i="3" l="1"/>
  <c r="F227" i="3" s="1"/>
  <c r="D227" i="3"/>
  <c r="I227" i="3"/>
  <c r="J227" i="3" s="1"/>
  <c r="H227" i="3"/>
  <c r="M227" i="3"/>
  <c r="N227" i="3" s="1"/>
  <c r="L227" i="3"/>
  <c r="Q227" i="3"/>
  <c r="R227" i="3" s="1"/>
  <c r="P227" i="3"/>
  <c r="U227" i="3"/>
  <c r="V227" i="3" s="1"/>
  <c r="T227" i="3"/>
  <c r="Y227" i="3"/>
  <c r="Z227" i="3" s="1"/>
  <c r="X227" i="3"/>
  <c r="AC227" i="3"/>
  <c r="AD227" i="3" s="1"/>
  <c r="AB227" i="3"/>
  <c r="AG227" i="3"/>
  <c r="AH227" i="3" s="1"/>
  <c r="AF227" i="3"/>
  <c r="B229" i="3"/>
  <c r="AE228" i="3"/>
  <c r="AA228" i="3"/>
  <c r="W228" i="3"/>
  <c r="S228" i="3"/>
  <c r="O228" i="3"/>
  <c r="K228" i="3"/>
  <c r="G228" i="3"/>
  <c r="C228" i="3"/>
  <c r="E228" i="3" l="1"/>
  <c r="F228" i="3" s="1"/>
  <c r="D228" i="3"/>
  <c r="I228" i="3"/>
  <c r="J228" i="3" s="1"/>
  <c r="H228" i="3"/>
  <c r="M228" i="3"/>
  <c r="N228" i="3" s="1"/>
  <c r="L228" i="3"/>
  <c r="Q228" i="3"/>
  <c r="R228" i="3" s="1"/>
  <c r="P228" i="3"/>
  <c r="U228" i="3"/>
  <c r="V228" i="3" s="1"/>
  <c r="T228" i="3"/>
  <c r="Y228" i="3"/>
  <c r="Z228" i="3" s="1"/>
  <c r="X228" i="3"/>
  <c r="AC228" i="3"/>
  <c r="AD228" i="3" s="1"/>
  <c r="AB228" i="3"/>
  <c r="AG228" i="3"/>
  <c r="AH228" i="3" s="1"/>
  <c r="AF228" i="3"/>
  <c r="B230" i="3"/>
  <c r="AE229" i="3"/>
  <c r="AA229" i="3"/>
  <c r="W229" i="3"/>
  <c r="S229" i="3"/>
  <c r="O229" i="3"/>
  <c r="K229" i="3"/>
  <c r="G229" i="3"/>
  <c r="C229" i="3"/>
  <c r="E229" i="3" l="1"/>
  <c r="F229" i="3" s="1"/>
  <c r="D229" i="3"/>
  <c r="I229" i="3"/>
  <c r="J229" i="3" s="1"/>
  <c r="H229" i="3"/>
  <c r="M229" i="3"/>
  <c r="N229" i="3" s="1"/>
  <c r="L229" i="3"/>
  <c r="Q229" i="3"/>
  <c r="R229" i="3" s="1"/>
  <c r="P229" i="3"/>
  <c r="U229" i="3"/>
  <c r="V229" i="3" s="1"/>
  <c r="T229" i="3"/>
  <c r="Y229" i="3"/>
  <c r="Z229" i="3" s="1"/>
  <c r="X229" i="3"/>
  <c r="AC229" i="3"/>
  <c r="AD229" i="3" s="1"/>
  <c r="AB229" i="3"/>
  <c r="AG229" i="3"/>
  <c r="AH229" i="3" s="1"/>
  <c r="AF229" i="3"/>
  <c r="B231" i="3"/>
  <c r="AE230" i="3"/>
  <c r="AA230" i="3"/>
  <c r="W230" i="3"/>
  <c r="S230" i="3"/>
  <c r="O230" i="3"/>
  <c r="K230" i="3"/>
  <c r="G230" i="3"/>
  <c r="C230" i="3"/>
  <c r="E230" i="3" l="1"/>
  <c r="F230" i="3" s="1"/>
  <c r="D230" i="3"/>
  <c r="I230" i="3"/>
  <c r="J230" i="3" s="1"/>
  <c r="H230" i="3"/>
  <c r="M230" i="3"/>
  <c r="N230" i="3" s="1"/>
  <c r="L230" i="3"/>
  <c r="Q230" i="3"/>
  <c r="R230" i="3" s="1"/>
  <c r="P230" i="3"/>
  <c r="U230" i="3"/>
  <c r="V230" i="3" s="1"/>
  <c r="T230" i="3"/>
  <c r="Y230" i="3"/>
  <c r="Z230" i="3" s="1"/>
  <c r="X230" i="3"/>
  <c r="AC230" i="3"/>
  <c r="AD230" i="3" s="1"/>
  <c r="AB230" i="3"/>
  <c r="AG230" i="3"/>
  <c r="AH230" i="3" s="1"/>
  <c r="AF230" i="3"/>
  <c r="B232" i="3"/>
  <c r="AE231" i="3"/>
  <c r="AA231" i="3"/>
  <c r="W231" i="3"/>
  <c r="S231" i="3"/>
  <c r="O231" i="3"/>
  <c r="K231" i="3"/>
  <c r="G231" i="3"/>
  <c r="C231" i="3"/>
  <c r="E231" i="3" l="1"/>
  <c r="F231" i="3" s="1"/>
  <c r="D231" i="3"/>
  <c r="I231" i="3"/>
  <c r="J231" i="3" s="1"/>
  <c r="H231" i="3"/>
  <c r="M231" i="3"/>
  <c r="N231" i="3" s="1"/>
  <c r="L231" i="3"/>
  <c r="Q231" i="3"/>
  <c r="R231" i="3" s="1"/>
  <c r="P231" i="3"/>
  <c r="U231" i="3"/>
  <c r="V231" i="3" s="1"/>
  <c r="T231" i="3"/>
  <c r="Y231" i="3"/>
  <c r="Z231" i="3" s="1"/>
  <c r="X231" i="3"/>
  <c r="AC231" i="3"/>
  <c r="AD231" i="3" s="1"/>
  <c r="AB231" i="3"/>
  <c r="AG231" i="3"/>
  <c r="AH231" i="3" s="1"/>
  <c r="AF231" i="3"/>
  <c r="B233" i="3"/>
  <c r="AE232" i="3"/>
  <c r="AA232" i="3"/>
  <c r="W232" i="3"/>
  <c r="S232" i="3"/>
  <c r="O232" i="3"/>
  <c r="K232" i="3"/>
  <c r="G232" i="3"/>
  <c r="C232" i="3"/>
  <c r="E232" i="3" l="1"/>
  <c r="F232" i="3" s="1"/>
  <c r="D232" i="3"/>
  <c r="I232" i="3"/>
  <c r="J232" i="3" s="1"/>
  <c r="H232" i="3"/>
  <c r="M232" i="3"/>
  <c r="N232" i="3" s="1"/>
  <c r="L232" i="3"/>
  <c r="Q232" i="3"/>
  <c r="R232" i="3" s="1"/>
  <c r="P232" i="3"/>
  <c r="U232" i="3"/>
  <c r="V232" i="3" s="1"/>
  <c r="T232" i="3"/>
  <c r="Y232" i="3"/>
  <c r="Z232" i="3" s="1"/>
  <c r="X232" i="3"/>
  <c r="AC232" i="3"/>
  <c r="AD232" i="3" s="1"/>
  <c r="AB232" i="3"/>
  <c r="AG232" i="3"/>
  <c r="AH232" i="3" s="1"/>
  <c r="AF232" i="3"/>
  <c r="B234" i="3"/>
  <c r="AE233" i="3"/>
  <c r="AA233" i="3"/>
  <c r="W233" i="3"/>
  <c r="S233" i="3"/>
  <c r="O233" i="3"/>
  <c r="K233" i="3"/>
  <c r="G233" i="3"/>
  <c r="C233" i="3"/>
  <c r="E233" i="3" l="1"/>
  <c r="F233" i="3" s="1"/>
  <c r="D233" i="3"/>
  <c r="I233" i="3"/>
  <c r="J233" i="3" s="1"/>
  <c r="H233" i="3"/>
  <c r="M233" i="3"/>
  <c r="N233" i="3" s="1"/>
  <c r="L233" i="3"/>
  <c r="Q233" i="3"/>
  <c r="R233" i="3" s="1"/>
  <c r="P233" i="3"/>
  <c r="U233" i="3"/>
  <c r="V233" i="3" s="1"/>
  <c r="T233" i="3"/>
  <c r="Y233" i="3"/>
  <c r="Z233" i="3" s="1"/>
  <c r="X233" i="3"/>
  <c r="AC233" i="3"/>
  <c r="AD233" i="3" s="1"/>
  <c r="AB233" i="3"/>
  <c r="AG233" i="3"/>
  <c r="AH233" i="3" s="1"/>
  <c r="AF233" i="3"/>
  <c r="B235" i="3"/>
  <c r="AE234" i="3"/>
  <c r="AA234" i="3"/>
  <c r="W234" i="3"/>
  <c r="S234" i="3"/>
  <c r="O234" i="3"/>
  <c r="K234" i="3"/>
  <c r="G234" i="3"/>
  <c r="C234" i="3"/>
  <c r="E234" i="3" l="1"/>
  <c r="F234" i="3" s="1"/>
  <c r="D234" i="3"/>
  <c r="I234" i="3"/>
  <c r="J234" i="3" s="1"/>
  <c r="H234" i="3"/>
  <c r="M234" i="3"/>
  <c r="N234" i="3" s="1"/>
  <c r="L234" i="3"/>
  <c r="Q234" i="3"/>
  <c r="R234" i="3" s="1"/>
  <c r="P234" i="3"/>
  <c r="U234" i="3"/>
  <c r="V234" i="3" s="1"/>
  <c r="T234" i="3"/>
  <c r="Y234" i="3"/>
  <c r="Z234" i="3" s="1"/>
  <c r="X234" i="3"/>
  <c r="AC234" i="3"/>
  <c r="AD234" i="3" s="1"/>
  <c r="AB234" i="3"/>
  <c r="AG234" i="3"/>
  <c r="AH234" i="3" s="1"/>
  <c r="AF234" i="3"/>
  <c r="B236" i="3"/>
  <c r="AE235" i="3"/>
  <c r="AA235" i="3"/>
  <c r="W235" i="3"/>
  <c r="S235" i="3"/>
  <c r="O235" i="3"/>
  <c r="K235" i="3"/>
  <c r="G235" i="3"/>
  <c r="C235" i="3"/>
  <c r="E235" i="3" l="1"/>
  <c r="F235" i="3" s="1"/>
  <c r="D235" i="3"/>
  <c r="I235" i="3"/>
  <c r="J235" i="3" s="1"/>
  <c r="H235" i="3"/>
  <c r="M235" i="3"/>
  <c r="N235" i="3" s="1"/>
  <c r="L235" i="3"/>
  <c r="Q235" i="3"/>
  <c r="R235" i="3" s="1"/>
  <c r="P235" i="3"/>
  <c r="U235" i="3"/>
  <c r="V235" i="3" s="1"/>
  <c r="T235" i="3"/>
  <c r="Y235" i="3"/>
  <c r="Z235" i="3" s="1"/>
  <c r="X235" i="3"/>
  <c r="AC235" i="3"/>
  <c r="AD235" i="3" s="1"/>
  <c r="AB235" i="3"/>
  <c r="AG235" i="3"/>
  <c r="AH235" i="3" s="1"/>
  <c r="AF235" i="3"/>
  <c r="B237" i="3"/>
  <c r="AE236" i="3"/>
  <c r="AA236" i="3"/>
  <c r="W236" i="3"/>
  <c r="S236" i="3"/>
  <c r="O236" i="3"/>
  <c r="K236" i="3"/>
  <c r="G236" i="3"/>
  <c r="C236" i="3"/>
  <c r="E236" i="3" l="1"/>
  <c r="F236" i="3" s="1"/>
  <c r="D236" i="3"/>
  <c r="I236" i="3"/>
  <c r="J236" i="3" s="1"/>
  <c r="H236" i="3"/>
  <c r="M236" i="3"/>
  <c r="N236" i="3" s="1"/>
  <c r="L236" i="3"/>
  <c r="Q236" i="3"/>
  <c r="R236" i="3" s="1"/>
  <c r="P236" i="3"/>
  <c r="U236" i="3"/>
  <c r="V236" i="3" s="1"/>
  <c r="T236" i="3"/>
  <c r="Y236" i="3"/>
  <c r="Z236" i="3" s="1"/>
  <c r="X236" i="3"/>
  <c r="AC236" i="3"/>
  <c r="AD236" i="3" s="1"/>
  <c r="AB236" i="3"/>
  <c r="AG236" i="3"/>
  <c r="AH236" i="3" s="1"/>
  <c r="AF236" i="3"/>
  <c r="B238" i="3"/>
  <c r="AE237" i="3"/>
  <c r="AA237" i="3"/>
  <c r="W237" i="3"/>
  <c r="S237" i="3"/>
  <c r="O237" i="3"/>
  <c r="K237" i="3"/>
  <c r="G237" i="3"/>
  <c r="C237" i="3"/>
  <c r="E237" i="3" l="1"/>
  <c r="F237" i="3" s="1"/>
  <c r="D237" i="3"/>
  <c r="I237" i="3"/>
  <c r="J237" i="3" s="1"/>
  <c r="H237" i="3"/>
  <c r="M237" i="3"/>
  <c r="N237" i="3" s="1"/>
  <c r="L237" i="3"/>
  <c r="Q237" i="3"/>
  <c r="R237" i="3" s="1"/>
  <c r="P237" i="3"/>
  <c r="U237" i="3"/>
  <c r="V237" i="3" s="1"/>
  <c r="T237" i="3"/>
  <c r="Y237" i="3"/>
  <c r="Z237" i="3" s="1"/>
  <c r="X237" i="3"/>
  <c r="AC237" i="3"/>
  <c r="AD237" i="3" s="1"/>
  <c r="AB237" i="3"/>
  <c r="AG237" i="3"/>
  <c r="AH237" i="3" s="1"/>
  <c r="AF237" i="3"/>
  <c r="B239" i="3"/>
  <c r="AE238" i="3"/>
  <c r="AA238" i="3"/>
  <c r="W238" i="3"/>
  <c r="S238" i="3"/>
  <c r="O238" i="3"/>
  <c r="K238" i="3"/>
  <c r="G238" i="3"/>
  <c r="C238" i="3"/>
  <c r="E238" i="3" l="1"/>
  <c r="F238" i="3" s="1"/>
  <c r="D238" i="3"/>
  <c r="I238" i="3"/>
  <c r="J238" i="3" s="1"/>
  <c r="H238" i="3"/>
  <c r="M238" i="3"/>
  <c r="N238" i="3" s="1"/>
  <c r="L238" i="3"/>
  <c r="Q238" i="3"/>
  <c r="R238" i="3" s="1"/>
  <c r="P238" i="3"/>
  <c r="U238" i="3"/>
  <c r="V238" i="3" s="1"/>
  <c r="T238" i="3"/>
  <c r="Y238" i="3"/>
  <c r="Z238" i="3" s="1"/>
  <c r="X238" i="3"/>
  <c r="AC238" i="3"/>
  <c r="AD238" i="3" s="1"/>
  <c r="AB238" i="3"/>
  <c r="AG238" i="3"/>
  <c r="AH238" i="3" s="1"/>
  <c r="AF238" i="3"/>
  <c r="B240" i="3"/>
  <c r="AE239" i="3"/>
  <c r="AA239" i="3"/>
  <c r="W239" i="3"/>
  <c r="S239" i="3"/>
  <c r="O239" i="3"/>
  <c r="K239" i="3"/>
  <c r="G239" i="3"/>
  <c r="C239" i="3"/>
  <c r="E239" i="3" l="1"/>
  <c r="F239" i="3" s="1"/>
  <c r="D239" i="3"/>
  <c r="I239" i="3"/>
  <c r="J239" i="3" s="1"/>
  <c r="H239" i="3"/>
  <c r="M239" i="3"/>
  <c r="N239" i="3" s="1"/>
  <c r="L239" i="3"/>
  <c r="Q239" i="3"/>
  <c r="R239" i="3" s="1"/>
  <c r="P239" i="3"/>
  <c r="U239" i="3"/>
  <c r="V239" i="3" s="1"/>
  <c r="T239" i="3"/>
  <c r="Y239" i="3"/>
  <c r="Z239" i="3" s="1"/>
  <c r="X239" i="3"/>
  <c r="AC239" i="3"/>
  <c r="AD239" i="3" s="1"/>
  <c r="AB239" i="3"/>
  <c r="AG239" i="3"/>
  <c r="AH239" i="3" s="1"/>
  <c r="AF239" i="3"/>
  <c r="B241" i="3"/>
  <c r="AE240" i="3"/>
  <c r="AA240" i="3"/>
  <c r="W240" i="3"/>
  <c r="S240" i="3"/>
  <c r="O240" i="3"/>
  <c r="K240" i="3"/>
  <c r="G240" i="3"/>
  <c r="C240" i="3"/>
  <c r="E240" i="3" l="1"/>
  <c r="F240" i="3" s="1"/>
  <c r="D240" i="3"/>
  <c r="I240" i="3"/>
  <c r="J240" i="3" s="1"/>
  <c r="H240" i="3"/>
  <c r="M240" i="3"/>
  <c r="N240" i="3" s="1"/>
  <c r="L240" i="3"/>
  <c r="Q240" i="3"/>
  <c r="R240" i="3" s="1"/>
  <c r="P240" i="3"/>
  <c r="U240" i="3"/>
  <c r="V240" i="3" s="1"/>
  <c r="T240" i="3"/>
  <c r="Y240" i="3"/>
  <c r="Z240" i="3" s="1"/>
  <c r="X240" i="3"/>
  <c r="AC240" i="3"/>
  <c r="AD240" i="3" s="1"/>
  <c r="AB240" i="3"/>
  <c r="AG240" i="3"/>
  <c r="AH240" i="3" s="1"/>
  <c r="AF240" i="3"/>
  <c r="B242" i="3"/>
  <c r="AE241" i="3"/>
  <c r="AA241" i="3"/>
  <c r="W241" i="3"/>
  <c r="S241" i="3"/>
  <c r="O241" i="3"/>
  <c r="K241" i="3"/>
  <c r="G241" i="3"/>
  <c r="C241" i="3"/>
  <c r="E241" i="3" l="1"/>
  <c r="F241" i="3" s="1"/>
  <c r="D241" i="3"/>
  <c r="I241" i="3"/>
  <c r="J241" i="3" s="1"/>
  <c r="H241" i="3"/>
  <c r="M241" i="3"/>
  <c r="N241" i="3" s="1"/>
  <c r="L241" i="3"/>
  <c r="Q241" i="3"/>
  <c r="R241" i="3" s="1"/>
  <c r="P241" i="3"/>
  <c r="U241" i="3"/>
  <c r="V241" i="3" s="1"/>
  <c r="T241" i="3"/>
  <c r="Y241" i="3"/>
  <c r="Z241" i="3" s="1"/>
  <c r="X241" i="3"/>
  <c r="AC241" i="3"/>
  <c r="AD241" i="3" s="1"/>
  <c r="AB241" i="3"/>
  <c r="AG241" i="3"/>
  <c r="AH241" i="3" s="1"/>
  <c r="AF241" i="3"/>
  <c r="B243" i="3"/>
  <c r="AE242" i="3"/>
  <c r="AA242" i="3"/>
  <c r="W242" i="3"/>
  <c r="S242" i="3"/>
  <c r="O242" i="3"/>
  <c r="K242" i="3"/>
  <c r="G242" i="3"/>
  <c r="C242" i="3"/>
  <c r="E242" i="3" l="1"/>
  <c r="F242" i="3" s="1"/>
  <c r="D242" i="3"/>
  <c r="I242" i="3"/>
  <c r="J242" i="3" s="1"/>
  <c r="H242" i="3"/>
  <c r="M242" i="3"/>
  <c r="N242" i="3" s="1"/>
  <c r="L242" i="3"/>
  <c r="Q242" i="3"/>
  <c r="R242" i="3" s="1"/>
  <c r="P242" i="3"/>
  <c r="U242" i="3"/>
  <c r="V242" i="3" s="1"/>
  <c r="T242" i="3"/>
  <c r="Y242" i="3"/>
  <c r="Z242" i="3" s="1"/>
  <c r="X242" i="3"/>
  <c r="AC242" i="3"/>
  <c r="AD242" i="3" s="1"/>
  <c r="AB242" i="3"/>
  <c r="AG242" i="3"/>
  <c r="AH242" i="3" s="1"/>
  <c r="AF242" i="3"/>
  <c r="B244" i="3"/>
  <c r="AE243" i="3"/>
  <c r="AA243" i="3"/>
  <c r="W243" i="3"/>
  <c r="S243" i="3"/>
  <c r="O243" i="3"/>
  <c r="K243" i="3"/>
  <c r="G243" i="3"/>
  <c r="C243" i="3"/>
  <c r="E243" i="3" l="1"/>
  <c r="F243" i="3" s="1"/>
  <c r="D243" i="3"/>
  <c r="I243" i="3"/>
  <c r="J243" i="3" s="1"/>
  <c r="H243" i="3"/>
  <c r="M243" i="3"/>
  <c r="N243" i="3" s="1"/>
  <c r="L243" i="3"/>
  <c r="Q243" i="3"/>
  <c r="R243" i="3" s="1"/>
  <c r="P243" i="3"/>
  <c r="U243" i="3"/>
  <c r="V243" i="3" s="1"/>
  <c r="T243" i="3"/>
  <c r="Y243" i="3"/>
  <c r="Z243" i="3" s="1"/>
  <c r="X243" i="3"/>
  <c r="AC243" i="3"/>
  <c r="AD243" i="3" s="1"/>
  <c r="AB243" i="3"/>
  <c r="AG243" i="3"/>
  <c r="AH243" i="3" s="1"/>
  <c r="AF243" i="3"/>
  <c r="B245" i="3"/>
  <c r="AE244" i="3"/>
  <c r="AA244" i="3"/>
  <c r="W244" i="3"/>
  <c r="S244" i="3"/>
  <c r="O244" i="3"/>
  <c r="K244" i="3"/>
  <c r="G244" i="3"/>
  <c r="C244" i="3"/>
  <c r="E244" i="3" l="1"/>
  <c r="F244" i="3" s="1"/>
  <c r="D244" i="3"/>
  <c r="I244" i="3"/>
  <c r="J244" i="3" s="1"/>
  <c r="H244" i="3"/>
  <c r="M244" i="3"/>
  <c r="N244" i="3" s="1"/>
  <c r="L244" i="3"/>
  <c r="Q244" i="3"/>
  <c r="R244" i="3" s="1"/>
  <c r="P244" i="3"/>
  <c r="U244" i="3"/>
  <c r="V244" i="3" s="1"/>
  <c r="T244" i="3"/>
  <c r="Y244" i="3"/>
  <c r="Z244" i="3" s="1"/>
  <c r="X244" i="3"/>
  <c r="AC244" i="3"/>
  <c r="AD244" i="3" s="1"/>
  <c r="AB244" i="3"/>
  <c r="AG244" i="3"/>
  <c r="AH244" i="3" s="1"/>
  <c r="AF244" i="3"/>
  <c r="B246" i="3"/>
  <c r="AE245" i="3"/>
  <c r="AA245" i="3"/>
  <c r="W245" i="3"/>
  <c r="S245" i="3"/>
  <c r="O245" i="3"/>
  <c r="K245" i="3"/>
  <c r="G245" i="3"/>
  <c r="C245" i="3"/>
  <c r="E245" i="3" l="1"/>
  <c r="F245" i="3" s="1"/>
  <c r="D245" i="3"/>
  <c r="I245" i="3"/>
  <c r="J245" i="3" s="1"/>
  <c r="H245" i="3"/>
  <c r="M245" i="3"/>
  <c r="N245" i="3" s="1"/>
  <c r="L245" i="3"/>
  <c r="Q245" i="3"/>
  <c r="R245" i="3" s="1"/>
  <c r="P245" i="3"/>
  <c r="U245" i="3"/>
  <c r="V245" i="3" s="1"/>
  <c r="T245" i="3"/>
  <c r="Y245" i="3"/>
  <c r="Z245" i="3" s="1"/>
  <c r="X245" i="3"/>
  <c r="AC245" i="3"/>
  <c r="AD245" i="3" s="1"/>
  <c r="AB245" i="3"/>
  <c r="AG245" i="3"/>
  <c r="AH245" i="3" s="1"/>
  <c r="AF245" i="3"/>
  <c r="B247" i="3"/>
  <c r="AE246" i="3"/>
  <c r="AA246" i="3"/>
  <c r="W246" i="3"/>
  <c r="S246" i="3"/>
  <c r="O246" i="3"/>
  <c r="K246" i="3"/>
  <c r="G246" i="3"/>
  <c r="C246" i="3"/>
  <c r="E246" i="3" l="1"/>
  <c r="F246" i="3" s="1"/>
  <c r="D246" i="3"/>
  <c r="I246" i="3"/>
  <c r="J246" i="3" s="1"/>
  <c r="H246" i="3"/>
  <c r="M246" i="3"/>
  <c r="N246" i="3" s="1"/>
  <c r="L246" i="3"/>
  <c r="Q246" i="3"/>
  <c r="R246" i="3" s="1"/>
  <c r="P246" i="3"/>
  <c r="U246" i="3"/>
  <c r="V246" i="3" s="1"/>
  <c r="T246" i="3"/>
  <c r="Y246" i="3"/>
  <c r="Z246" i="3" s="1"/>
  <c r="X246" i="3"/>
  <c r="AC246" i="3"/>
  <c r="AD246" i="3" s="1"/>
  <c r="AB246" i="3"/>
  <c r="AG246" i="3"/>
  <c r="AH246" i="3" s="1"/>
  <c r="AF246" i="3"/>
  <c r="B248" i="3"/>
  <c r="AE247" i="3"/>
  <c r="AA247" i="3"/>
  <c r="W247" i="3"/>
  <c r="S247" i="3"/>
  <c r="O247" i="3"/>
  <c r="K247" i="3"/>
  <c r="G247" i="3"/>
  <c r="C247" i="3"/>
  <c r="E247" i="3" l="1"/>
  <c r="F247" i="3" s="1"/>
  <c r="D247" i="3"/>
  <c r="I247" i="3"/>
  <c r="J247" i="3" s="1"/>
  <c r="H247" i="3"/>
  <c r="M247" i="3"/>
  <c r="N247" i="3" s="1"/>
  <c r="L247" i="3"/>
  <c r="Q247" i="3"/>
  <c r="R247" i="3" s="1"/>
  <c r="P247" i="3"/>
  <c r="U247" i="3"/>
  <c r="V247" i="3" s="1"/>
  <c r="T247" i="3"/>
  <c r="Y247" i="3"/>
  <c r="Z247" i="3" s="1"/>
  <c r="X247" i="3"/>
  <c r="AC247" i="3"/>
  <c r="AD247" i="3" s="1"/>
  <c r="AB247" i="3"/>
  <c r="AG247" i="3"/>
  <c r="AH247" i="3" s="1"/>
  <c r="AF247" i="3"/>
  <c r="B249" i="3"/>
  <c r="AE248" i="3"/>
  <c r="AA248" i="3"/>
  <c r="W248" i="3"/>
  <c r="S248" i="3"/>
  <c r="O248" i="3"/>
  <c r="K248" i="3"/>
  <c r="G248" i="3"/>
  <c r="C248" i="3"/>
  <c r="E248" i="3" l="1"/>
  <c r="F248" i="3" s="1"/>
  <c r="D248" i="3"/>
  <c r="I248" i="3"/>
  <c r="J248" i="3" s="1"/>
  <c r="H248" i="3"/>
  <c r="M248" i="3"/>
  <c r="N248" i="3" s="1"/>
  <c r="L248" i="3"/>
  <c r="Q248" i="3"/>
  <c r="R248" i="3" s="1"/>
  <c r="P248" i="3"/>
  <c r="U248" i="3"/>
  <c r="V248" i="3" s="1"/>
  <c r="T248" i="3"/>
  <c r="Y248" i="3"/>
  <c r="Z248" i="3" s="1"/>
  <c r="X248" i="3"/>
  <c r="AC248" i="3"/>
  <c r="AD248" i="3" s="1"/>
  <c r="AB248" i="3"/>
  <c r="AG248" i="3"/>
  <c r="AH248" i="3" s="1"/>
  <c r="AF248" i="3"/>
  <c r="B250" i="3"/>
  <c r="AE249" i="3"/>
  <c r="AA249" i="3"/>
  <c r="W249" i="3"/>
  <c r="S249" i="3"/>
  <c r="O249" i="3"/>
  <c r="K249" i="3"/>
  <c r="G249" i="3"/>
  <c r="C249" i="3"/>
  <c r="E249" i="3" l="1"/>
  <c r="F249" i="3" s="1"/>
  <c r="D249" i="3"/>
  <c r="I249" i="3"/>
  <c r="J249" i="3" s="1"/>
  <c r="H249" i="3"/>
  <c r="M249" i="3"/>
  <c r="N249" i="3" s="1"/>
  <c r="L249" i="3"/>
  <c r="Q249" i="3"/>
  <c r="R249" i="3" s="1"/>
  <c r="P249" i="3"/>
  <c r="U249" i="3"/>
  <c r="V249" i="3" s="1"/>
  <c r="T249" i="3"/>
  <c r="Y249" i="3"/>
  <c r="Z249" i="3" s="1"/>
  <c r="X249" i="3"/>
  <c r="AC249" i="3"/>
  <c r="AD249" i="3" s="1"/>
  <c r="AB249" i="3"/>
  <c r="AG249" i="3"/>
  <c r="AH249" i="3" s="1"/>
  <c r="AF249" i="3"/>
  <c r="B251" i="3"/>
  <c r="AE250" i="3"/>
  <c r="AA250" i="3"/>
  <c r="W250" i="3"/>
  <c r="S250" i="3"/>
  <c r="O250" i="3"/>
  <c r="K250" i="3"/>
  <c r="G250" i="3"/>
  <c r="C250" i="3"/>
  <c r="E250" i="3" l="1"/>
  <c r="F250" i="3" s="1"/>
  <c r="D250" i="3"/>
  <c r="I250" i="3"/>
  <c r="J250" i="3" s="1"/>
  <c r="H250" i="3"/>
  <c r="M250" i="3"/>
  <c r="N250" i="3" s="1"/>
  <c r="L250" i="3"/>
  <c r="Q250" i="3"/>
  <c r="R250" i="3" s="1"/>
  <c r="P250" i="3"/>
  <c r="U250" i="3"/>
  <c r="V250" i="3" s="1"/>
  <c r="T250" i="3"/>
  <c r="Y250" i="3"/>
  <c r="Z250" i="3" s="1"/>
  <c r="X250" i="3"/>
  <c r="AC250" i="3"/>
  <c r="AD250" i="3" s="1"/>
  <c r="AB250" i="3"/>
  <c r="AG250" i="3"/>
  <c r="AH250" i="3" s="1"/>
  <c r="AF250" i="3"/>
  <c r="B252" i="3"/>
  <c r="AE251" i="3"/>
  <c r="AA251" i="3"/>
  <c r="W251" i="3"/>
  <c r="S251" i="3"/>
  <c r="O251" i="3"/>
  <c r="K251" i="3"/>
  <c r="G251" i="3"/>
  <c r="C251" i="3"/>
  <c r="E251" i="3" l="1"/>
  <c r="F251" i="3" s="1"/>
  <c r="D251" i="3"/>
  <c r="I251" i="3"/>
  <c r="J251" i="3" s="1"/>
  <c r="H251" i="3"/>
  <c r="M251" i="3"/>
  <c r="N251" i="3" s="1"/>
  <c r="L251" i="3"/>
  <c r="Q251" i="3"/>
  <c r="R251" i="3" s="1"/>
  <c r="P251" i="3"/>
  <c r="U251" i="3"/>
  <c r="V251" i="3" s="1"/>
  <c r="T251" i="3"/>
  <c r="Y251" i="3"/>
  <c r="Z251" i="3" s="1"/>
  <c r="X251" i="3"/>
  <c r="AC251" i="3"/>
  <c r="AD251" i="3" s="1"/>
  <c r="AB251" i="3"/>
  <c r="AG251" i="3"/>
  <c r="AH251" i="3" s="1"/>
  <c r="AF251" i="3"/>
  <c r="B253" i="3"/>
  <c r="AE252" i="3"/>
  <c r="AA252" i="3"/>
  <c r="W252" i="3"/>
  <c r="S252" i="3"/>
  <c r="O252" i="3"/>
  <c r="K252" i="3"/>
  <c r="G252" i="3"/>
  <c r="C252" i="3"/>
  <c r="E252" i="3" l="1"/>
  <c r="F252" i="3" s="1"/>
  <c r="D252" i="3"/>
  <c r="I252" i="3"/>
  <c r="J252" i="3" s="1"/>
  <c r="H252" i="3"/>
  <c r="M252" i="3"/>
  <c r="N252" i="3" s="1"/>
  <c r="L252" i="3"/>
  <c r="Q252" i="3"/>
  <c r="R252" i="3" s="1"/>
  <c r="P252" i="3"/>
  <c r="U252" i="3"/>
  <c r="V252" i="3" s="1"/>
  <c r="T252" i="3"/>
  <c r="Y252" i="3"/>
  <c r="Z252" i="3" s="1"/>
  <c r="X252" i="3"/>
  <c r="AC252" i="3"/>
  <c r="AD252" i="3" s="1"/>
  <c r="AB252" i="3"/>
  <c r="AG252" i="3"/>
  <c r="AH252" i="3" s="1"/>
  <c r="AF252" i="3"/>
  <c r="B254" i="3"/>
  <c r="AE253" i="3"/>
  <c r="AA253" i="3"/>
  <c r="W253" i="3"/>
  <c r="S253" i="3"/>
  <c r="O253" i="3"/>
  <c r="K253" i="3"/>
  <c r="G253" i="3"/>
  <c r="C253" i="3"/>
  <c r="E253" i="3" l="1"/>
  <c r="F253" i="3" s="1"/>
  <c r="D253" i="3"/>
  <c r="I253" i="3"/>
  <c r="J253" i="3" s="1"/>
  <c r="H253" i="3"/>
  <c r="M253" i="3"/>
  <c r="N253" i="3" s="1"/>
  <c r="L253" i="3"/>
  <c r="Q253" i="3"/>
  <c r="R253" i="3" s="1"/>
  <c r="P253" i="3"/>
  <c r="U253" i="3"/>
  <c r="V253" i="3" s="1"/>
  <c r="T253" i="3"/>
  <c r="Y253" i="3"/>
  <c r="Z253" i="3" s="1"/>
  <c r="X253" i="3"/>
  <c r="AC253" i="3"/>
  <c r="AD253" i="3" s="1"/>
  <c r="AB253" i="3"/>
  <c r="AG253" i="3"/>
  <c r="AH253" i="3" s="1"/>
  <c r="AF253" i="3"/>
  <c r="B255" i="3"/>
  <c r="AE254" i="3"/>
  <c r="AA254" i="3"/>
  <c r="W254" i="3"/>
  <c r="S254" i="3"/>
  <c r="O254" i="3"/>
  <c r="K254" i="3"/>
  <c r="G254" i="3"/>
  <c r="C254" i="3"/>
  <c r="E254" i="3" l="1"/>
  <c r="F254" i="3" s="1"/>
  <c r="D254" i="3"/>
  <c r="I254" i="3"/>
  <c r="J254" i="3" s="1"/>
  <c r="H254" i="3"/>
  <c r="M254" i="3"/>
  <c r="N254" i="3" s="1"/>
  <c r="L254" i="3"/>
  <c r="Q254" i="3"/>
  <c r="R254" i="3" s="1"/>
  <c r="P254" i="3"/>
  <c r="U254" i="3"/>
  <c r="V254" i="3" s="1"/>
  <c r="T254" i="3"/>
  <c r="Y254" i="3"/>
  <c r="Z254" i="3" s="1"/>
  <c r="X254" i="3"/>
  <c r="AC254" i="3"/>
  <c r="AD254" i="3" s="1"/>
  <c r="AB254" i="3"/>
  <c r="AG254" i="3"/>
  <c r="AH254" i="3" s="1"/>
  <c r="AF254" i="3"/>
  <c r="B256" i="3"/>
  <c r="AE255" i="3"/>
  <c r="AA255" i="3"/>
  <c r="W255" i="3"/>
  <c r="S255" i="3"/>
  <c r="O255" i="3"/>
  <c r="K255" i="3"/>
  <c r="G255" i="3"/>
  <c r="C255" i="3"/>
  <c r="E255" i="3" l="1"/>
  <c r="F255" i="3" s="1"/>
  <c r="D255" i="3"/>
  <c r="I255" i="3"/>
  <c r="J255" i="3" s="1"/>
  <c r="H255" i="3"/>
  <c r="M255" i="3"/>
  <c r="N255" i="3" s="1"/>
  <c r="L255" i="3"/>
  <c r="Q255" i="3"/>
  <c r="R255" i="3" s="1"/>
  <c r="P255" i="3"/>
  <c r="U255" i="3"/>
  <c r="V255" i="3" s="1"/>
  <c r="T255" i="3"/>
  <c r="Y255" i="3"/>
  <c r="Z255" i="3" s="1"/>
  <c r="X255" i="3"/>
  <c r="AC255" i="3"/>
  <c r="AD255" i="3" s="1"/>
  <c r="AB255" i="3"/>
  <c r="AG255" i="3"/>
  <c r="AH255" i="3" s="1"/>
  <c r="AF255" i="3"/>
  <c r="B257" i="3"/>
  <c r="AE256" i="3"/>
  <c r="AA256" i="3"/>
  <c r="W256" i="3"/>
  <c r="S256" i="3"/>
  <c r="O256" i="3"/>
  <c r="K256" i="3"/>
  <c r="G256" i="3"/>
  <c r="C256" i="3"/>
  <c r="E256" i="3" l="1"/>
  <c r="F256" i="3" s="1"/>
  <c r="D256" i="3"/>
  <c r="I256" i="3"/>
  <c r="J256" i="3" s="1"/>
  <c r="H256" i="3"/>
  <c r="M256" i="3"/>
  <c r="N256" i="3" s="1"/>
  <c r="L256" i="3"/>
  <c r="Q256" i="3"/>
  <c r="R256" i="3" s="1"/>
  <c r="P256" i="3"/>
  <c r="U256" i="3"/>
  <c r="V256" i="3" s="1"/>
  <c r="T256" i="3"/>
  <c r="Y256" i="3"/>
  <c r="Z256" i="3" s="1"/>
  <c r="X256" i="3"/>
  <c r="AC256" i="3"/>
  <c r="AD256" i="3" s="1"/>
  <c r="AB256" i="3"/>
  <c r="AG256" i="3"/>
  <c r="AH256" i="3" s="1"/>
  <c r="AF256" i="3"/>
  <c r="B258" i="3"/>
  <c r="AE257" i="3"/>
  <c r="AA257" i="3"/>
  <c r="W257" i="3"/>
  <c r="S257" i="3"/>
  <c r="O257" i="3"/>
  <c r="K257" i="3"/>
  <c r="G257" i="3"/>
  <c r="C257" i="3"/>
  <c r="E257" i="3" l="1"/>
  <c r="F257" i="3" s="1"/>
  <c r="D257" i="3"/>
  <c r="I257" i="3"/>
  <c r="J257" i="3" s="1"/>
  <c r="H257" i="3"/>
  <c r="M257" i="3"/>
  <c r="N257" i="3" s="1"/>
  <c r="L257" i="3"/>
  <c r="Q257" i="3"/>
  <c r="R257" i="3" s="1"/>
  <c r="P257" i="3"/>
  <c r="U257" i="3"/>
  <c r="V257" i="3" s="1"/>
  <c r="T257" i="3"/>
  <c r="Y257" i="3"/>
  <c r="Z257" i="3" s="1"/>
  <c r="X257" i="3"/>
  <c r="AC257" i="3"/>
  <c r="AD257" i="3" s="1"/>
  <c r="AB257" i="3"/>
  <c r="AG257" i="3"/>
  <c r="AH257" i="3" s="1"/>
  <c r="AF257" i="3"/>
  <c r="B259" i="3"/>
  <c r="AE258" i="3"/>
  <c r="AA258" i="3"/>
  <c r="W258" i="3"/>
  <c r="S258" i="3"/>
  <c r="O258" i="3"/>
  <c r="K258" i="3"/>
  <c r="G258" i="3"/>
  <c r="C258" i="3"/>
  <c r="E258" i="3" l="1"/>
  <c r="F258" i="3" s="1"/>
  <c r="D258" i="3"/>
  <c r="I258" i="3"/>
  <c r="J258" i="3" s="1"/>
  <c r="H258" i="3"/>
  <c r="M258" i="3"/>
  <c r="N258" i="3" s="1"/>
  <c r="L258" i="3"/>
  <c r="Q258" i="3"/>
  <c r="R258" i="3" s="1"/>
  <c r="P258" i="3"/>
  <c r="U258" i="3"/>
  <c r="V258" i="3" s="1"/>
  <c r="T258" i="3"/>
  <c r="Y258" i="3"/>
  <c r="Z258" i="3" s="1"/>
  <c r="X258" i="3"/>
  <c r="AC258" i="3"/>
  <c r="AD258" i="3" s="1"/>
  <c r="AB258" i="3"/>
  <c r="AG258" i="3"/>
  <c r="AH258" i="3" s="1"/>
  <c r="AF258" i="3"/>
  <c r="B260" i="3"/>
  <c r="AE259" i="3"/>
  <c r="AA259" i="3"/>
  <c r="W259" i="3"/>
  <c r="S259" i="3"/>
  <c r="O259" i="3"/>
  <c r="K259" i="3"/>
  <c r="G259" i="3"/>
  <c r="C259" i="3"/>
  <c r="E259" i="3" l="1"/>
  <c r="F259" i="3" s="1"/>
  <c r="D259" i="3"/>
  <c r="I259" i="3"/>
  <c r="J259" i="3" s="1"/>
  <c r="H259" i="3"/>
  <c r="M259" i="3"/>
  <c r="N259" i="3" s="1"/>
  <c r="L259" i="3"/>
  <c r="Q259" i="3"/>
  <c r="R259" i="3" s="1"/>
  <c r="P259" i="3"/>
  <c r="U259" i="3"/>
  <c r="V259" i="3" s="1"/>
  <c r="T259" i="3"/>
  <c r="Y259" i="3"/>
  <c r="Z259" i="3" s="1"/>
  <c r="X259" i="3"/>
  <c r="AC259" i="3"/>
  <c r="AD259" i="3" s="1"/>
  <c r="AB259" i="3"/>
  <c r="AG259" i="3"/>
  <c r="AH259" i="3" s="1"/>
  <c r="AF259" i="3"/>
  <c r="B261" i="3"/>
  <c r="AE260" i="3"/>
  <c r="AA260" i="3"/>
  <c r="W260" i="3"/>
  <c r="S260" i="3"/>
  <c r="O260" i="3"/>
  <c r="K260" i="3"/>
  <c r="G260" i="3"/>
  <c r="C260" i="3"/>
  <c r="E260" i="3" l="1"/>
  <c r="F260" i="3" s="1"/>
  <c r="D260" i="3"/>
  <c r="I260" i="3"/>
  <c r="J260" i="3" s="1"/>
  <c r="H260" i="3"/>
  <c r="M260" i="3"/>
  <c r="N260" i="3" s="1"/>
  <c r="L260" i="3"/>
  <c r="Q260" i="3"/>
  <c r="R260" i="3" s="1"/>
  <c r="P260" i="3"/>
  <c r="U260" i="3"/>
  <c r="V260" i="3" s="1"/>
  <c r="T260" i="3"/>
  <c r="Y260" i="3"/>
  <c r="Z260" i="3" s="1"/>
  <c r="X260" i="3"/>
  <c r="AC260" i="3"/>
  <c r="AD260" i="3" s="1"/>
  <c r="AB260" i="3"/>
  <c r="AG260" i="3"/>
  <c r="AH260" i="3" s="1"/>
  <c r="AF260" i="3"/>
  <c r="B262" i="3"/>
  <c r="AE261" i="3"/>
  <c r="AA261" i="3"/>
  <c r="W261" i="3"/>
  <c r="S261" i="3"/>
  <c r="O261" i="3"/>
  <c r="K261" i="3"/>
  <c r="G261" i="3"/>
  <c r="C261" i="3"/>
  <c r="E261" i="3" l="1"/>
  <c r="F261" i="3" s="1"/>
  <c r="D261" i="3"/>
  <c r="I261" i="3"/>
  <c r="J261" i="3" s="1"/>
  <c r="H261" i="3"/>
  <c r="M261" i="3"/>
  <c r="N261" i="3" s="1"/>
  <c r="L261" i="3"/>
  <c r="Q261" i="3"/>
  <c r="R261" i="3" s="1"/>
  <c r="P261" i="3"/>
  <c r="U261" i="3"/>
  <c r="V261" i="3" s="1"/>
  <c r="T261" i="3"/>
  <c r="Y261" i="3"/>
  <c r="Z261" i="3" s="1"/>
  <c r="X261" i="3"/>
  <c r="AC261" i="3"/>
  <c r="AD261" i="3" s="1"/>
  <c r="AB261" i="3"/>
  <c r="AG261" i="3"/>
  <c r="AH261" i="3" s="1"/>
  <c r="AF261" i="3"/>
  <c r="B263" i="3"/>
  <c r="AE262" i="3"/>
  <c r="AA262" i="3"/>
  <c r="W262" i="3"/>
  <c r="S262" i="3"/>
  <c r="O262" i="3"/>
  <c r="K262" i="3"/>
  <c r="G262" i="3"/>
  <c r="C262" i="3"/>
  <c r="E262" i="3" l="1"/>
  <c r="F262" i="3" s="1"/>
  <c r="D262" i="3"/>
  <c r="I262" i="3"/>
  <c r="J262" i="3" s="1"/>
  <c r="H262" i="3"/>
  <c r="M262" i="3"/>
  <c r="N262" i="3" s="1"/>
  <c r="L262" i="3"/>
  <c r="Q262" i="3"/>
  <c r="R262" i="3" s="1"/>
  <c r="P262" i="3"/>
  <c r="U262" i="3"/>
  <c r="V262" i="3" s="1"/>
  <c r="T262" i="3"/>
  <c r="Y262" i="3"/>
  <c r="Z262" i="3" s="1"/>
  <c r="X262" i="3"/>
  <c r="AC262" i="3"/>
  <c r="AD262" i="3" s="1"/>
  <c r="AB262" i="3"/>
  <c r="AG262" i="3"/>
  <c r="AH262" i="3" s="1"/>
  <c r="AF262" i="3"/>
  <c r="B264" i="3"/>
  <c r="AE263" i="3"/>
  <c r="AA263" i="3"/>
  <c r="W263" i="3"/>
  <c r="S263" i="3"/>
  <c r="O263" i="3"/>
  <c r="K263" i="3"/>
  <c r="G263" i="3"/>
  <c r="C263" i="3"/>
  <c r="E263" i="3" l="1"/>
  <c r="F263" i="3" s="1"/>
  <c r="D263" i="3"/>
  <c r="I263" i="3"/>
  <c r="J263" i="3" s="1"/>
  <c r="H263" i="3"/>
  <c r="M263" i="3"/>
  <c r="N263" i="3" s="1"/>
  <c r="L263" i="3"/>
  <c r="Q263" i="3"/>
  <c r="R263" i="3" s="1"/>
  <c r="P263" i="3"/>
  <c r="U263" i="3"/>
  <c r="V263" i="3" s="1"/>
  <c r="T263" i="3"/>
  <c r="Y263" i="3"/>
  <c r="Z263" i="3" s="1"/>
  <c r="X263" i="3"/>
  <c r="AC263" i="3"/>
  <c r="AD263" i="3" s="1"/>
  <c r="AB263" i="3"/>
  <c r="AG263" i="3"/>
  <c r="AH263" i="3" s="1"/>
  <c r="AF263" i="3"/>
  <c r="B265" i="3"/>
  <c r="AE264" i="3"/>
  <c r="AA264" i="3"/>
  <c r="W264" i="3"/>
  <c r="S264" i="3"/>
  <c r="O264" i="3"/>
  <c r="K264" i="3"/>
  <c r="G264" i="3"/>
  <c r="C264" i="3"/>
  <c r="E264" i="3" l="1"/>
  <c r="F264" i="3" s="1"/>
  <c r="D264" i="3"/>
  <c r="I264" i="3"/>
  <c r="J264" i="3" s="1"/>
  <c r="H264" i="3"/>
  <c r="M264" i="3"/>
  <c r="N264" i="3" s="1"/>
  <c r="L264" i="3"/>
  <c r="Q264" i="3"/>
  <c r="R264" i="3" s="1"/>
  <c r="P264" i="3"/>
  <c r="U264" i="3"/>
  <c r="V264" i="3" s="1"/>
  <c r="T264" i="3"/>
  <c r="Y264" i="3"/>
  <c r="Z264" i="3" s="1"/>
  <c r="X264" i="3"/>
  <c r="AC264" i="3"/>
  <c r="AD264" i="3" s="1"/>
  <c r="AB264" i="3"/>
  <c r="AG264" i="3"/>
  <c r="AH264" i="3" s="1"/>
  <c r="AF264" i="3"/>
  <c r="B266" i="3"/>
  <c r="AE265" i="3"/>
  <c r="AA265" i="3"/>
  <c r="W265" i="3"/>
  <c r="S265" i="3"/>
  <c r="O265" i="3"/>
  <c r="K265" i="3"/>
  <c r="G265" i="3"/>
  <c r="C265" i="3"/>
  <c r="E265" i="3" l="1"/>
  <c r="F265" i="3" s="1"/>
  <c r="D265" i="3"/>
  <c r="I265" i="3"/>
  <c r="J265" i="3" s="1"/>
  <c r="H265" i="3"/>
  <c r="M265" i="3"/>
  <c r="N265" i="3" s="1"/>
  <c r="L265" i="3"/>
  <c r="Q265" i="3"/>
  <c r="R265" i="3" s="1"/>
  <c r="P265" i="3"/>
  <c r="U265" i="3"/>
  <c r="V265" i="3" s="1"/>
  <c r="T265" i="3"/>
  <c r="Y265" i="3"/>
  <c r="Z265" i="3" s="1"/>
  <c r="X265" i="3"/>
  <c r="AC265" i="3"/>
  <c r="AD265" i="3" s="1"/>
  <c r="AB265" i="3"/>
  <c r="AG265" i="3"/>
  <c r="AH265" i="3" s="1"/>
  <c r="AF265" i="3"/>
  <c r="B267" i="3"/>
  <c r="AE266" i="3"/>
  <c r="AA266" i="3"/>
  <c r="W266" i="3"/>
  <c r="S266" i="3"/>
  <c r="O266" i="3"/>
  <c r="K266" i="3"/>
  <c r="G266" i="3"/>
  <c r="C266" i="3"/>
  <c r="E266" i="3" l="1"/>
  <c r="F266" i="3" s="1"/>
  <c r="D266" i="3"/>
  <c r="I266" i="3"/>
  <c r="J266" i="3" s="1"/>
  <c r="H266" i="3"/>
  <c r="M266" i="3"/>
  <c r="N266" i="3" s="1"/>
  <c r="L266" i="3"/>
  <c r="Q266" i="3"/>
  <c r="R266" i="3" s="1"/>
  <c r="P266" i="3"/>
  <c r="U266" i="3"/>
  <c r="V266" i="3" s="1"/>
  <c r="T266" i="3"/>
  <c r="Y266" i="3"/>
  <c r="Z266" i="3" s="1"/>
  <c r="X266" i="3"/>
  <c r="AC266" i="3"/>
  <c r="AD266" i="3" s="1"/>
  <c r="AB266" i="3"/>
  <c r="AG266" i="3"/>
  <c r="AH266" i="3" s="1"/>
  <c r="AF266" i="3"/>
  <c r="B268" i="3"/>
  <c r="AE267" i="3"/>
  <c r="AA267" i="3"/>
  <c r="W267" i="3"/>
  <c r="S267" i="3"/>
  <c r="O267" i="3"/>
  <c r="K267" i="3"/>
  <c r="G267" i="3"/>
  <c r="C267" i="3"/>
  <c r="E267" i="3" l="1"/>
  <c r="F267" i="3" s="1"/>
  <c r="D267" i="3"/>
  <c r="I267" i="3"/>
  <c r="J267" i="3" s="1"/>
  <c r="H267" i="3"/>
  <c r="M267" i="3"/>
  <c r="N267" i="3" s="1"/>
  <c r="L267" i="3"/>
  <c r="Q267" i="3"/>
  <c r="R267" i="3" s="1"/>
  <c r="P267" i="3"/>
  <c r="U267" i="3"/>
  <c r="V267" i="3" s="1"/>
  <c r="T267" i="3"/>
  <c r="Y267" i="3"/>
  <c r="Z267" i="3" s="1"/>
  <c r="X267" i="3"/>
  <c r="AC267" i="3"/>
  <c r="AD267" i="3" s="1"/>
  <c r="AB267" i="3"/>
  <c r="AG267" i="3"/>
  <c r="AH267" i="3" s="1"/>
  <c r="AF267" i="3"/>
  <c r="B269" i="3"/>
  <c r="AE268" i="3"/>
  <c r="AA268" i="3"/>
  <c r="W268" i="3"/>
  <c r="S268" i="3"/>
  <c r="O268" i="3"/>
  <c r="K268" i="3"/>
  <c r="G268" i="3"/>
  <c r="C268" i="3"/>
  <c r="E268" i="3" l="1"/>
  <c r="F268" i="3" s="1"/>
  <c r="D268" i="3"/>
  <c r="I268" i="3"/>
  <c r="J268" i="3" s="1"/>
  <c r="H268" i="3"/>
  <c r="M268" i="3"/>
  <c r="N268" i="3" s="1"/>
  <c r="L268" i="3"/>
  <c r="Q268" i="3"/>
  <c r="R268" i="3" s="1"/>
  <c r="P268" i="3"/>
  <c r="U268" i="3"/>
  <c r="V268" i="3" s="1"/>
  <c r="T268" i="3"/>
  <c r="Y268" i="3"/>
  <c r="Z268" i="3" s="1"/>
  <c r="X268" i="3"/>
  <c r="AC268" i="3"/>
  <c r="AD268" i="3" s="1"/>
  <c r="AB268" i="3"/>
  <c r="AG268" i="3"/>
  <c r="AH268" i="3" s="1"/>
  <c r="AF268" i="3"/>
  <c r="B270" i="3"/>
  <c r="AE269" i="3"/>
  <c r="AA269" i="3"/>
  <c r="W269" i="3"/>
  <c r="S269" i="3"/>
  <c r="O269" i="3"/>
  <c r="K269" i="3"/>
  <c r="G269" i="3"/>
  <c r="C269" i="3"/>
  <c r="E269" i="3" l="1"/>
  <c r="F269" i="3" s="1"/>
  <c r="D269" i="3"/>
  <c r="I269" i="3"/>
  <c r="J269" i="3" s="1"/>
  <c r="H269" i="3"/>
  <c r="M269" i="3"/>
  <c r="N269" i="3" s="1"/>
  <c r="L269" i="3"/>
  <c r="Q269" i="3"/>
  <c r="R269" i="3" s="1"/>
  <c r="P269" i="3"/>
  <c r="U269" i="3"/>
  <c r="V269" i="3" s="1"/>
  <c r="T269" i="3"/>
  <c r="Y269" i="3"/>
  <c r="Z269" i="3" s="1"/>
  <c r="X269" i="3"/>
  <c r="AC269" i="3"/>
  <c r="AD269" i="3" s="1"/>
  <c r="AB269" i="3"/>
  <c r="AG269" i="3"/>
  <c r="AH269" i="3" s="1"/>
  <c r="AF269" i="3"/>
  <c r="B271" i="3"/>
  <c r="AE270" i="3"/>
  <c r="AA270" i="3"/>
  <c r="W270" i="3"/>
  <c r="S270" i="3"/>
  <c r="O270" i="3"/>
  <c r="K270" i="3"/>
  <c r="G270" i="3"/>
  <c r="C270" i="3"/>
  <c r="E270" i="3" l="1"/>
  <c r="F270" i="3" s="1"/>
  <c r="D270" i="3"/>
  <c r="I270" i="3"/>
  <c r="J270" i="3" s="1"/>
  <c r="H270" i="3"/>
  <c r="M270" i="3"/>
  <c r="N270" i="3" s="1"/>
  <c r="L270" i="3"/>
  <c r="Q270" i="3"/>
  <c r="R270" i="3" s="1"/>
  <c r="P270" i="3"/>
  <c r="U270" i="3"/>
  <c r="V270" i="3" s="1"/>
  <c r="T270" i="3"/>
  <c r="Y270" i="3"/>
  <c r="Z270" i="3" s="1"/>
  <c r="X270" i="3"/>
  <c r="AC270" i="3"/>
  <c r="AD270" i="3" s="1"/>
  <c r="AB270" i="3"/>
  <c r="AG270" i="3"/>
  <c r="AH270" i="3" s="1"/>
  <c r="AF270" i="3"/>
  <c r="B272" i="3"/>
  <c r="AE271" i="3"/>
  <c r="AA271" i="3"/>
  <c r="W271" i="3"/>
  <c r="S271" i="3"/>
  <c r="O271" i="3"/>
  <c r="K271" i="3"/>
  <c r="G271" i="3"/>
  <c r="C271" i="3"/>
  <c r="E271" i="3" l="1"/>
  <c r="F271" i="3" s="1"/>
  <c r="D271" i="3"/>
  <c r="I271" i="3"/>
  <c r="J271" i="3" s="1"/>
  <c r="H271" i="3"/>
  <c r="M271" i="3"/>
  <c r="N271" i="3" s="1"/>
  <c r="L271" i="3"/>
  <c r="Q271" i="3"/>
  <c r="R271" i="3" s="1"/>
  <c r="P271" i="3"/>
  <c r="U271" i="3"/>
  <c r="V271" i="3" s="1"/>
  <c r="T271" i="3"/>
  <c r="Y271" i="3"/>
  <c r="Z271" i="3" s="1"/>
  <c r="X271" i="3"/>
  <c r="AC271" i="3"/>
  <c r="AD271" i="3" s="1"/>
  <c r="AB271" i="3"/>
  <c r="AG271" i="3"/>
  <c r="AH271" i="3" s="1"/>
  <c r="AF271" i="3"/>
  <c r="B273" i="3"/>
  <c r="AE272" i="3"/>
  <c r="AA272" i="3"/>
  <c r="W272" i="3"/>
  <c r="S272" i="3"/>
  <c r="O272" i="3"/>
  <c r="K272" i="3"/>
  <c r="G272" i="3"/>
  <c r="C272" i="3"/>
  <c r="E272" i="3" l="1"/>
  <c r="F272" i="3" s="1"/>
  <c r="D272" i="3"/>
  <c r="I272" i="3"/>
  <c r="J272" i="3" s="1"/>
  <c r="H272" i="3"/>
  <c r="M272" i="3"/>
  <c r="N272" i="3" s="1"/>
  <c r="L272" i="3"/>
  <c r="Q272" i="3"/>
  <c r="R272" i="3" s="1"/>
  <c r="P272" i="3"/>
  <c r="U272" i="3"/>
  <c r="V272" i="3" s="1"/>
  <c r="T272" i="3"/>
  <c r="Y272" i="3"/>
  <c r="Z272" i="3" s="1"/>
  <c r="X272" i="3"/>
  <c r="AC272" i="3"/>
  <c r="AD272" i="3" s="1"/>
  <c r="AB272" i="3"/>
  <c r="AG272" i="3"/>
  <c r="AH272" i="3" s="1"/>
  <c r="AF272" i="3"/>
  <c r="B274" i="3"/>
  <c r="AE273" i="3"/>
  <c r="AA273" i="3"/>
  <c r="W273" i="3"/>
  <c r="S273" i="3"/>
  <c r="O273" i="3"/>
  <c r="K273" i="3"/>
  <c r="G273" i="3"/>
  <c r="C273" i="3"/>
  <c r="E273" i="3" l="1"/>
  <c r="F273" i="3" s="1"/>
  <c r="D273" i="3"/>
  <c r="I273" i="3"/>
  <c r="J273" i="3" s="1"/>
  <c r="H273" i="3"/>
  <c r="M273" i="3"/>
  <c r="N273" i="3" s="1"/>
  <c r="L273" i="3"/>
  <c r="Q273" i="3"/>
  <c r="R273" i="3" s="1"/>
  <c r="P273" i="3"/>
  <c r="U273" i="3"/>
  <c r="V273" i="3" s="1"/>
  <c r="T273" i="3"/>
  <c r="Y273" i="3"/>
  <c r="Z273" i="3" s="1"/>
  <c r="X273" i="3"/>
  <c r="AC273" i="3"/>
  <c r="AD273" i="3" s="1"/>
  <c r="AB273" i="3"/>
  <c r="AG273" i="3"/>
  <c r="AH273" i="3" s="1"/>
  <c r="AF273" i="3"/>
  <c r="B275" i="3"/>
  <c r="AE274" i="3"/>
  <c r="AA274" i="3"/>
  <c r="W274" i="3"/>
  <c r="S274" i="3"/>
  <c r="O274" i="3"/>
  <c r="K274" i="3"/>
  <c r="G274" i="3"/>
  <c r="C274" i="3"/>
  <c r="E274" i="3" l="1"/>
  <c r="F274" i="3" s="1"/>
  <c r="D274" i="3"/>
  <c r="I274" i="3"/>
  <c r="J274" i="3" s="1"/>
  <c r="H274" i="3"/>
  <c r="M274" i="3"/>
  <c r="N274" i="3" s="1"/>
  <c r="L274" i="3"/>
  <c r="Q274" i="3"/>
  <c r="R274" i="3" s="1"/>
  <c r="P274" i="3"/>
  <c r="U274" i="3"/>
  <c r="V274" i="3" s="1"/>
  <c r="T274" i="3"/>
  <c r="Y274" i="3"/>
  <c r="Z274" i="3" s="1"/>
  <c r="X274" i="3"/>
  <c r="AC274" i="3"/>
  <c r="AD274" i="3" s="1"/>
  <c r="AB274" i="3"/>
  <c r="AG274" i="3"/>
  <c r="AH274" i="3" s="1"/>
  <c r="AF274" i="3"/>
  <c r="B276" i="3"/>
  <c r="AE275" i="3"/>
  <c r="AA275" i="3"/>
  <c r="W275" i="3"/>
  <c r="S275" i="3"/>
  <c r="O275" i="3"/>
  <c r="K275" i="3"/>
  <c r="G275" i="3"/>
  <c r="C275" i="3"/>
  <c r="E275" i="3" l="1"/>
  <c r="F275" i="3" s="1"/>
  <c r="D275" i="3"/>
  <c r="I275" i="3"/>
  <c r="J275" i="3" s="1"/>
  <c r="H275" i="3"/>
  <c r="M275" i="3"/>
  <c r="N275" i="3" s="1"/>
  <c r="L275" i="3"/>
  <c r="Q275" i="3"/>
  <c r="R275" i="3" s="1"/>
  <c r="P275" i="3"/>
  <c r="U275" i="3"/>
  <c r="V275" i="3" s="1"/>
  <c r="T275" i="3"/>
  <c r="Y275" i="3"/>
  <c r="Z275" i="3" s="1"/>
  <c r="X275" i="3"/>
  <c r="AC275" i="3"/>
  <c r="AD275" i="3" s="1"/>
  <c r="AB275" i="3"/>
  <c r="AG275" i="3"/>
  <c r="AH275" i="3" s="1"/>
  <c r="AF275" i="3"/>
  <c r="B277" i="3"/>
  <c r="AE276" i="3"/>
  <c r="AA276" i="3"/>
  <c r="W276" i="3"/>
  <c r="S276" i="3"/>
  <c r="O276" i="3"/>
  <c r="K276" i="3"/>
  <c r="G276" i="3"/>
  <c r="C276" i="3"/>
  <c r="E276" i="3" l="1"/>
  <c r="F276" i="3" s="1"/>
  <c r="D276" i="3"/>
  <c r="I276" i="3"/>
  <c r="J276" i="3" s="1"/>
  <c r="H276" i="3"/>
  <c r="M276" i="3"/>
  <c r="N276" i="3" s="1"/>
  <c r="L276" i="3"/>
  <c r="Q276" i="3"/>
  <c r="R276" i="3" s="1"/>
  <c r="P276" i="3"/>
  <c r="U276" i="3"/>
  <c r="V276" i="3" s="1"/>
  <c r="T276" i="3"/>
  <c r="Y276" i="3"/>
  <c r="Z276" i="3" s="1"/>
  <c r="X276" i="3"/>
  <c r="AC276" i="3"/>
  <c r="AD276" i="3" s="1"/>
  <c r="AB276" i="3"/>
  <c r="AG276" i="3"/>
  <c r="AH276" i="3" s="1"/>
  <c r="AF276" i="3"/>
  <c r="B278" i="3"/>
  <c r="AE277" i="3"/>
  <c r="AA277" i="3"/>
  <c r="W277" i="3"/>
  <c r="S277" i="3"/>
  <c r="O277" i="3"/>
  <c r="K277" i="3"/>
  <c r="G277" i="3"/>
  <c r="C277" i="3"/>
  <c r="E277" i="3" l="1"/>
  <c r="F277" i="3" s="1"/>
  <c r="D277" i="3"/>
  <c r="I277" i="3"/>
  <c r="J277" i="3" s="1"/>
  <c r="H277" i="3"/>
  <c r="M277" i="3"/>
  <c r="N277" i="3" s="1"/>
  <c r="L277" i="3"/>
  <c r="Q277" i="3"/>
  <c r="R277" i="3" s="1"/>
  <c r="P277" i="3"/>
  <c r="U277" i="3"/>
  <c r="V277" i="3" s="1"/>
  <c r="T277" i="3"/>
  <c r="Y277" i="3"/>
  <c r="Z277" i="3" s="1"/>
  <c r="X277" i="3"/>
  <c r="AC277" i="3"/>
  <c r="AD277" i="3" s="1"/>
  <c r="AB277" i="3"/>
  <c r="AG277" i="3"/>
  <c r="AH277" i="3" s="1"/>
  <c r="AF277" i="3"/>
  <c r="B279" i="3"/>
  <c r="AE278" i="3"/>
  <c r="AA278" i="3"/>
  <c r="W278" i="3"/>
  <c r="S278" i="3"/>
  <c r="O278" i="3"/>
  <c r="K278" i="3"/>
  <c r="G278" i="3"/>
  <c r="C278" i="3"/>
  <c r="E278" i="3" l="1"/>
  <c r="F278" i="3" s="1"/>
  <c r="D278" i="3"/>
  <c r="I278" i="3"/>
  <c r="J278" i="3" s="1"/>
  <c r="H278" i="3"/>
  <c r="M278" i="3"/>
  <c r="N278" i="3" s="1"/>
  <c r="L278" i="3"/>
  <c r="Q278" i="3"/>
  <c r="R278" i="3" s="1"/>
  <c r="P278" i="3"/>
  <c r="U278" i="3"/>
  <c r="V278" i="3" s="1"/>
  <c r="T278" i="3"/>
  <c r="Y278" i="3"/>
  <c r="Z278" i="3" s="1"/>
  <c r="X278" i="3"/>
  <c r="AC278" i="3"/>
  <c r="AD278" i="3" s="1"/>
  <c r="AB278" i="3"/>
  <c r="AG278" i="3"/>
  <c r="AH278" i="3" s="1"/>
  <c r="AF278" i="3"/>
  <c r="B280" i="3"/>
  <c r="AE279" i="3"/>
  <c r="AA279" i="3"/>
  <c r="W279" i="3"/>
  <c r="S279" i="3"/>
  <c r="O279" i="3"/>
  <c r="K279" i="3"/>
  <c r="G279" i="3"/>
  <c r="C279" i="3"/>
  <c r="E279" i="3" l="1"/>
  <c r="F279" i="3" s="1"/>
  <c r="D279" i="3"/>
  <c r="I279" i="3"/>
  <c r="J279" i="3" s="1"/>
  <c r="H279" i="3"/>
  <c r="M279" i="3"/>
  <c r="N279" i="3" s="1"/>
  <c r="L279" i="3"/>
  <c r="Q279" i="3"/>
  <c r="R279" i="3" s="1"/>
  <c r="P279" i="3"/>
  <c r="U279" i="3"/>
  <c r="V279" i="3" s="1"/>
  <c r="T279" i="3"/>
  <c r="Y279" i="3"/>
  <c r="Z279" i="3" s="1"/>
  <c r="X279" i="3"/>
  <c r="AC279" i="3"/>
  <c r="AD279" i="3" s="1"/>
  <c r="AB279" i="3"/>
  <c r="AG279" i="3"/>
  <c r="AH279" i="3" s="1"/>
  <c r="AF279" i="3"/>
  <c r="B281" i="3"/>
  <c r="AE280" i="3"/>
  <c r="AA280" i="3"/>
  <c r="W280" i="3"/>
  <c r="S280" i="3"/>
  <c r="O280" i="3"/>
  <c r="K280" i="3"/>
  <c r="G280" i="3"/>
  <c r="C280" i="3"/>
  <c r="E280" i="3" l="1"/>
  <c r="F280" i="3" s="1"/>
  <c r="D280" i="3"/>
  <c r="I280" i="3"/>
  <c r="J280" i="3" s="1"/>
  <c r="H280" i="3"/>
  <c r="M280" i="3"/>
  <c r="N280" i="3" s="1"/>
  <c r="L280" i="3"/>
  <c r="Q280" i="3"/>
  <c r="R280" i="3" s="1"/>
  <c r="P280" i="3"/>
  <c r="U280" i="3"/>
  <c r="V280" i="3" s="1"/>
  <c r="T280" i="3"/>
  <c r="Y280" i="3"/>
  <c r="Z280" i="3" s="1"/>
  <c r="X280" i="3"/>
  <c r="AC280" i="3"/>
  <c r="AD280" i="3" s="1"/>
  <c r="AB280" i="3"/>
  <c r="AG280" i="3"/>
  <c r="AH280" i="3" s="1"/>
  <c r="AF280" i="3"/>
  <c r="B282" i="3"/>
  <c r="AE281" i="3"/>
  <c r="AA281" i="3"/>
  <c r="W281" i="3"/>
  <c r="S281" i="3"/>
  <c r="O281" i="3"/>
  <c r="K281" i="3"/>
  <c r="G281" i="3"/>
  <c r="C281" i="3"/>
  <c r="E281" i="3" l="1"/>
  <c r="F281" i="3" s="1"/>
  <c r="D281" i="3"/>
  <c r="I281" i="3"/>
  <c r="J281" i="3" s="1"/>
  <c r="H281" i="3"/>
  <c r="M281" i="3"/>
  <c r="N281" i="3" s="1"/>
  <c r="L281" i="3"/>
  <c r="Q281" i="3"/>
  <c r="R281" i="3" s="1"/>
  <c r="P281" i="3"/>
  <c r="U281" i="3"/>
  <c r="V281" i="3" s="1"/>
  <c r="T281" i="3"/>
  <c r="Y281" i="3"/>
  <c r="Z281" i="3" s="1"/>
  <c r="X281" i="3"/>
  <c r="AC281" i="3"/>
  <c r="AD281" i="3" s="1"/>
  <c r="AB281" i="3"/>
  <c r="AG281" i="3"/>
  <c r="AH281" i="3" s="1"/>
  <c r="AF281" i="3"/>
  <c r="B283" i="3"/>
  <c r="AE282" i="3"/>
  <c r="AA282" i="3"/>
  <c r="W282" i="3"/>
  <c r="S282" i="3"/>
  <c r="O282" i="3"/>
  <c r="K282" i="3"/>
  <c r="G282" i="3"/>
  <c r="C282" i="3"/>
  <c r="E282" i="3" l="1"/>
  <c r="F282" i="3" s="1"/>
  <c r="D282" i="3"/>
  <c r="I282" i="3"/>
  <c r="J282" i="3" s="1"/>
  <c r="H282" i="3"/>
  <c r="M282" i="3"/>
  <c r="N282" i="3" s="1"/>
  <c r="L282" i="3"/>
  <c r="Q282" i="3"/>
  <c r="R282" i="3" s="1"/>
  <c r="P282" i="3"/>
  <c r="U282" i="3"/>
  <c r="V282" i="3" s="1"/>
  <c r="T282" i="3"/>
  <c r="Y282" i="3"/>
  <c r="Z282" i="3" s="1"/>
  <c r="X282" i="3"/>
  <c r="AC282" i="3"/>
  <c r="AD282" i="3" s="1"/>
  <c r="AB282" i="3"/>
  <c r="AG282" i="3"/>
  <c r="AH282" i="3" s="1"/>
  <c r="AF282" i="3"/>
  <c r="B284" i="3"/>
  <c r="AE283" i="3"/>
  <c r="AA283" i="3"/>
  <c r="W283" i="3"/>
  <c r="S283" i="3"/>
  <c r="O283" i="3"/>
  <c r="K283" i="3"/>
  <c r="G283" i="3"/>
  <c r="C283" i="3"/>
  <c r="E283" i="3" l="1"/>
  <c r="F283" i="3" s="1"/>
  <c r="D283" i="3"/>
  <c r="I283" i="3"/>
  <c r="J283" i="3" s="1"/>
  <c r="H283" i="3"/>
  <c r="M283" i="3"/>
  <c r="N283" i="3" s="1"/>
  <c r="L283" i="3"/>
  <c r="Q283" i="3"/>
  <c r="R283" i="3" s="1"/>
  <c r="P283" i="3"/>
  <c r="U283" i="3"/>
  <c r="V283" i="3" s="1"/>
  <c r="T283" i="3"/>
  <c r="Y283" i="3"/>
  <c r="Z283" i="3" s="1"/>
  <c r="X283" i="3"/>
  <c r="AC283" i="3"/>
  <c r="AD283" i="3" s="1"/>
  <c r="AB283" i="3"/>
  <c r="AG283" i="3"/>
  <c r="AH283" i="3" s="1"/>
  <c r="AF283" i="3"/>
  <c r="B285" i="3"/>
  <c r="AE284" i="3"/>
  <c r="AA284" i="3"/>
  <c r="W284" i="3"/>
  <c r="S284" i="3"/>
  <c r="O284" i="3"/>
  <c r="K284" i="3"/>
  <c r="G284" i="3"/>
  <c r="C284" i="3"/>
  <c r="E284" i="3" l="1"/>
  <c r="F284" i="3" s="1"/>
  <c r="D284" i="3"/>
  <c r="I284" i="3"/>
  <c r="J284" i="3" s="1"/>
  <c r="H284" i="3"/>
  <c r="M284" i="3"/>
  <c r="N284" i="3" s="1"/>
  <c r="L284" i="3"/>
  <c r="Q284" i="3"/>
  <c r="R284" i="3" s="1"/>
  <c r="P284" i="3"/>
  <c r="U284" i="3"/>
  <c r="V284" i="3" s="1"/>
  <c r="T284" i="3"/>
  <c r="Y284" i="3"/>
  <c r="Z284" i="3" s="1"/>
  <c r="X284" i="3"/>
  <c r="AC284" i="3"/>
  <c r="AD284" i="3" s="1"/>
  <c r="AB284" i="3"/>
  <c r="AG284" i="3"/>
  <c r="AH284" i="3" s="1"/>
  <c r="AF284" i="3"/>
  <c r="B286" i="3"/>
  <c r="AE285" i="3"/>
  <c r="AA285" i="3"/>
  <c r="W285" i="3"/>
  <c r="S285" i="3"/>
  <c r="O285" i="3"/>
  <c r="K285" i="3"/>
  <c r="G285" i="3"/>
  <c r="C285" i="3"/>
  <c r="E285" i="3" l="1"/>
  <c r="F285" i="3" s="1"/>
  <c r="D285" i="3"/>
  <c r="I285" i="3"/>
  <c r="J285" i="3" s="1"/>
  <c r="H285" i="3"/>
  <c r="M285" i="3"/>
  <c r="N285" i="3" s="1"/>
  <c r="L285" i="3"/>
  <c r="Q285" i="3"/>
  <c r="R285" i="3" s="1"/>
  <c r="P285" i="3"/>
  <c r="U285" i="3"/>
  <c r="V285" i="3" s="1"/>
  <c r="T285" i="3"/>
  <c r="Y285" i="3"/>
  <c r="Z285" i="3" s="1"/>
  <c r="X285" i="3"/>
  <c r="AC285" i="3"/>
  <c r="AD285" i="3" s="1"/>
  <c r="AB285" i="3"/>
  <c r="AG285" i="3"/>
  <c r="AH285" i="3" s="1"/>
  <c r="AF285" i="3"/>
  <c r="B287" i="3"/>
  <c r="AE286" i="3"/>
  <c r="AA286" i="3"/>
  <c r="W286" i="3"/>
  <c r="S286" i="3"/>
  <c r="O286" i="3"/>
  <c r="K286" i="3"/>
  <c r="G286" i="3"/>
  <c r="C286" i="3"/>
  <c r="E286" i="3" l="1"/>
  <c r="F286" i="3" s="1"/>
  <c r="D286" i="3"/>
  <c r="I286" i="3"/>
  <c r="J286" i="3" s="1"/>
  <c r="H286" i="3"/>
  <c r="M286" i="3"/>
  <c r="N286" i="3" s="1"/>
  <c r="L286" i="3"/>
  <c r="Q286" i="3"/>
  <c r="R286" i="3" s="1"/>
  <c r="P286" i="3"/>
  <c r="U286" i="3"/>
  <c r="V286" i="3" s="1"/>
  <c r="T286" i="3"/>
  <c r="Y286" i="3"/>
  <c r="Z286" i="3" s="1"/>
  <c r="X286" i="3"/>
  <c r="AC286" i="3"/>
  <c r="AD286" i="3" s="1"/>
  <c r="AB286" i="3"/>
  <c r="AG286" i="3"/>
  <c r="AH286" i="3" s="1"/>
  <c r="AF286" i="3"/>
  <c r="B288" i="3"/>
  <c r="AE287" i="3"/>
  <c r="AA287" i="3"/>
  <c r="W287" i="3"/>
  <c r="S287" i="3"/>
  <c r="O287" i="3"/>
  <c r="K287" i="3"/>
  <c r="G287" i="3"/>
  <c r="C287" i="3"/>
  <c r="E287" i="3" l="1"/>
  <c r="F287" i="3" s="1"/>
  <c r="D287" i="3"/>
  <c r="I287" i="3"/>
  <c r="J287" i="3" s="1"/>
  <c r="H287" i="3"/>
  <c r="M287" i="3"/>
  <c r="N287" i="3" s="1"/>
  <c r="L287" i="3"/>
  <c r="Q287" i="3"/>
  <c r="R287" i="3" s="1"/>
  <c r="P287" i="3"/>
  <c r="U287" i="3"/>
  <c r="V287" i="3" s="1"/>
  <c r="T287" i="3"/>
  <c r="Y287" i="3"/>
  <c r="Z287" i="3" s="1"/>
  <c r="X287" i="3"/>
  <c r="AC287" i="3"/>
  <c r="AD287" i="3" s="1"/>
  <c r="AB287" i="3"/>
  <c r="AG287" i="3"/>
  <c r="AH287" i="3" s="1"/>
  <c r="AF287" i="3"/>
  <c r="B289" i="3"/>
  <c r="AE288" i="3"/>
  <c r="AA288" i="3"/>
  <c r="W288" i="3"/>
  <c r="S288" i="3"/>
  <c r="O288" i="3"/>
  <c r="K288" i="3"/>
  <c r="G288" i="3"/>
  <c r="C288" i="3"/>
  <c r="E288" i="3" l="1"/>
  <c r="F288" i="3" s="1"/>
  <c r="D288" i="3"/>
  <c r="I288" i="3"/>
  <c r="J288" i="3" s="1"/>
  <c r="H288" i="3"/>
  <c r="M288" i="3"/>
  <c r="N288" i="3" s="1"/>
  <c r="L288" i="3"/>
  <c r="Q288" i="3"/>
  <c r="R288" i="3" s="1"/>
  <c r="P288" i="3"/>
  <c r="U288" i="3"/>
  <c r="V288" i="3" s="1"/>
  <c r="T288" i="3"/>
  <c r="Y288" i="3"/>
  <c r="Z288" i="3" s="1"/>
  <c r="X288" i="3"/>
  <c r="AC288" i="3"/>
  <c r="AD288" i="3" s="1"/>
  <c r="AB288" i="3"/>
  <c r="AG288" i="3"/>
  <c r="AH288" i="3" s="1"/>
  <c r="AF288" i="3"/>
  <c r="B290" i="3"/>
  <c r="AE289" i="3"/>
  <c r="AA289" i="3"/>
  <c r="W289" i="3"/>
  <c r="S289" i="3"/>
  <c r="O289" i="3"/>
  <c r="K289" i="3"/>
  <c r="G289" i="3"/>
  <c r="C289" i="3"/>
  <c r="E289" i="3" l="1"/>
  <c r="F289" i="3" s="1"/>
  <c r="D289" i="3"/>
  <c r="I289" i="3"/>
  <c r="J289" i="3" s="1"/>
  <c r="H289" i="3"/>
  <c r="M289" i="3"/>
  <c r="N289" i="3" s="1"/>
  <c r="L289" i="3"/>
  <c r="Q289" i="3"/>
  <c r="R289" i="3" s="1"/>
  <c r="P289" i="3"/>
  <c r="U289" i="3"/>
  <c r="V289" i="3" s="1"/>
  <c r="T289" i="3"/>
  <c r="Y289" i="3"/>
  <c r="Z289" i="3" s="1"/>
  <c r="X289" i="3"/>
  <c r="AC289" i="3"/>
  <c r="AD289" i="3" s="1"/>
  <c r="AB289" i="3"/>
  <c r="AG289" i="3"/>
  <c r="AH289" i="3" s="1"/>
  <c r="AF289" i="3"/>
  <c r="B291" i="3"/>
  <c r="AE290" i="3"/>
  <c r="AA290" i="3"/>
  <c r="W290" i="3"/>
  <c r="S290" i="3"/>
  <c r="O290" i="3"/>
  <c r="K290" i="3"/>
  <c r="G290" i="3"/>
  <c r="C290" i="3"/>
  <c r="E290" i="3" l="1"/>
  <c r="F290" i="3" s="1"/>
  <c r="D290" i="3"/>
  <c r="I290" i="3"/>
  <c r="J290" i="3" s="1"/>
  <c r="H290" i="3"/>
  <c r="M290" i="3"/>
  <c r="N290" i="3" s="1"/>
  <c r="L290" i="3"/>
  <c r="Q290" i="3"/>
  <c r="R290" i="3" s="1"/>
  <c r="P290" i="3"/>
  <c r="U290" i="3"/>
  <c r="V290" i="3" s="1"/>
  <c r="T290" i="3"/>
  <c r="Y290" i="3"/>
  <c r="Z290" i="3" s="1"/>
  <c r="X290" i="3"/>
  <c r="AC290" i="3"/>
  <c r="AD290" i="3" s="1"/>
  <c r="AB290" i="3"/>
  <c r="AG290" i="3"/>
  <c r="AH290" i="3" s="1"/>
  <c r="AF290" i="3"/>
  <c r="B292" i="3"/>
  <c r="AE291" i="3"/>
  <c r="AA291" i="3"/>
  <c r="W291" i="3"/>
  <c r="S291" i="3"/>
  <c r="O291" i="3"/>
  <c r="K291" i="3"/>
  <c r="G291" i="3"/>
  <c r="C291" i="3"/>
  <c r="E291" i="3" l="1"/>
  <c r="F291" i="3" s="1"/>
  <c r="D291" i="3"/>
  <c r="I291" i="3"/>
  <c r="J291" i="3" s="1"/>
  <c r="H291" i="3"/>
  <c r="M291" i="3"/>
  <c r="N291" i="3" s="1"/>
  <c r="L291" i="3"/>
  <c r="Q291" i="3"/>
  <c r="R291" i="3" s="1"/>
  <c r="P291" i="3"/>
  <c r="U291" i="3"/>
  <c r="V291" i="3" s="1"/>
  <c r="T291" i="3"/>
  <c r="Y291" i="3"/>
  <c r="Z291" i="3" s="1"/>
  <c r="X291" i="3"/>
  <c r="AC291" i="3"/>
  <c r="AD291" i="3" s="1"/>
  <c r="AB291" i="3"/>
  <c r="AG291" i="3"/>
  <c r="AH291" i="3" s="1"/>
  <c r="AF291" i="3"/>
  <c r="B293" i="3"/>
  <c r="AE292" i="3"/>
  <c r="AA292" i="3"/>
  <c r="W292" i="3"/>
  <c r="S292" i="3"/>
  <c r="O292" i="3"/>
  <c r="K292" i="3"/>
  <c r="G292" i="3"/>
  <c r="C292" i="3"/>
  <c r="E292" i="3" l="1"/>
  <c r="F292" i="3" s="1"/>
  <c r="D292" i="3"/>
  <c r="I292" i="3"/>
  <c r="J292" i="3" s="1"/>
  <c r="H292" i="3"/>
  <c r="M292" i="3"/>
  <c r="N292" i="3" s="1"/>
  <c r="L292" i="3"/>
  <c r="Q292" i="3"/>
  <c r="R292" i="3" s="1"/>
  <c r="P292" i="3"/>
  <c r="U292" i="3"/>
  <c r="V292" i="3" s="1"/>
  <c r="T292" i="3"/>
  <c r="Y292" i="3"/>
  <c r="Z292" i="3" s="1"/>
  <c r="X292" i="3"/>
  <c r="AC292" i="3"/>
  <c r="AD292" i="3" s="1"/>
  <c r="AB292" i="3"/>
  <c r="AG292" i="3"/>
  <c r="AH292" i="3" s="1"/>
  <c r="AF292" i="3"/>
  <c r="B294" i="3"/>
  <c r="AE293" i="3"/>
  <c r="AA293" i="3"/>
  <c r="W293" i="3"/>
  <c r="S293" i="3"/>
  <c r="O293" i="3"/>
  <c r="K293" i="3"/>
  <c r="G293" i="3"/>
  <c r="C293" i="3"/>
  <c r="E293" i="3" l="1"/>
  <c r="F293" i="3" s="1"/>
  <c r="D293" i="3"/>
  <c r="I293" i="3"/>
  <c r="J293" i="3" s="1"/>
  <c r="H293" i="3"/>
  <c r="M293" i="3"/>
  <c r="N293" i="3" s="1"/>
  <c r="L293" i="3"/>
  <c r="Q293" i="3"/>
  <c r="R293" i="3" s="1"/>
  <c r="P293" i="3"/>
  <c r="U293" i="3"/>
  <c r="V293" i="3" s="1"/>
  <c r="T293" i="3"/>
  <c r="Y293" i="3"/>
  <c r="Z293" i="3" s="1"/>
  <c r="X293" i="3"/>
  <c r="AC293" i="3"/>
  <c r="AD293" i="3" s="1"/>
  <c r="AB293" i="3"/>
  <c r="AG293" i="3"/>
  <c r="AH293" i="3" s="1"/>
  <c r="AF293" i="3"/>
  <c r="B295" i="3"/>
  <c r="AE294" i="3"/>
  <c r="AA294" i="3"/>
  <c r="W294" i="3"/>
  <c r="S294" i="3"/>
  <c r="O294" i="3"/>
  <c r="K294" i="3"/>
  <c r="G294" i="3"/>
  <c r="C294" i="3"/>
  <c r="E294" i="3" l="1"/>
  <c r="F294" i="3" s="1"/>
  <c r="D294" i="3"/>
  <c r="I294" i="3"/>
  <c r="J294" i="3" s="1"/>
  <c r="H294" i="3"/>
  <c r="M294" i="3"/>
  <c r="N294" i="3" s="1"/>
  <c r="L294" i="3"/>
  <c r="Q294" i="3"/>
  <c r="R294" i="3" s="1"/>
  <c r="P294" i="3"/>
  <c r="U294" i="3"/>
  <c r="V294" i="3" s="1"/>
  <c r="T294" i="3"/>
  <c r="Y294" i="3"/>
  <c r="Z294" i="3" s="1"/>
  <c r="X294" i="3"/>
  <c r="AC294" i="3"/>
  <c r="AD294" i="3" s="1"/>
  <c r="AB294" i="3"/>
  <c r="AG294" i="3"/>
  <c r="AH294" i="3" s="1"/>
  <c r="AF294" i="3"/>
  <c r="B296" i="3"/>
  <c r="AE295" i="3"/>
  <c r="AA295" i="3"/>
  <c r="W295" i="3"/>
  <c r="S295" i="3"/>
  <c r="O295" i="3"/>
  <c r="K295" i="3"/>
  <c r="G295" i="3"/>
  <c r="C295" i="3"/>
  <c r="E295" i="3" l="1"/>
  <c r="F295" i="3" s="1"/>
  <c r="D295" i="3"/>
  <c r="I295" i="3"/>
  <c r="J295" i="3" s="1"/>
  <c r="H295" i="3"/>
  <c r="M295" i="3"/>
  <c r="N295" i="3" s="1"/>
  <c r="L295" i="3"/>
  <c r="Q295" i="3"/>
  <c r="R295" i="3" s="1"/>
  <c r="P295" i="3"/>
  <c r="U295" i="3"/>
  <c r="V295" i="3" s="1"/>
  <c r="T295" i="3"/>
  <c r="Y295" i="3"/>
  <c r="Z295" i="3" s="1"/>
  <c r="X295" i="3"/>
  <c r="AC295" i="3"/>
  <c r="AD295" i="3" s="1"/>
  <c r="AB295" i="3"/>
  <c r="AG295" i="3"/>
  <c r="AH295" i="3" s="1"/>
  <c r="AF295" i="3"/>
  <c r="B297" i="3"/>
  <c r="AE296" i="3"/>
  <c r="AA296" i="3"/>
  <c r="W296" i="3"/>
  <c r="S296" i="3"/>
  <c r="O296" i="3"/>
  <c r="K296" i="3"/>
  <c r="G296" i="3"/>
  <c r="C296" i="3"/>
  <c r="E296" i="3" l="1"/>
  <c r="F296" i="3" s="1"/>
  <c r="D296" i="3"/>
  <c r="I296" i="3"/>
  <c r="J296" i="3" s="1"/>
  <c r="H296" i="3"/>
  <c r="M296" i="3"/>
  <c r="N296" i="3" s="1"/>
  <c r="L296" i="3"/>
  <c r="Q296" i="3"/>
  <c r="R296" i="3" s="1"/>
  <c r="P296" i="3"/>
  <c r="U296" i="3"/>
  <c r="V296" i="3" s="1"/>
  <c r="T296" i="3"/>
  <c r="Y296" i="3"/>
  <c r="Z296" i="3" s="1"/>
  <c r="X296" i="3"/>
  <c r="AC296" i="3"/>
  <c r="AD296" i="3" s="1"/>
  <c r="AB296" i="3"/>
  <c r="AG296" i="3"/>
  <c r="AH296" i="3" s="1"/>
  <c r="AF296" i="3"/>
  <c r="B298" i="3"/>
  <c r="AE297" i="3"/>
  <c r="AA297" i="3"/>
  <c r="W297" i="3"/>
  <c r="S297" i="3"/>
  <c r="O297" i="3"/>
  <c r="K297" i="3"/>
  <c r="G297" i="3"/>
  <c r="C297" i="3"/>
  <c r="E297" i="3" l="1"/>
  <c r="F297" i="3" s="1"/>
  <c r="D297" i="3"/>
  <c r="I297" i="3"/>
  <c r="J297" i="3" s="1"/>
  <c r="H297" i="3"/>
  <c r="M297" i="3"/>
  <c r="N297" i="3" s="1"/>
  <c r="L297" i="3"/>
  <c r="Q297" i="3"/>
  <c r="R297" i="3" s="1"/>
  <c r="P297" i="3"/>
  <c r="U297" i="3"/>
  <c r="V297" i="3" s="1"/>
  <c r="T297" i="3"/>
  <c r="Y297" i="3"/>
  <c r="Z297" i="3" s="1"/>
  <c r="X297" i="3"/>
  <c r="AC297" i="3"/>
  <c r="AD297" i="3" s="1"/>
  <c r="AB297" i="3"/>
  <c r="AG297" i="3"/>
  <c r="AH297" i="3" s="1"/>
  <c r="AF297" i="3"/>
  <c r="B299" i="3"/>
  <c r="AE298" i="3"/>
  <c r="AA298" i="3"/>
  <c r="W298" i="3"/>
  <c r="S298" i="3"/>
  <c r="O298" i="3"/>
  <c r="K298" i="3"/>
  <c r="G298" i="3"/>
  <c r="C298" i="3"/>
  <c r="E298" i="3" l="1"/>
  <c r="F298" i="3" s="1"/>
  <c r="D298" i="3"/>
  <c r="I298" i="3"/>
  <c r="J298" i="3" s="1"/>
  <c r="H298" i="3"/>
  <c r="M298" i="3"/>
  <c r="N298" i="3" s="1"/>
  <c r="L298" i="3"/>
  <c r="Q298" i="3"/>
  <c r="R298" i="3" s="1"/>
  <c r="P298" i="3"/>
  <c r="U298" i="3"/>
  <c r="V298" i="3" s="1"/>
  <c r="T298" i="3"/>
  <c r="Y298" i="3"/>
  <c r="Z298" i="3" s="1"/>
  <c r="X298" i="3"/>
  <c r="AC298" i="3"/>
  <c r="AD298" i="3" s="1"/>
  <c r="AB298" i="3"/>
  <c r="AG298" i="3"/>
  <c r="AH298" i="3" s="1"/>
  <c r="AF298" i="3"/>
  <c r="B300" i="3"/>
  <c r="AE299" i="3"/>
  <c r="AA299" i="3"/>
  <c r="W299" i="3"/>
  <c r="S299" i="3"/>
  <c r="O299" i="3"/>
  <c r="K299" i="3"/>
  <c r="G299" i="3"/>
  <c r="C299" i="3"/>
  <c r="E299" i="3" l="1"/>
  <c r="F299" i="3" s="1"/>
  <c r="D299" i="3"/>
  <c r="I299" i="3"/>
  <c r="J299" i="3" s="1"/>
  <c r="H299" i="3"/>
  <c r="M299" i="3"/>
  <c r="N299" i="3" s="1"/>
  <c r="L299" i="3"/>
  <c r="Q299" i="3"/>
  <c r="R299" i="3" s="1"/>
  <c r="P299" i="3"/>
  <c r="U299" i="3"/>
  <c r="V299" i="3" s="1"/>
  <c r="T299" i="3"/>
  <c r="Y299" i="3"/>
  <c r="Z299" i="3" s="1"/>
  <c r="X299" i="3"/>
  <c r="AC299" i="3"/>
  <c r="AD299" i="3" s="1"/>
  <c r="AB299" i="3"/>
  <c r="AG299" i="3"/>
  <c r="AH299" i="3" s="1"/>
  <c r="AF299" i="3"/>
  <c r="B301" i="3"/>
  <c r="AE300" i="3"/>
  <c r="AA300" i="3"/>
  <c r="W300" i="3"/>
  <c r="S300" i="3"/>
  <c r="O300" i="3"/>
  <c r="K300" i="3"/>
  <c r="G300" i="3"/>
  <c r="C300" i="3"/>
  <c r="E300" i="3" l="1"/>
  <c r="F300" i="3" s="1"/>
  <c r="D300" i="3"/>
  <c r="I300" i="3"/>
  <c r="J300" i="3" s="1"/>
  <c r="H300" i="3"/>
  <c r="M300" i="3"/>
  <c r="N300" i="3" s="1"/>
  <c r="L300" i="3"/>
  <c r="Q300" i="3"/>
  <c r="R300" i="3" s="1"/>
  <c r="P300" i="3"/>
  <c r="U300" i="3"/>
  <c r="V300" i="3" s="1"/>
  <c r="T300" i="3"/>
  <c r="Y300" i="3"/>
  <c r="Z300" i="3" s="1"/>
  <c r="X300" i="3"/>
  <c r="AC300" i="3"/>
  <c r="AD300" i="3" s="1"/>
  <c r="AB300" i="3"/>
  <c r="AG300" i="3"/>
  <c r="AH300" i="3" s="1"/>
  <c r="AF300" i="3"/>
  <c r="B302" i="3"/>
  <c r="AE301" i="3"/>
  <c r="AA301" i="3"/>
  <c r="W301" i="3"/>
  <c r="S301" i="3"/>
  <c r="O301" i="3"/>
  <c r="K301" i="3"/>
  <c r="G301" i="3"/>
  <c r="C301" i="3"/>
  <c r="E301" i="3" l="1"/>
  <c r="F301" i="3" s="1"/>
  <c r="D301" i="3"/>
  <c r="I301" i="3"/>
  <c r="J301" i="3" s="1"/>
  <c r="H301" i="3"/>
  <c r="M301" i="3"/>
  <c r="N301" i="3" s="1"/>
  <c r="L301" i="3"/>
  <c r="Q301" i="3"/>
  <c r="R301" i="3" s="1"/>
  <c r="P301" i="3"/>
  <c r="U301" i="3"/>
  <c r="V301" i="3" s="1"/>
  <c r="T301" i="3"/>
  <c r="Y301" i="3"/>
  <c r="Z301" i="3" s="1"/>
  <c r="X301" i="3"/>
  <c r="AC301" i="3"/>
  <c r="AD301" i="3" s="1"/>
  <c r="AB301" i="3"/>
  <c r="AG301" i="3"/>
  <c r="AH301" i="3" s="1"/>
  <c r="AF301" i="3"/>
  <c r="B303" i="3"/>
  <c r="AE302" i="3"/>
  <c r="AA302" i="3"/>
  <c r="W302" i="3"/>
  <c r="S302" i="3"/>
  <c r="O302" i="3"/>
  <c r="K302" i="3"/>
  <c r="G302" i="3"/>
  <c r="C302" i="3"/>
  <c r="E302" i="3" l="1"/>
  <c r="F302" i="3" s="1"/>
  <c r="D302" i="3"/>
  <c r="I302" i="3"/>
  <c r="J302" i="3" s="1"/>
  <c r="H302" i="3"/>
  <c r="M302" i="3"/>
  <c r="N302" i="3" s="1"/>
  <c r="L302" i="3"/>
  <c r="Q302" i="3"/>
  <c r="R302" i="3" s="1"/>
  <c r="P302" i="3"/>
  <c r="U302" i="3"/>
  <c r="V302" i="3" s="1"/>
  <c r="T302" i="3"/>
  <c r="Y302" i="3"/>
  <c r="Z302" i="3" s="1"/>
  <c r="X302" i="3"/>
  <c r="AC302" i="3"/>
  <c r="AD302" i="3" s="1"/>
  <c r="AB302" i="3"/>
  <c r="AG302" i="3"/>
  <c r="AH302" i="3" s="1"/>
  <c r="AF302" i="3"/>
  <c r="B304" i="3"/>
  <c r="AE303" i="3"/>
  <c r="AA303" i="3"/>
  <c r="W303" i="3"/>
  <c r="S303" i="3"/>
  <c r="O303" i="3"/>
  <c r="K303" i="3"/>
  <c r="G303" i="3"/>
  <c r="C303" i="3"/>
  <c r="E303" i="3" l="1"/>
  <c r="F303" i="3" s="1"/>
  <c r="D303" i="3"/>
  <c r="I303" i="3"/>
  <c r="J303" i="3" s="1"/>
  <c r="H303" i="3"/>
  <c r="M303" i="3"/>
  <c r="N303" i="3" s="1"/>
  <c r="L303" i="3"/>
  <c r="Q303" i="3"/>
  <c r="R303" i="3" s="1"/>
  <c r="P303" i="3"/>
  <c r="U303" i="3"/>
  <c r="V303" i="3" s="1"/>
  <c r="T303" i="3"/>
  <c r="Y303" i="3"/>
  <c r="Z303" i="3" s="1"/>
  <c r="X303" i="3"/>
  <c r="AC303" i="3"/>
  <c r="AD303" i="3" s="1"/>
  <c r="AB303" i="3"/>
  <c r="AG303" i="3"/>
  <c r="AH303" i="3" s="1"/>
  <c r="AF303" i="3"/>
  <c r="B305" i="3"/>
  <c r="AE304" i="3"/>
  <c r="AA304" i="3"/>
  <c r="W304" i="3"/>
  <c r="S304" i="3"/>
  <c r="O304" i="3"/>
  <c r="K304" i="3"/>
  <c r="G304" i="3"/>
  <c r="C304" i="3"/>
  <c r="E304" i="3" l="1"/>
  <c r="F304" i="3" s="1"/>
  <c r="D304" i="3"/>
  <c r="I304" i="3"/>
  <c r="J304" i="3" s="1"/>
  <c r="H304" i="3"/>
  <c r="M304" i="3"/>
  <c r="N304" i="3" s="1"/>
  <c r="L304" i="3"/>
  <c r="Q304" i="3"/>
  <c r="R304" i="3" s="1"/>
  <c r="P304" i="3"/>
  <c r="U304" i="3"/>
  <c r="V304" i="3" s="1"/>
  <c r="T304" i="3"/>
  <c r="Y304" i="3"/>
  <c r="Z304" i="3" s="1"/>
  <c r="X304" i="3"/>
  <c r="AC304" i="3"/>
  <c r="AD304" i="3" s="1"/>
  <c r="AB304" i="3"/>
  <c r="AG304" i="3"/>
  <c r="AH304" i="3" s="1"/>
  <c r="AF304" i="3"/>
  <c r="B306" i="3"/>
  <c r="AE305" i="3"/>
  <c r="AA305" i="3"/>
  <c r="W305" i="3"/>
  <c r="S305" i="3"/>
  <c r="O305" i="3"/>
  <c r="K305" i="3"/>
  <c r="G305" i="3"/>
  <c r="C305" i="3"/>
  <c r="E305" i="3" l="1"/>
  <c r="F305" i="3" s="1"/>
  <c r="D305" i="3"/>
  <c r="I305" i="3"/>
  <c r="J305" i="3" s="1"/>
  <c r="H305" i="3"/>
  <c r="M305" i="3"/>
  <c r="N305" i="3" s="1"/>
  <c r="L305" i="3"/>
  <c r="Q305" i="3"/>
  <c r="R305" i="3" s="1"/>
  <c r="P305" i="3"/>
  <c r="U305" i="3"/>
  <c r="V305" i="3" s="1"/>
  <c r="T305" i="3"/>
  <c r="Y305" i="3"/>
  <c r="Z305" i="3" s="1"/>
  <c r="X305" i="3"/>
  <c r="AC305" i="3"/>
  <c r="AD305" i="3" s="1"/>
  <c r="AB305" i="3"/>
  <c r="AG305" i="3"/>
  <c r="AH305" i="3" s="1"/>
  <c r="AF305" i="3"/>
  <c r="B307" i="3"/>
  <c r="AE306" i="3"/>
  <c r="AA306" i="3"/>
  <c r="W306" i="3"/>
  <c r="S306" i="3"/>
  <c r="O306" i="3"/>
  <c r="K306" i="3"/>
  <c r="G306" i="3"/>
  <c r="C306" i="3"/>
  <c r="E306" i="3" l="1"/>
  <c r="F306" i="3" s="1"/>
  <c r="D306" i="3"/>
  <c r="I306" i="3"/>
  <c r="J306" i="3" s="1"/>
  <c r="H306" i="3"/>
  <c r="M306" i="3"/>
  <c r="N306" i="3" s="1"/>
  <c r="L306" i="3"/>
  <c r="Q306" i="3"/>
  <c r="R306" i="3" s="1"/>
  <c r="P306" i="3"/>
  <c r="U306" i="3"/>
  <c r="V306" i="3" s="1"/>
  <c r="T306" i="3"/>
  <c r="Y306" i="3"/>
  <c r="Z306" i="3" s="1"/>
  <c r="X306" i="3"/>
  <c r="AC306" i="3"/>
  <c r="AD306" i="3" s="1"/>
  <c r="AB306" i="3"/>
  <c r="AG306" i="3"/>
  <c r="AH306" i="3" s="1"/>
  <c r="AF306" i="3"/>
  <c r="B308" i="3"/>
  <c r="AE307" i="3"/>
  <c r="AA307" i="3"/>
  <c r="W307" i="3"/>
  <c r="S307" i="3"/>
  <c r="O307" i="3"/>
  <c r="K307" i="3"/>
  <c r="G307" i="3"/>
  <c r="C307" i="3"/>
  <c r="E307" i="3" l="1"/>
  <c r="F307" i="3" s="1"/>
  <c r="D307" i="3"/>
  <c r="I307" i="3"/>
  <c r="J307" i="3" s="1"/>
  <c r="H307" i="3"/>
  <c r="M307" i="3"/>
  <c r="N307" i="3" s="1"/>
  <c r="L307" i="3"/>
  <c r="Q307" i="3"/>
  <c r="R307" i="3" s="1"/>
  <c r="P307" i="3"/>
  <c r="U307" i="3"/>
  <c r="V307" i="3" s="1"/>
  <c r="T307" i="3"/>
  <c r="Y307" i="3"/>
  <c r="Z307" i="3" s="1"/>
  <c r="X307" i="3"/>
  <c r="AC307" i="3"/>
  <c r="AD307" i="3" s="1"/>
  <c r="AB307" i="3"/>
  <c r="AG307" i="3"/>
  <c r="AH307" i="3" s="1"/>
  <c r="AF307" i="3"/>
  <c r="B309" i="3"/>
  <c r="AE308" i="3"/>
  <c r="AA308" i="3"/>
  <c r="W308" i="3"/>
  <c r="S308" i="3"/>
  <c r="O308" i="3"/>
  <c r="K308" i="3"/>
  <c r="G308" i="3"/>
  <c r="C308" i="3"/>
  <c r="E308" i="3" l="1"/>
  <c r="F308" i="3" s="1"/>
  <c r="D308" i="3"/>
  <c r="I308" i="3"/>
  <c r="J308" i="3" s="1"/>
  <c r="H308" i="3"/>
  <c r="M308" i="3"/>
  <c r="N308" i="3" s="1"/>
  <c r="L308" i="3"/>
  <c r="Q308" i="3"/>
  <c r="R308" i="3" s="1"/>
  <c r="P308" i="3"/>
  <c r="U308" i="3"/>
  <c r="V308" i="3" s="1"/>
  <c r="T308" i="3"/>
  <c r="Y308" i="3"/>
  <c r="Z308" i="3" s="1"/>
  <c r="X308" i="3"/>
  <c r="AC308" i="3"/>
  <c r="AD308" i="3" s="1"/>
  <c r="AB308" i="3"/>
  <c r="AG308" i="3"/>
  <c r="AH308" i="3" s="1"/>
  <c r="AF308" i="3"/>
  <c r="B310" i="3"/>
  <c r="AE309" i="3"/>
  <c r="AA309" i="3"/>
  <c r="W309" i="3"/>
  <c r="S309" i="3"/>
  <c r="O309" i="3"/>
  <c r="K309" i="3"/>
  <c r="G309" i="3"/>
  <c r="C309" i="3"/>
  <c r="E309" i="3" l="1"/>
  <c r="F309" i="3" s="1"/>
  <c r="D309" i="3"/>
  <c r="I309" i="3"/>
  <c r="J309" i="3" s="1"/>
  <c r="H309" i="3"/>
  <c r="M309" i="3"/>
  <c r="N309" i="3" s="1"/>
  <c r="L309" i="3"/>
  <c r="Q309" i="3"/>
  <c r="R309" i="3" s="1"/>
  <c r="P309" i="3"/>
  <c r="U309" i="3"/>
  <c r="V309" i="3" s="1"/>
  <c r="T309" i="3"/>
  <c r="Y309" i="3"/>
  <c r="Z309" i="3" s="1"/>
  <c r="X309" i="3"/>
  <c r="AC309" i="3"/>
  <c r="AD309" i="3" s="1"/>
  <c r="AB309" i="3"/>
  <c r="AG309" i="3"/>
  <c r="AH309" i="3" s="1"/>
  <c r="AF309" i="3"/>
  <c r="B311" i="3"/>
  <c r="AE310" i="3"/>
  <c r="AA310" i="3"/>
  <c r="W310" i="3"/>
  <c r="S310" i="3"/>
  <c r="O310" i="3"/>
  <c r="K310" i="3"/>
  <c r="G310" i="3"/>
  <c r="C310" i="3"/>
  <c r="E310" i="3" l="1"/>
  <c r="F310" i="3" s="1"/>
  <c r="D310" i="3"/>
  <c r="I310" i="3"/>
  <c r="J310" i="3" s="1"/>
  <c r="H310" i="3"/>
  <c r="M310" i="3"/>
  <c r="N310" i="3" s="1"/>
  <c r="L310" i="3"/>
  <c r="Q310" i="3"/>
  <c r="R310" i="3" s="1"/>
  <c r="P310" i="3"/>
  <c r="U310" i="3"/>
  <c r="V310" i="3" s="1"/>
  <c r="T310" i="3"/>
  <c r="Y310" i="3"/>
  <c r="Z310" i="3" s="1"/>
  <c r="X310" i="3"/>
  <c r="AC310" i="3"/>
  <c r="AD310" i="3" s="1"/>
  <c r="AB310" i="3"/>
  <c r="AG310" i="3"/>
  <c r="AH310" i="3" s="1"/>
  <c r="AF310" i="3"/>
  <c r="B312" i="3"/>
  <c r="AE311" i="3"/>
  <c r="AA311" i="3"/>
  <c r="W311" i="3"/>
  <c r="S311" i="3"/>
  <c r="O311" i="3"/>
  <c r="K311" i="3"/>
  <c r="G311" i="3"/>
  <c r="C311" i="3"/>
  <c r="E311" i="3" l="1"/>
  <c r="F311" i="3" s="1"/>
  <c r="D311" i="3"/>
  <c r="I311" i="3"/>
  <c r="J311" i="3" s="1"/>
  <c r="H311" i="3"/>
  <c r="M311" i="3"/>
  <c r="N311" i="3" s="1"/>
  <c r="L311" i="3"/>
  <c r="Q311" i="3"/>
  <c r="R311" i="3" s="1"/>
  <c r="P311" i="3"/>
  <c r="U311" i="3"/>
  <c r="V311" i="3" s="1"/>
  <c r="T311" i="3"/>
  <c r="Y311" i="3"/>
  <c r="Z311" i="3" s="1"/>
  <c r="X311" i="3"/>
  <c r="AC311" i="3"/>
  <c r="AD311" i="3" s="1"/>
  <c r="AB311" i="3"/>
  <c r="AG311" i="3"/>
  <c r="AH311" i="3" s="1"/>
  <c r="AF311" i="3"/>
  <c r="B313" i="3"/>
  <c r="AE312" i="3"/>
  <c r="AA312" i="3"/>
  <c r="W312" i="3"/>
  <c r="S312" i="3"/>
  <c r="O312" i="3"/>
  <c r="K312" i="3"/>
  <c r="G312" i="3"/>
  <c r="C312" i="3"/>
  <c r="E312" i="3" l="1"/>
  <c r="F312" i="3" s="1"/>
  <c r="D312" i="3"/>
  <c r="I312" i="3"/>
  <c r="J312" i="3" s="1"/>
  <c r="H312" i="3"/>
  <c r="M312" i="3"/>
  <c r="N312" i="3" s="1"/>
  <c r="L312" i="3"/>
  <c r="Q312" i="3"/>
  <c r="R312" i="3" s="1"/>
  <c r="P312" i="3"/>
  <c r="U312" i="3"/>
  <c r="V312" i="3" s="1"/>
  <c r="T312" i="3"/>
  <c r="Y312" i="3"/>
  <c r="Z312" i="3" s="1"/>
  <c r="X312" i="3"/>
  <c r="AC312" i="3"/>
  <c r="AD312" i="3" s="1"/>
  <c r="AB312" i="3"/>
  <c r="AG312" i="3"/>
  <c r="AH312" i="3" s="1"/>
  <c r="AF312" i="3"/>
  <c r="B314" i="3"/>
  <c r="AE313" i="3"/>
  <c r="AA313" i="3"/>
  <c r="W313" i="3"/>
  <c r="S313" i="3"/>
  <c r="O313" i="3"/>
  <c r="K313" i="3"/>
  <c r="G313" i="3"/>
  <c r="C313" i="3"/>
  <c r="E313" i="3" l="1"/>
  <c r="F313" i="3" s="1"/>
  <c r="D313" i="3"/>
  <c r="I313" i="3"/>
  <c r="J313" i="3" s="1"/>
  <c r="H313" i="3"/>
  <c r="M313" i="3"/>
  <c r="N313" i="3" s="1"/>
  <c r="L313" i="3"/>
  <c r="Q313" i="3"/>
  <c r="R313" i="3" s="1"/>
  <c r="P313" i="3"/>
  <c r="U313" i="3"/>
  <c r="V313" i="3" s="1"/>
  <c r="T313" i="3"/>
  <c r="Y313" i="3"/>
  <c r="Z313" i="3" s="1"/>
  <c r="X313" i="3"/>
  <c r="AC313" i="3"/>
  <c r="AD313" i="3" s="1"/>
  <c r="AB313" i="3"/>
  <c r="AG313" i="3"/>
  <c r="AH313" i="3" s="1"/>
  <c r="AF313" i="3"/>
  <c r="B315" i="3"/>
  <c r="AE314" i="3"/>
  <c r="AA314" i="3"/>
  <c r="W314" i="3"/>
  <c r="S314" i="3"/>
  <c r="O314" i="3"/>
  <c r="K314" i="3"/>
  <c r="G314" i="3"/>
  <c r="C314" i="3"/>
  <c r="E314" i="3" l="1"/>
  <c r="F314" i="3" s="1"/>
  <c r="D314" i="3"/>
  <c r="I314" i="3"/>
  <c r="J314" i="3" s="1"/>
  <c r="H314" i="3"/>
  <c r="M314" i="3"/>
  <c r="N314" i="3" s="1"/>
  <c r="L314" i="3"/>
  <c r="Q314" i="3"/>
  <c r="R314" i="3" s="1"/>
  <c r="P314" i="3"/>
  <c r="U314" i="3"/>
  <c r="V314" i="3" s="1"/>
  <c r="T314" i="3"/>
  <c r="Y314" i="3"/>
  <c r="Z314" i="3" s="1"/>
  <c r="X314" i="3"/>
  <c r="AC314" i="3"/>
  <c r="AD314" i="3" s="1"/>
  <c r="AB314" i="3"/>
  <c r="AG314" i="3"/>
  <c r="AH314" i="3" s="1"/>
  <c r="AF314" i="3"/>
  <c r="B316" i="3"/>
  <c r="AE315" i="3"/>
  <c r="AA315" i="3"/>
  <c r="W315" i="3"/>
  <c r="S315" i="3"/>
  <c r="O315" i="3"/>
  <c r="K315" i="3"/>
  <c r="G315" i="3"/>
  <c r="C315" i="3"/>
  <c r="E315" i="3" l="1"/>
  <c r="F315" i="3" s="1"/>
  <c r="D315" i="3"/>
  <c r="I315" i="3"/>
  <c r="J315" i="3" s="1"/>
  <c r="H315" i="3"/>
  <c r="M315" i="3"/>
  <c r="N315" i="3" s="1"/>
  <c r="L315" i="3"/>
  <c r="Q315" i="3"/>
  <c r="R315" i="3" s="1"/>
  <c r="P315" i="3"/>
  <c r="U315" i="3"/>
  <c r="V315" i="3" s="1"/>
  <c r="T315" i="3"/>
  <c r="Y315" i="3"/>
  <c r="Z315" i="3" s="1"/>
  <c r="X315" i="3"/>
  <c r="AC315" i="3"/>
  <c r="AD315" i="3" s="1"/>
  <c r="AB315" i="3"/>
  <c r="AG315" i="3"/>
  <c r="AH315" i="3" s="1"/>
  <c r="AF315" i="3"/>
  <c r="B317" i="3"/>
  <c r="AE316" i="3"/>
  <c r="AA316" i="3"/>
  <c r="W316" i="3"/>
  <c r="S316" i="3"/>
  <c r="O316" i="3"/>
  <c r="K316" i="3"/>
  <c r="G316" i="3"/>
  <c r="C316" i="3"/>
  <c r="E316" i="3" l="1"/>
  <c r="F316" i="3" s="1"/>
  <c r="D316" i="3"/>
  <c r="I316" i="3"/>
  <c r="J316" i="3" s="1"/>
  <c r="H316" i="3"/>
  <c r="M316" i="3"/>
  <c r="N316" i="3" s="1"/>
  <c r="L316" i="3"/>
  <c r="Q316" i="3"/>
  <c r="R316" i="3" s="1"/>
  <c r="P316" i="3"/>
  <c r="U316" i="3"/>
  <c r="V316" i="3" s="1"/>
  <c r="T316" i="3"/>
  <c r="Y316" i="3"/>
  <c r="Z316" i="3" s="1"/>
  <c r="X316" i="3"/>
  <c r="AC316" i="3"/>
  <c r="AD316" i="3" s="1"/>
  <c r="AB316" i="3"/>
  <c r="AG316" i="3"/>
  <c r="AH316" i="3" s="1"/>
  <c r="AF316" i="3"/>
  <c r="B318" i="3"/>
  <c r="AE317" i="3"/>
  <c r="AA317" i="3"/>
  <c r="W317" i="3"/>
  <c r="S317" i="3"/>
  <c r="O317" i="3"/>
  <c r="K317" i="3"/>
  <c r="G317" i="3"/>
  <c r="C317" i="3"/>
  <c r="E317" i="3" l="1"/>
  <c r="F317" i="3" s="1"/>
  <c r="D317" i="3"/>
  <c r="I317" i="3"/>
  <c r="J317" i="3" s="1"/>
  <c r="H317" i="3"/>
  <c r="M317" i="3"/>
  <c r="N317" i="3" s="1"/>
  <c r="L317" i="3"/>
  <c r="Q317" i="3"/>
  <c r="R317" i="3" s="1"/>
  <c r="P317" i="3"/>
  <c r="U317" i="3"/>
  <c r="V317" i="3" s="1"/>
  <c r="T317" i="3"/>
  <c r="Y317" i="3"/>
  <c r="Z317" i="3" s="1"/>
  <c r="X317" i="3"/>
  <c r="AC317" i="3"/>
  <c r="AD317" i="3" s="1"/>
  <c r="AB317" i="3"/>
  <c r="AG317" i="3"/>
  <c r="AH317" i="3" s="1"/>
  <c r="AF317" i="3"/>
  <c r="B319" i="3"/>
  <c r="AE318" i="3"/>
  <c r="AA318" i="3"/>
  <c r="W318" i="3"/>
  <c r="S318" i="3"/>
  <c r="O318" i="3"/>
  <c r="K318" i="3"/>
  <c r="G318" i="3"/>
  <c r="C318" i="3"/>
  <c r="E318" i="3" l="1"/>
  <c r="F318" i="3" s="1"/>
  <c r="D318" i="3"/>
  <c r="I318" i="3"/>
  <c r="J318" i="3" s="1"/>
  <c r="H318" i="3"/>
  <c r="M318" i="3"/>
  <c r="N318" i="3" s="1"/>
  <c r="L318" i="3"/>
  <c r="Q318" i="3"/>
  <c r="R318" i="3" s="1"/>
  <c r="P318" i="3"/>
  <c r="U318" i="3"/>
  <c r="V318" i="3" s="1"/>
  <c r="T318" i="3"/>
  <c r="Y318" i="3"/>
  <c r="Z318" i="3" s="1"/>
  <c r="X318" i="3"/>
  <c r="AC318" i="3"/>
  <c r="AD318" i="3" s="1"/>
  <c r="AB318" i="3"/>
  <c r="AG318" i="3"/>
  <c r="AH318" i="3" s="1"/>
  <c r="AF318" i="3"/>
  <c r="B320" i="3"/>
  <c r="AE319" i="3"/>
  <c r="AA319" i="3"/>
  <c r="W319" i="3"/>
  <c r="S319" i="3"/>
  <c r="O319" i="3"/>
  <c r="K319" i="3"/>
  <c r="G319" i="3"/>
  <c r="C319" i="3"/>
  <c r="E319" i="3" l="1"/>
  <c r="F319" i="3" s="1"/>
  <c r="D319" i="3"/>
  <c r="I319" i="3"/>
  <c r="J319" i="3" s="1"/>
  <c r="H319" i="3"/>
  <c r="M319" i="3"/>
  <c r="N319" i="3" s="1"/>
  <c r="L319" i="3"/>
  <c r="Q319" i="3"/>
  <c r="R319" i="3" s="1"/>
  <c r="P319" i="3"/>
  <c r="U319" i="3"/>
  <c r="V319" i="3" s="1"/>
  <c r="T319" i="3"/>
  <c r="Y319" i="3"/>
  <c r="Z319" i="3" s="1"/>
  <c r="X319" i="3"/>
  <c r="AC319" i="3"/>
  <c r="AD319" i="3" s="1"/>
  <c r="AB319" i="3"/>
  <c r="AG319" i="3"/>
  <c r="AH319" i="3" s="1"/>
  <c r="AF319" i="3"/>
  <c r="B321" i="3"/>
  <c r="AE320" i="3"/>
  <c r="AA320" i="3"/>
  <c r="W320" i="3"/>
  <c r="S320" i="3"/>
  <c r="O320" i="3"/>
  <c r="K320" i="3"/>
  <c r="G320" i="3"/>
  <c r="C320" i="3"/>
  <c r="E320" i="3" l="1"/>
  <c r="F320" i="3" s="1"/>
  <c r="D320" i="3"/>
  <c r="I320" i="3"/>
  <c r="J320" i="3" s="1"/>
  <c r="H320" i="3"/>
  <c r="M320" i="3"/>
  <c r="N320" i="3" s="1"/>
  <c r="L320" i="3"/>
  <c r="Q320" i="3"/>
  <c r="R320" i="3" s="1"/>
  <c r="P320" i="3"/>
  <c r="U320" i="3"/>
  <c r="V320" i="3" s="1"/>
  <c r="T320" i="3"/>
  <c r="Y320" i="3"/>
  <c r="Z320" i="3" s="1"/>
  <c r="X320" i="3"/>
  <c r="AC320" i="3"/>
  <c r="AD320" i="3" s="1"/>
  <c r="AB320" i="3"/>
  <c r="AG320" i="3"/>
  <c r="AH320" i="3" s="1"/>
  <c r="AF320" i="3"/>
  <c r="B322" i="3"/>
  <c r="AE321" i="3"/>
  <c r="AA321" i="3"/>
  <c r="W321" i="3"/>
  <c r="S321" i="3"/>
  <c r="O321" i="3"/>
  <c r="K321" i="3"/>
  <c r="G321" i="3"/>
  <c r="C321" i="3"/>
  <c r="E321" i="3" l="1"/>
  <c r="F321" i="3" s="1"/>
  <c r="D321" i="3"/>
  <c r="I321" i="3"/>
  <c r="J321" i="3" s="1"/>
  <c r="H321" i="3"/>
  <c r="M321" i="3"/>
  <c r="N321" i="3" s="1"/>
  <c r="L321" i="3"/>
  <c r="Q321" i="3"/>
  <c r="R321" i="3" s="1"/>
  <c r="P321" i="3"/>
  <c r="U321" i="3"/>
  <c r="V321" i="3" s="1"/>
  <c r="T321" i="3"/>
  <c r="Y321" i="3"/>
  <c r="Z321" i="3" s="1"/>
  <c r="X321" i="3"/>
  <c r="AC321" i="3"/>
  <c r="AD321" i="3" s="1"/>
  <c r="AB321" i="3"/>
  <c r="AG321" i="3"/>
  <c r="AH321" i="3" s="1"/>
  <c r="AF321" i="3"/>
  <c r="B323" i="3"/>
  <c r="AE322" i="3"/>
  <c r="AA322" i="3"/>
  <c r="W322" i="3"/>
  <c r="S322" i="3"/>
  <c r="O322" i="3"/>
  <c r="K322" i="3"/>
  <c r="G322" i="3"/>
  <c r="C322" i="3"/>
  <c r="E322" i="3" l="1"/>
  <c r="F322" i="3" s="1"/>
  <c r="D322" i="3"/>
  <c r="I322" i="3"/>
  <c r="J322" i="3" s="1"/>
  <c r="H322" i="3"/>
  <c r="M322" i="3"/>
  <c r="N322" i="3" s="1"/>
  <c r="L322" i="3"/>
  <c r="Q322" i="3"/>
  <c r="R322" i="3" s="1"/>
  <c r="P322" i="3"/>
  <c r="U322" i="3"/>
  <c r="V322" i="3" s="1"/>
  <c r="T322" i="3"/>
  <c r="Y322" i="3"/>
  <c r="Z322" i="3" s="1"/>
  <c r="X322" i="3"/>
  <c r="AC322" i="3"/>
  <c r="AD322" i="3" s="1"/>
  <c r="AB322" i="3"/>
  <c r="AG322" i="3"/>
  <c r="AH322" i="3" s="1"/>
  <c r="AF322" i="3"/>
  <c r="B324" i="3"/>
  <c r="AE323" i="3"/>
  <c r="AA323" i="3"/>
  <c r="W323" i="3"/>
  <c r="S323" i="3"/>
  <c r="O323" i="3"/>
  <c r="K323" i="3"/>
  <c r="G323" i="3"/>
  <c r="C323" i="3"/>
  <c r="E323" i="3" l="1"/>
  <c r="F323" i="3" s="1"/>
  <c r="D323" i="3"/>
  <c r="I323" i="3"/>
  <c r="J323" i="3" s="1"/>
  <c r="H323" i="3"/>
  <c r="M323" i="3"/>
  <c r="N323" i="3" s="1"/>
  <c r="L323" i="3"/>
  <c r="Q323" i="3"/>
  <c r="R323" i="3" s="1"/>
  <c r="P323" i="3"/>
  <c r="U323" i="3"/>
  <c r="V323" i="3" s="1"/>
  <c r="T323" i="3"/>
  <c r="Y323" i="3"/>
  <c r="Z323" i="3" s="1"/>
  <c r="X323" i="3"/>
  <c r="AC323" i="3"/>
  <c r="AD323" i="3" s="1"/>
  <c r="AB323" i="3"/>
  <c r="AG323" i="3"/>
  <c r="AH323" i="3" s="1"/>
  <c r="AF323" i="3"/>
  <c r="B325" i="3"/>
  <c r="AE324" i="3"/>
  <c r="AA324" i="3"/>
  <c r="W324" i="3"/>
  <c r="S324" i="3"/>
  <c r="O324" i="3"/>
  <c r="K324" i="3"/>
  <c r="G324" i="3"/>
  <c r="C324" i="3"/>
  <c r="E324" i="3" l="1"/>
  <c r="F324" i="3" s="1"/>
  <c r="D324" i="3"/>
  <c r="I324" i="3"/>
  <c r="J324" i="3" s="1"/>
  <c r="H324" i="3"/>
  <c r="M324" i="3"/>
  <c r="N324" i="3" s="1"/>
  <c r="L324" i="3"/>
  <c r="Q324" i="3"/>
  <c r="R324" i="3" s="1"/>
  <c r="P324" i="3"/>
  <c r="U324" i="3"/>
  <c r="V324" i="3" s="1"/>
  <c r="T324" i="3"/>
  <c r="Y324" i="3"/>
  <c r="Z324" i="3" s="1"/>
  <c r="X324" i="3"/>
  <c r="AC324" i="3"/>
  <c r="AD324" i="3" s="1"/>
  <c r="AB324" i="3"/>
  <c r="AG324" i="3"/>
  <c r="AH324" i="3" s="1"/>
  <c r="AF324" i="3"/>
  <c r="B326" i="3"/>
  <c r="AE325" i="3"/>
  <c r="AA325" i="3"/>
  <c r="W325" i="3"/>
  <c r="S325" i="3"/>
  <c r="O325" i="3"/>
  <c r="K325" i="3"/>
  <c r="G325" i="3"/>
  <c r="C325" i="3"/>
  <c r="E325" i="3" l="1"/>
  <c r="F325" i="3" s="1"/>
  <c r="D325" i="3"/>
  <c r="I325" i="3"/>
  <c r="J325" i="3" s="1"/>
  <c r="H325" i="3"/>
  <c r="M325" i="3"/>
  <c r="N325" i="3" s="1"/>
  <c r="L325" i="3"/>
  <c r="Q325" i="3"/>
  <c r="R325" i="3" s="1"/>
  <c r="P325" i="3"/>
  <c r="U325" i="3"/>
  <c r="V325" i="3" s="1"/>
  <c r="T325" i="3"/>
  <c r="Y325" i="3"/>
  <c r="Z325" i="3" s="1"/>
  <c r="X325" i="3"/>
  <c r="AC325" i="3"/>
  <c r="AD325" i="3" s="1"/>
  <c r="AB325" i="3"/>
  <c r="AG325" i="3"/>
  <c r="AH325" i="3" s="1"/>
  <c r="AF325" i="3"/>
  <c r="B327" i="3"/>
  <c r="AE326" i="3"/>
  <c r="AA326" i="3"/>
  <c r="W326" i="3"/>
  <c r="S326" i="3"/>
  <c r="O326" i="3"/>
  <c r="K326" i="3"/>
  <c r="G326" i="3"/>
  <c r="C326" i="3"/>
  <c r="E326" i="3" l="1"/>
  <c r="F326" i="3" s="1"/>
  <c r="D326" i="3"/>
  <c r="I326" i="3"/>
  <c r="J326" i="3" s="1"/>
  <c r="H326" i="3"/>
  <c r="M326" i="3"/>
  <c r="N326" i="3" s="1"/>
  <c r="L326" i="3"/>
  <c r="Q326" i="3"/>
  <c r="R326" i="3" s="1"/>
  <c r="P326" i="3"/>
  <c r="U326" i="3"/>
  <c r="V326" i="3" s="1"/>
  <c r="T326" i="3"/>
  <c r="Y326" i="3"/>
  <c r="Z326" i="3" s="1"/>
  <c r="X326" i="3"/>
  <c r="AC326" i="3"/>
  <c r="AD326" i="3" s="1"/>
  <c r="AB326" i="3"/>
  <c r="AG326" i="3"/>
  <c r="AH326" i="3" s="1"/>
  <c r="AF326" i="3"/>
  <c r="B328" i="3"/>
  <c r="AE327" i="3"/>
  <c r="AA327" i="3"/>
  <c r="W327" i="3"/>
  <c r="S327" i="3"/>
  <c r="O327" i="3"/>
  <c r="K327" i="3"/>
  <c r="G327" i="3"/>
  <c r="C327" i="3"/>
  <c r="E327" i="3" l="1"/>
  <c r="F327" i="3" s="1"/>
  <c r="D327" i="3"/>
  <c r="I327" i="3"/>
  <c r="J327" i="3" s="1"/>
  <c r="H327" i="3"/>
  <c r="M327" i="3"/>
  <c r="N327" i="3" s="1"/>
  <c r="L327" i="3"/>
  <c r="Q327" i="3"/>
  <c r="R327" i="3" s="1"/>
  <c r="P327" i="3"/>
  <c r="U327" i="3"/>
  <c r="V327" i="3" s="1"/>
  <c r="T327" i="3"/>
  <c r="Y327" i="3"/>
  <c r="Z327" i="3" s="1"/>
  <c r="X327" i="3"/>
  <c r="AC327" i="3"/>
  <c r="AD327" i="3" s="1"/>
  <c r="AB327" i="3"/>
  <c r="AG327" i="3"/>
  <c r="AH327" i="3" s="1"/>
  <c r="AF327" i="3"/>
  <c r="B329" i="3"/>
  <c r="AE328" i="3"/>
  <c r="AA328" i="3"/>
  <c r="W328" i="3"/>
  <c r="S328" i="3"/>
  <c r="O328" i="3"/>
  <c r="K328" i="3"/>
  <c r="G328" i="3"/>
  <c r="C328" i="3"/>
  <c r="E328" i="3" l="1"/>
  <c r="F328" i="3" s="1"/>
  <c r="D328" i="3"/>
  <c r="I328" i="3"/>
  <c r="J328" i="3" s="1"/>
  <c r="H328" i="3"/>
  <c r="M328" i="3"/>
  <c r="N328" i="3" s="1"/>
  <c r="L328" i="3"/>
  <c r="Q328" i="3"/>
  <c r="R328" i="3" s="1"/>
  <c r="P328" i="3"/>
  <c r="U328" i="3"/>
  <c r="V328" i="3" s="1"/>
  <c r="T328" i="3"/>
  <c r="Y328" i="3"/>
  <c r="Z328" i="3" s="1"/>
  <c r="X328" i="3"/>
  <c r="AC328" i="3"/>
  <c r="AD328" i="3" s="1"/>
  <c r="AB328" i="3"/>
  <c r="AG328" i="3"/>
  <c r="AH328" i="3" s="1"/>
  <c r="AF328" i="3"/>
  <c r="B330" i="3"/>
  <c r="AE329" i="3"/>
  <c r="AA329" i="3"/>
  <c r="W329" i="3"/>
  <c r="S329" i="3"/>
  <c r="O329" i="3"/>
  <c r="K329" i="3"/>
  <c r="G329" i="3"/>
  <c r="C329" i="3"/>
  <c r="E329" i="3" l="1"/>
  <c r="F329" i="3" s="1"/>
  <c r="D329" i="3"/>
  <c r="I329" i="3"/>
  <c r="J329" i="3" s="1"/>
  <c r="H329" i="3"/>
  <c r="M329" i="3"/>
  <c r="N329" i="3" s="1"/>
  <c r="L329" i="3"/>
  <c r="Q329" i="3"/>
  <c r="R329" i="3" s="1"/>
  <c r="P329" i="3"/>
  <c r="U329" i="3"/>
  <c r="V329" i="3" s="1"/>
  <c r="T329" i="3"/>
  <c r="Y329" i="3"/>
  <c r="Z329" i="3" s="1"/>
  <c r="X329" i="3"/>
  <c r="AC329" i="3"/>
  <c r="AD329" i="3" s="1"/>
  <c r="AB329" i="3"/>
  <c r="AG329" i="3"/>
  <c r="AH329" i="3" s="1"/>
  <c r="AF329" i="3"/>
  <c r="B331" i="3"/>
  <c r="AE330" i="3"/>
  <c r="AA330" i="3"/>
  <c r="W330" i="3"/>
  <c r="S330" i="3"/>
  <c r="O330" i="3"/>
  <c r="K330" i="3"/>
  <c r="G330" i="3"/>
  <c r="C330" i="3"/>
  <c r="E330" i="3" l="1"/>
  <c r="F330" i="3" s="1"/>
  <c r="D330" i="3"/>
  <c r="I330" i="3"/>
  <c r="J330" i="3" s="1"/>
  <c r="H330" i="3"/>
  <c r="M330" i="3"/>
  <c r="N330" i="3" s="1"/>
  <c r="L330" i="3"/>
  <c r="Q330" i="3"/>
  <c r="R330" i="3" s="1"/>
  <c r="P330" i="3"/>
  <c r="U330" i="3"/>
  <c r="V330" i="3" s="1"/>
  <c r="T330" i="3"/>
  <c r="Y330" i="3"/>
  <c r="Z330" i="3" s="1"/>
  <c r="X330" i="3"/>
  <c r="AC330" i="3"/>
  <c r="AD330" i="3" s="1"/>
  <c r="AB330" i="3"/>
  <c r="AG330" i="3"/>
  <c r="AH330" i="3" s="1"/>
  <c r="AF330" i="3"/>
  <c r="B332" i="3"/>
  <c r="AE331" i="3"/>
  <c r="AA331" i="3"/>
  <c r="W331" i="3"/>
  <c r="S331" i="3"/>
  <c r="O331" i="3"/>
  <c r="K331" i="3"/>
  <c r="G331" i="3"/>
  <c r="C331" i="3"/>
  <c r="E331" i="3" l="1"/>
  <c r="F331" i="3" s="1"/>
  <c r="D331" i="3"/>
  <c r="I331" i="3"/>
  <c r="J331" i="3" s="1"/>
  <c r="H331" i="3"/>
  <c r="M331" i="3"/>
  <c r="N331" i="3" s="1"/>
  <c r="L331" i="3"/>
  <c r="Q331" i="3"/>
  <c r="R331" i="3" s="1"/>
  <c r="P331" i="3"/>
  <c r="U331" i="3"/>
  <c r="V331" i="3" s="1"/>
  <c r="T331" i="3"/>
  <c r="Y331" i="3"/>
  <c r="Z331" i="3" s="1"/>
  <c r="X331" i="3"/>
  <c r="AC331" i="3"/>
  <c r="AD331" i="3" s="1"/>
  <c r="AB331" i="3"/>
  <c r="AG331" i="3"/>
  <c r="AH331" i="3" s="1"/>
  <c r="AF331" i="3"/>
  <c r="B333" i="3"/>
  <c r="AE332" i="3"/>
  <c r="AA332" i="3"/>
  <c r="W332" i="3"/>
  <c r="S332" i="3"/>
  <c r="O332" i="3"/>
  <c r="K332" i="3"/>
  <c r="G332" i="3"/>
  <c r="C332" i="3"/>
  <c r="E332" i="3" l="1"/>
  <c r="F332" i="3" s="1"/>
  <c r="D332" i="3"/>
  <c r="I332" i="3"/>
  <c r="J332" i="3" s="1"/>
  <c r="H332" i="3"/>
  <c r="M332" i="3"/>
  <c r="N332" i="3" s="1"/>
  <c r="L332" i="3"/>
  <c r="Q332" i="3"/>
  <c r="R332" i="3" s="1"/>
  <c r="P332" i="3"/>
  <c r="U332" i="3"/>
  <c r="V332" i="3" s="1"/>
  <c r="T332" i="3"/>
  <c r="Y332" i="3"/>
  <c r="Z332" i="3" s="1"/>
  <c r="X332" i="3"/>
  <c r="AC332" i="3"/>
  <c r="AD332" i="3" s="1"/>
  <c r="AB332" i="3"/>
  <c r="AG332" i="3"/>
  <c r="AH332" i="3" s="1"/>
  <c r="AF332" i="3"/>
  <c r="B334" i="3"/>
  <c r="AE333" i="3"/>
  <c r="AA333" i="3"/>
  <c r="W333" i="3"/>
  <c r="S333" i="3"/>
  <c r="O333" i="3"/>
  <c r="K333" i="3"/>
  <c r="G333" i="3"/>
  <c r="C333" i="3"/>
  <c r="E333" i="3" l="1"/>
  <c r="F333" i="3" s="1"/>
  <c r="D333" i="3"/>
  <c r="I333" i="3"/>
  <c r="J333" i="3" s="1"/>
  <c r="H333" i="3"/>
  <c r="M333" i="3"/>
  <c r="N333" i="3" s="1"/>
  <c r="L333" i="3"/>
  <c r="Q333" i="3"/>
  <c r="R333" i="3" s="1"/>
  <c r="P333" i="3"/>
  <c r="U333" i="3"/>
  <c r="V333" i="3" s="1"/>
  <c r="T333" i="3"/>
  <c r="Y333" i="3"/>
  <c r="Z333" i="3" s="1"/>
  <c r="X333" i="3"/>
  <c r="AC333" i="3"/>
  <c r="AD333" i="3" s="1"/>
  <c r="AB333" i="3"/>
  <c r="AG333" i="3"/>
  <c r="AH333" i="3" s="1"/>
  <c r="AF333" i="3"/>
  <c r="B335" i="3"/>
  <c r="AE334" i="3"/>
  <c r="AA334" i="3"/>
  <c r="W334" i="3"/>
  <c r="S334" i="3"/>
  <c r="O334" i="3"/>
  <c r="K334" i="3"/>
  <c r="G334" i="3"/>
  <c r="C334" i="3"/>
  <c r="E334" i="3" l="1"/>
  <c r="F334" i="3" s="1"/>
  <c r="D334" i="3"/>
  <c r="I334" i="3"/>
  <c r="J334" i="3" s="1"/>
  <c r="H334" i="3"/>
  <c r="M334" i="3"/>
  <c r="N334" i="3" s="1"/>
  <c r="L334" i="3"/>
  <c r="Q334" i="3"/>
  <c r="R334" i="3" s="1"/>
  <c r="P334" i="3"/>
  <c r="U334" i="3"/>
  <c r="V334" i="3" s="1"/>
  <c r="T334" i="3"/>
  <c r="Y334" i="3"/>
  <c r="Z334" i="3" s="1"/>
  <c r="X334" i="3"/>
  <c r="AC334" i="3"/>
  <c r="AD334" i="3" s="1"/>
  <c r="AB334" i="3"/>
  <c r="AG334" i="3"/>
  <c r="AH334" i="3" s="1"/>
  <c r="AF334" i="3"/>
  <c r="B336" i="3"/>
  <c r="AE335" i="3"/>
  <c r="AA335" i="3"/>
  <c r="W335" i="3"/>
  <c r="S335" i="3"/>
  <c r="O335" i="3"/>
  <c r="K335" i="3"/>
  <c r="G335" i="3"/>
  <c r="C335" i="3"/>
  <c r="E335" i="3" l="1"/>
  <c r="F335" i="3" s="1"/>
  <c r="D335" i="3"/>
  <c r="I335" i="3"/>
  <c r="J335" i="3" s="1"/>
  <c r="H335" i="3"/>
  <c r="M335" i="3"/>
  <c r="N335" i="3" s="1"/>
  <c r="L335" i="3"/>
  <c r="Q335" i="3"/>
  <c r="R335" i="3" s="1"/>
  <c r="P335" i="3"/>
  <c r="U335" i="3"/>
  <c r="V335" i="3" s="1"/>
  <c r="T335" i="3"/>
  <c r="Y335" i="3"/>
  <c r="Z335" i="3" s="1"/>
  <c r="X335" i="3"/>
  <c r="AC335" i="3"/>
  <c r="AD335" i="3" s="1"/>
  <c r="AB335" i="3"/>
  <c r="AG335" i="3"/>
  <c r="AH335" i="3" s="1"/>
  <c r="AF335" i="3"/>
  <c r="B337" i="3"/>
  <c r="AE336" i="3"/>
  <c r="AA336" i="3"/>
  <c r="W336" i="3"/>
  <c r="S336" i="3"/>
  <c r="O336" i="3"/>
  <c r="K336" i="3"/>
  <c r="G336" i="3"/>
  <c r="C336" i="3"/>
  <c r="E336" i="3" l="1"/>
  <c r="F336" i="3" s="1"/>
  <c r="D336" i="3"/>
  <c r="I336" i="3"/>
  <c r="J336" i="3" s="1"/>
  <c r="H336" i="3"/>
  <c r="M336" i="3"/>
  <c r="N336" i="3" s="1"/>
  <c r="L336" i="3"/>
  <c r="Q336" i="3"/>
  <c r="R336" i="3" s="1"/>
  <c r="P336" i="3"/>
  <c r="U336" i="3"/>
  <c r="V336" i="3" s="1"/>
  <c r="T336" i="3"/>
  <c r="Y336" i="3"/>
  <c r="Z336" i="3" s="1"/>
  <c r="X336" i="3"/>
  <c r="AC336" i="3"/>
  <c r="AD336" i="3" s="1"/>
  <c r="AB336" i="3"/>
  <c r="AG336" i="3"/>
  <c r="AH336" i="3" s="1"/>
  <c r="AF336" i="3"/>
  <c r="B338" i="3"/>
  <c r="AE337" i="3"/>
  <c r="AA337" i="3"/>
  <c r="W337" i="3"/>
  <c r="S337" i="3"/>
  <c r="O337" i="3"/>
  <c r="K337" i="3"/>
  <c r="G337" i="3"/>
  <c r="C337" i="3"/>
  <c r="E337" i="3" l="1"/>
  <c r="F337" i="3" s="1"/>
  <c r="D337" i="3"/>
  <c r="I337" i="3"/>
  <c r="J337" i="3" s="1"/>
  <c r="H337" i="3"/>
  <c r="M337" i="3"/>
  <c r="N337" i="3" s="1"/>
  <c r="L337" i="3"/>
  <c r="Q337" i="3"/>
  <c r="R337" i="3" s="1"/>
  <c r="P337" i="3"/>
  <c r="U337" i="3"/>
  <c r="V337" i="3" s="1"/>
  <c r="T337" i="3"/>
  <c r="Y337" i="3"/>
  <c r="Z337" i="3" s="1"/>
  <c r="X337" i="3"/>
  <c r="AC337" i="3"/>
  <c r="AD337" i="3" s="1"/>
  <c r="AB337" i="3"/>
  <c r="AG337" i="3"/>
  <c r="AH337" i="3" s="1"/>
  <c r="AF337" i="3"/>
  <c r="B339" i="3"/>
  <c r="AE338" i="3"/>
  <c r="AA338" i="3"/>
  <c r="W338" i="3"/>
  <c r="S338" i="3"/>
  <c r="O338" i="3"/>
  <c r="K338" i="3"/>
  <c r="G338" i="3"/>
  <c r="C338" i="3"/>
  <c r="E338" i="3" l="1"/>
  <c r="F338" i="3" s="1"/>
  <c r="D338" i="3"/>
  <c r="I338" i="3"/>
  <c r="J338" i="3" s="1"/>
  <c r="H338" i="3"/>
  <c r="M338" i="3"/>
  <c r="N338" i="3" s="1"/>
  <c r="L338" i="3"/>
  <c r="Q338" i="3"/>
  <c r="R338" i="3" s="1"/>
  <c r="P338" i="3"/>
  <c r="U338" i="3"/>
  <c r="V338" i="3" s="1"/>
  <c r="T338" i="3"/>
  <c r="Y338" i="3"/>
  <c r="Z338" i="3" s="1"/>
  <c r="X338" i="3"/>
  <c r="AC338" i="3"/>
  <c r="AD338" i="3" s="1"/>
  <c r="AB338" i="3"/>
  <c r="AG338" i="3"/>
  <c r="AH338" i="3" s="1"/>
  <c r="AF338" i="3"/>
  <c r="B340" i="3"/>
  <c r="AE339" i="3"/>
  <c r="AA339" i="3"/>
  <c r="W339" i="3"/>
  <c r="S339" i="3"/>
  <c r="O339" i="3"/>
  <c r="K339" i="3"/>
  <c r="G339" i="3"/>
  <c r="C339" i="3"/>
  <c r="E339" i="3" l="1"/>
  <c r="F339" i="3" s="1"/>
  <c r="D339" i="3"/>
  <c r="I339" i="3"/>
  <c r="J339" i="3" s="1"/>
  <c r="H339" i="3"/>
  <c r="M339" i="3"/>
  <c r="N339" i="3" s="1"/>
  <c r="L339" i="3"/>
  <c r="Q339" i="3"/>
  <c r="R339" i="3" s="1"/>
  <c r="P339" i="3"/>
  <c r="U339" i="3"/>
  <c r="V339" i="3" s="1"/>
  <c r="T339" i="3"/>
  <c r="Y339" i="3"/>
  <c r="Z339" i="3" s="1"/>
  <c r="X339" i="3"/>
  <c r="AC339" i="3"/>
  <c r="AD339" i="3" s="1"/>
  <c r="AB339" i="3"/>
  <c r="AG339" i="3"/>
  <c r="AH339" i="3" s="1"/>
  <c r="AF339" i="3"/>
  <c r="B341" i="3"/>
  <c r="AE340" i="3"/>
  <c r="AA340" i="3"/>
  <c r="W340" i="3"/>
  <c r="S340" i="3"/>
  <c r="O340" i="3"/>
  <c r="K340" i="3"/>
  <c r="G340" i="3"/>
  <c r="C340" i="3"/>
  <c r="E340" i="3" l="1"/>
  <c r="F340" i="3" s="1"/>
  <c r="D340" i="3"/>
  <c r="I340" i="3"/>
  <c r="J340" i="3" s="1"/>
  <c r="H340" i="3"/>
  <c r="M340" i="3"/>
  <c r="N340" i="3" s="1"/>
  <c r="L340" i="3"/>
  <c r="Q340" i="3"/>
  <c r="R340" i="3" s="1"/>
  <c r="P340" i="3"/>
  <c r="U340" i="3"/>
  <c r="V340" i="3" s="1"/>
  <c r="T340" i="3"/>
  <c r="Y340" i="3"/>
  <c r="Z340" i="3" s="1"/>
  <c r="X340" i="3"/>
  <c r="AC340" i="3"/>
  <c r="AD340" i="3" s="1"/>
  <c r="AB340" i="3"/>
  <c r="AG340" i="3"/>
  <c r="AH340" i="3" s="1"/>
  <c r="AF340" i="3"/>
  <c r="B342" i="3"/>
  <c r="AE341" i="3"/>
  <c r="AA341" i="3"/>
  <c r="W341" i="3"/>
  <c r="S341" i="3"/>
  <c r="O341" i="3"/>
  <c r="K341" i="3"/>
  <c r="G341" i="3"/>
  <c r="C341" i="3"/>
  <c r="E341" i="3" l="1"/>
  <c r="F341" i="3" s="1"/>
  <c r="D341" i="3"/>
  <c r="I341" i="3"/>
  <c r="J341" i="3" s="1"/>
  <c r="H341" i="3"/>
  <c r="M341" i="3"/>
  <c r="N341" i="3" s="1"/>
  <c r="L341" i="3"/>
  <c r="Q341" i="3"/>
  <c r="R341" i="3" s="1"/>
  <c r="P341" i="3"/>
  <c r="U341" i="3"/>
  <c r="V341" i="3" s="1"/>
  <c r="T341" i="3"/>
  <c r="Y341" i="3"/>
  <c r="Z341" i="3" s="1"/>
  <c r="X341" i="3"/>
  <c r="AC341" i="3"/>
  <c r="AD341" i="3" s="1"/>
  <c r="AB341" i="3"/>
  <c r="AG341" i="3"/>
  <c r="AH341" i="3" s="1"/>
  <c r="AF341" i="3"/>
  <c r="B343" i="3"/>
  <c r="AE342" i="3"/>
  <c r="AA342" i="3"/>
  <c r="W342" i="3"/>
  <c r="S342" i="3"/>
  <c r="O342" i="3"/>
  <c r="K342" i="3"/>
  <c r="G342" i="3"/>
  <c r="C342" i="3"/>
  <c r="E342" i="3" l="1"/>
  <c r="F342" i="3" s="1"/>
  <c r="D342" i="3"/>
  <c r="I342" i="3"/>
  <c r="J342" i="3" s="1"/>
  <c r="H342" i="3"/>
  <c r="M342" i="3"/>
  <c r="N342" i="3" s="1"/>
  <c r="L342" i="3"/>
  <c r="Q342" i="3"/>
  <c r="R342" i="3" s="1"/>
  <c r="P342" i="3"/>
  <c r="U342" i="3"/>
  <c r="V342" i="3" s="1"/>
  <c r="T342" i="3"/>
  <c r="Y342" i="3"/>
  <c r="Z342" i="3" s="1"/>
  <c r="X342" i="3"/>
  <c r="AC342" i="3"/>
  <c r="AD342" i="3" s="1"/>
  <c r="AB342" i="3"/>
  <c r="AG342" i="3"/>
  <c r="AH342" i="3" s="1"/>
  <c r="AF342" i="3"/>
  <c r="B344" i="3"/>
  <c r="AE343" i="3"/>
  <c r="AA343" i="3"/>
  <c r="W343" i="3"/>
  <c r="S343" i="3"/>
  <c r="O343" i="3"/>
  <c r="K343" i="3"/>
  <c r="G343" i="3"/>
  <c r="C343" i="3"/>
  <c r="E343" i="3" l="1"/>
  <c r="F343" i="3" s="1"/>
  <c r="D343" i="3"/>
  <c r="I343" i="3"/>
  <c r="J343" i="3" s="1"/>
  <c r="H343" i="3"/>
  <c r="M343" i="3"/>
  <c r="N343" i="3" s="1"/>
  <c r="L343" i="3"/>
  <c r="Q343" i="3"/>
  <c r="R343" i="3" s="1"/>
  <c r="P343" i="3"/>
  <c r="U343" i="3"/>
  <c r="V343" i="3" s="1"/>
  <c r="T343" i="3"/>
  <c r="Y343" i="3"/>
  <c r="Z343" i="3" s="1"/>
  <c r="X343" i="3"/>
  <c r="AC343" i="3"/>
  <c r="AD343" i="3" s="1"/>
  <c r="AB343" i="3"/>
  <c r="AG343" i="3"/>
  <c r="AH343" i="3" s="1"/>
  <c r="AF343" i="3"/>
  <c r="B345" i="3"/>
  <c r="AE344" i="3"/>
  <c r="AA344" i="3"/>
  <c r="W344" i="3"/>
  <c r="S344" i="3"/>
  <c r="O344" i="3"/>
  <c r="K344" i="3"/>
  <c r="G344" i="3"/>
  <c r="C344" i="3"/>
  <c r="E344" i="3" l="1"/>
  <c r="F344" i="3" s="1"/>
  <c r="D344" i="3"/>
  <c r="I344" i="3"/>
  <c r="J344" i="3" s="1"/>
  <c r="H344" i="3"/>
  <c r="M344" i="3"/>
  <c r="N344" i="3" s="1"/>
  <c r="L344" i="3"/>
  <c r="Q344" i="3"/>
  <c r="R344" i="3" s="1"/>
  <c r="P344" i="3"/>
  <c r="U344" i="3"/>
  <c r="V344" i="3" s="1"/>
  <c r="T344" i="3"/>
  <c r="Y344" i="3"/>
  <c r="Z344" i="3" s="1"/>
  <c r="X344" i="3"/>
  <c r="AC344" i="3"/>
  <c r="AD344" i="3" s="1"/>
  <c r="AB344" i="3"/>
  <c r="AG344" i="3"/>
  <c r="AH344" i="3" s="1"/>
  <c r="AF344" i="3"/>
  <c r="B346" i="3"/>
  <c r="AE345" i="3"/>
  <c r="AA345" i="3"/>
  <c r="W345" i="3"/>
  <c r="S345" i="3"/>
  <c r="O345" i="3"/>
  <c r="K345" i="3"/>
  <c r="G345" i="3"/>
  <c r="C345" i="3"/>
  <c r="E345" i="3" l="1"/>
  <c r="F345" i="3" s="1"/>
  <c r="D345" i="3"/>
  <c r="I345" i="3"/>
  <c r="J345" i="3" s="1"/>
  <c r="H345" i="3"/>
  <c r="M345" i="3"/>
  <c r="N345" i="3" s="1"/>
  <c r="L345" i="3"/>
  <c r="Q345" i="3"/>
  <c r="R345" i="3" s="1"/>
  <c r="P345" i="3"/>
  <c r="U345" i="3"/>
  <c r="V345" i="3" s="1"/>
  <c r="T345" i="3"/>
  <c r="Y345" i="3"/>
  <c r="Z345" i="3" s="1"/>
  <c r="X345" i="3"/>
  <c r="AC345" i="3"/>
  <c r="AD345" i="3" s="1"/>
  <c r="AB345" i="3"/>
  <c r="AG345" i="3"/>
  <c r="AH345" i="3" s="1"/>
  <c r="AF345" i="3"/>
  <c r="B347" i="3"/>
  <c r="AE346" i="3"/>
  <c r="AA346" i="3"/>
  <c r="W346" i="3"/>
  <c r="S346" i="3"/>
  <c r="O346" i="3"/>
  <c r="K346" i="3"/>
  <c r="G346" i="3"/>
  <c r="C346" i="3"/>
  <c r="E346" i="3" l="1"/>
  <c r="F346" i="3" s="1"/>
  <c r="D346" i="3"/>
  <c r="I346" i="3"/>
  <c r="J346" i="3" s="1"/>
  <c r="H346" i="3"/>
  <c r="M346" i="3"/>
  <c r="N346" i="3" s="1"/>
  <c r="L346" i="3"/>
  <c r="Q346" i="3"/>
  <c r="R346" i="3" s="1"/>
  <c r="P346" i="3"/>
  <c r="U346" i="3"/>
  <c r="V346" i="3" s="1"/>
  <c r="T346" i="3"/>
  <c r="Y346" i="3"/>
  <c r="Z346" i="3" s="1"/>
  <c r="X346" i="3"/>
  <c r="AC346" i="3"/>
  <c r="AD346" i="3" s="1"/>
  <c r="AB346" i="3"/>
  <c r="AG346" i="3"/>
  <c r="AH346" i="3" s="1"/>
  <c r="AF346" i="3"/>
  <c r="B348" i="3"/>
  <c r="AE347" i="3"/>
  <c r="AA347" i="3"/>
  <c r="W347" i="3"/>
  <c r="S347" i="3"/>
  <c r="O347" i="3"/>
  <c r="K347" i="3"/>
  <c r="G347" i="3"/>
  <c r="C347" i="3"/>
  <c r="E347" i="3" l="1"/>
  <c r="F347" i="3" s="1"/>
  <c r="D347" i="3"/>
  <c r="I347" i="3"/>
  <c r="J347" i="3" s="1"/>
  <c r="H347" i="3"/>
  <c r="M347" i="3"/>
  <c r="N347" i="3" s="1"/>
  <c r="L347" i="3"/>
  <c r="Q347" i="3"/>
  <c r="R347" i="3" s="1"/>
  <c r="P347" i="3"/>
  <c r="U347" i="3"/>
  <c r="V347" i="3" s="1"/>
  <c r="T347" i="3"/>
  <c r="Y347" i="3"/>
  <c r="Z347" i="3" s="1"/>
  <c r="X347" i="3"/>
  <c r="AC347" i="3"/>
  <c r="AD347" i="3" s="1"/>
  <c r="AB347" i="3"/>
  <c r="AG347" i="3"/>
  <c r="AH347" i="3" s="1"/>
  <c r="AF347" i="3"/>
  <c r="B349" i="3"/>
  <c r="AE348" i="3"/>
  <c r="AA348" i="3"/>
  <c r="W348" i="3"/>
  <c r="S348" i="3"/>
  <c r="O348" i="3"/>
  <c r="K348" i="3"/>
  <c r="G348" i="3"/>
  <c r="C348" i="3"/>
  <c r="E348" i="3" l="1"/>
  <c r="F348" i="3" s="1"/>
  <c r="D348" i="3"/>
  <c r="I348" i="3"/>
  <c r="J348" i="3" s="1"/>
  <c r="H348" i="3"/>
  <c r="M348" i="3"/>
  <c r="N348" i="3" s="1"/>
  <c r="L348" i="3"/>
  <c r="Q348" i="3"/>
  <c r="R348" i="3" s="1"/>
  <c r="P348" i="3"/>
  <c r="U348" i="3"/>
  <c r="V348" i="3" s="1"/>
  <c r="T348" i="3"/>
  <c r="Y348" i="3"/>
  <c r="Z348" i="3" s="1"/>
  <c r="X348" i="3"/>
  <c r="AC348" i="3"/>
  <c r="AD348" i="3" s="1"/>
  <c r="AB348" i="3"/>
  <c r="AG348" i="3"/>
  <c r="AH348" i="3" s="1"/>
  <c r="AF348" i="3"/>
  <c r="B350" i="3"/>
  <c r="AE349" i="3"/>
  <c r="AA349" i="3"/>
  <c r="W349" i="3"/>
  <c r="S349" i="3"/>
  <c r="O349" i="3"/>
  <c r="K349" i="3"/>
  <c r="G349" i="3"/>
  <c r="C349" i="3"/>
  <c r="E349" i="3" l="1"/>
  <c r="F349" i="3" s="1"/>
  <c r="D349" i="3"/>
  <c r="I349" i="3"/>
  <c r="J349" i="3" s="1"/>
  <c r="H349" i="3"/>
  <c r="M349" i="3"/>
  <c r="N349" i="3" s="1"/>
  <c r="L349" i="3"/>
  <c r="Q349" i="3"/>
  <c r="R349" i="3" s="1"/>
  <c r="P349" i="3"/>
  <c r="U349" i="3"/>
  <c r="V349" i="3" s="1"/>
  <c r="T349" i="3"/>
  <c r="Y349" i="3"/>
  <c r="Z349" i="3" s="1"/>
  <c r="X349" i="3"/>
  <c r="AC349" i="3"/>
  <c r="AD349" i="3" s="1"/>
  <c r="AB349" i="3"/>
  <c r="AG349" i="3"/>
  <c r="AH349" i="3" s="1"/>
  <c r="AF349" i="3"/>
  <c r="B351" i="3"/>
  <c r="AE350" i="3"/>
  <c r="AA350" i="3"/>
  <c r="W350" i="3"/>
  <c r="S350" i="3"/>
  <c r="O350" i="3"/>
  <c r="K350" i="3"/>
  <c r="G350" i="3"/>
  <c r="C350" i="3"/>
  <c r="E350" i="3" l="1"/>
  <c r="F350" i="3" s="1"/>
  <c r="D350" i="3"/>
  <c r="I350" i="3"/>
  <c r="J350" i="3" s="1"/>
  <c r="H350" i="3"/>
  <c r="M350" i="3"/>
  <c r="N350" i="3" s="1"/>
  <c r="L350" i="3"/>
  <c r="Q350" i="3"/>
  <c r="R350" i="3" s="1"/>
  <c r="P350" i="3"/>
  <c r="U350" i="3"/>
  <c r="V350" i="3" s="1"/>
  <c r="T350" i="3"/>
  <c r="Y350" i="3"/>
  <c r="Z350" i="3" s="1"/>
  <c r="X350" i="3"/>
  <c r="AC350" i="3"/>
  <c r="AD350" i="3" s="1"/>
  <c r="AB350" i="3"/>
  <c r="AG350" i="3"/>
  <c r="AH350" i="3" s="1"/>
  <c r="AF350" i="3"/>
  <c r="B352" i="3"/>
  <c r="AE351" i="3"/>
  <c r="AA351" i="3"/>
  <c r="W351" i="3"/>
  <c r="S351" i="3"/>
  <c r="O351" i="3"/>
  <c r="K351" i="3"/>
  <c r="G351" i="3"/>
  <c r="C351" i="3"/>
  <c r="E351" i="3" l="1"/>
  <c r="F351" i="3" s="1"/>
  <c r="D351" i="3"/>
  <c r="I351" i="3"/>
  <c r="J351" i="3" s="1"/>
  <c r="H351" i="3"/>
  <c r="M351" i="3"/>
  <c r="N351" i="3" s="1"/>
  <c r="L351" i="3"/>
  <c r="Q351" i="3"/>
  <c r="R351" i="3" s="1"/>
  <c r="P351" i="3"/>
  <c r="U351" i="3"/>
  <c r="V351" i="3" s="1"/>
  <c r="T351" i="3"/>
  <c r="Y351" i="3"/>
  <c r="Z351" i="3" s="1"/>
  <c r="X351" i="3"/>
  <c r="AC351" i="3"/>
  <c r="AD351" i="3" s="1"/>
  <c r="AB351" i="3"/>
  <c r="AG351" i="3"/>
  <c r="AH351" i="3" s="1"/>
  <c r="AF351" i="3"/>
  <c r="B353" i="3"/>
  <c r="AE352" i="3"/>
  <c r="AA352" i="3"/>
  <c r="W352" i="3"/>
  <c r="S352" i="3"/>
  <c r="O352" i="3"/>
  <c r="K352" i="3"/>
  <c r="G352" i="3"/>
  <c r="C352" i="3"/>
  <c r="E352" i="3" l="1"/>
  <c r="F352" i="3" s="1"/>
  <c r="D352" i="3"/>
  <c r="I352" i="3"/>
  <c r="J352" i="3" s="1"/>
  <c r="H352" i="3"/>
  <c r="M352" i="3"/>
  <c r="N352" i="3" s="1"/>
  <c r="L352" i="3"/>
  <c r="Q352" i="3"/>
  <c r="R352" i="3" s="1"/>
  <c r="P352" i="3"/>
  <c r="U352" i="3"/>
  <c r="V352" i="3" s="1"/>
  <c r="T352" i="3"/>
  <c r="Y352" i="3"/>
  <c r="Z352" i="3" s="1"/>
  <c r="X352" i="3"/>
  <c r="AC352" i="3"/>
  <c r="AD352" i="3" s="1"/>
  <c r="AB352" i="3"/>
  <c r="AG352" i="3"/>
  <c r="AH352" i="3" s="1"/>
  <c r="AF352" i="3"/>
  <c r="B354" i="3"/>
  <c r="AE353" i="3"/>
  <c r="AA353" i="3"/>
  <c r="W353" i="3"/>
  <c r="S353" i="3"/>
  <c r="O353" i="3"/>
  <c r="K353" i="3"/>
  <c r="G353" i="3"/>
  <c r="C353" i="3"/>
  <c r="E353" i="3" l="1"/>
  <c r="F353" i="3" s="1"/>
  <c r="D353" i="3"/>
  <c r="I353" i="3"/>
  <c r="J353" i="3" s="1"/>
  <c r="H353" i="3"/>
  <c r="M353" i="3"/>
  <c r="N353" i="3" s="1"/>
  <c r="L353" i="3"/>
  <c r="Q353" i="3"/>
  <c r="R353" i="3" s="1"/>
  <c r="P353" i="3"/>
  <c r="U353" i="3"/>
  <c r="V353" i="3" s="1"/>
  <c r="T353" i="3"/>
  <c r="Y353" i="3"/>
  <c r="Z353" i="3" s="1"/>
  <c r="X353" i="3"/>
  <c r="AC353" i="3"/>
  <c r="AD353" i="3" s="1"/>
  <c r="AB353" i="3"/>
  <c r="AG353" i="3"/>
  <c r="AH353" i="3" s="1"/>
  <c r="AF353" i="3"/>
  <c r="B355" i="3"/>
  <c r="AE354" i="3"/>
  <c r="AA354" i="3"/>
  <c r="W354" i="3"/>
  <c r="S354" i="3"/>
  <c r="O354" i="3"/>
  <c r="K354" i="3"/>
  <c r="G354" i="3"/>
  <c r="C354" i="3"/>
  <c r="E354" i="3" l="1"/>
  <c r="F354" i="3" s="1"/>
  <c r="D354" i="3"/>
  <c r="I354" i="3"/>
  <c r="J354" i="3" s="1"/>
  <c r="H354" i="3"/>
  <c r="M354" i="3"/>
  <c r="N354" i="3" s="1"/>
  <c r="L354" i="3"/>
  <c r="Q354" i="3"/>
  <c r="R354" i="3" s="1"/>
  <c r="P354" i="3"/>
  <c r="U354" i="3"/>
  <c r="V354" i="3" s="1"/>
  <c r="T354" i="3"/>
  <c r="Y354" i="3"/>
  <c r="Z354" i="3" s="1"/>
  <c r="X354" i="3"/>
  <c r="AC354" i="3"/>
  <c r="AD354" i="3" s="1"/>
  <c r="AB354" i="3"/>
  <c r="AG354" i="3"/>
  <c r="AH354" i="3" s="1"/>
  <c r="AF354" i="3"/>
  <c r="B356" i="3"/>
  <c r="AE355" i="3"/>
  <c r="AA355" i="3"/>
  <c r="W355" i="3"/>
  <c r="S355" i="3"/>
  <c r="O355" i="3"/>
  <c r="K355" i="3"/>
  <c r="G355" i="3"/>
  <c r="C355" i="3"/>
  <c r="E355" i="3" l="1"/>
  <c r="F355" i="3" s="1"/>
  <c r="D355" i="3"/>
  <c r="I355" i="3"/>
  <c r="J355" i="3" s="1"/>
  <c r="H355" i="3"/>
  <c r="M355" i="3"/>
  <c r="N355" i="3" s="1"/>
  <c r="L355" i="3"/>
  <c r="Q355" i="3"/>
  <c r="R355" i="3" s="1"/>
  <c r="P355" i="3"/>
  <c r="U355" i="3"/>
  <c r="V355" i="3" s="1"/>
  <c r="T355" i="3"/>
  <c r="Y355" i="3"/>
  <c r="Z355" i="3" s="1"/>
  <c r="X355" i="3"/>
  <c r="AC355" i="3"/>
  <c r="AD355" i="3" s="1"/>
  <c r="AB355" i="3"/>
  <c r="AG355" i="3"/>
  <c r="AH355" i="3" s="1"/>
  <c r="AF355" i="3"/>
  <c r="B357" i="3"/>
  <c r="AE356" i="3"/>
  <c r="AA356" i="3"/>
  <c r="W356" i="3"/>
  <c r="S356" i="3"/>
  <c r="O356" i="3"/>
  <c r="K356" i="3"/>
  <c r="G356" i="3"/>
  <c r="C356" i="3"/>
  <c r="E356" i="3" l="1"/>
  <c r="F356" i="3" s="1"/>
  <c r="D356" i="3"/>
  <c r="I356" i="3"/>
  <c r="J356" i="3" s="1"/>
  <c r="H356" i="3"/>
  <c r="M356" i="3"/>
  <c r="N356" i="3" s="1"/>
  <c r="L356" i="3"/>
  <c r="Q356" i="3"/>
  <c r="R356" i="3" s="1"/>
  <c r="P356" i="3"/>
  <c r="U356" i="3"/>
  <c r="V356" i="3" s="1"/>
  <c r="T356" i="3"/>
  <c r="Y356" i="3"/>
  <c r="Z356" i="3" s="1"/>
  <c r="X356" i="3"/>
  <c r="AC356" i="3"/>
  <c r="AD356" i="3" s="1"/>
  <c r="AB356" i="3"/>
  <c r="AG356" i="3"/>
  <c r="AH356" i="3" s="1"/>
  <c r="AF356" i="3"/>
  <c r="B358" i="3"/>
  <c r="AE357" i="3"/>
  <c r="AA357" i="3"/>
  <c r="W357" i="3"/>
  <c r="S357" i="3"/>
  <c r="O357" i="3"/>
  <c r="K357" i="3"/>
  <c r="G357" i="3"/>
  <c r="C357" i="3"/>
  <c r="E357" i="3" l="1"/>
  <c r="F357" i="3" s="1"/>
  <c r="D357" i="3"/>
  <c r="I357" i="3"/>
  <c r="J357" i="3" s="1"/>
  <c r="H357" i="3"/>
  <c r="M357" i="3"/>
  <c r="N357" i="3" s="1"/>
  <c r="L357" i="3"/>
  <c r="Q357" i="3"/>
  <c r="R357" i="3" s="1"/>
  <c r="P357" i="3"/>
  <c r="U357" i="3"/>
  <c r="V357" i="3" s="1"/>
  <c r="T357" i="3"/>
  <c r="Y357" i="3"/>
  <c r="Z357" i="3" s="1"/>
  <c r="X357" i="3"/>
  <c r="AC357" i="3"/>
  <c r="AD357" i="3" s="1"/>
  <c r="AB357" i="3"/>
  <c r="AG357" i="3"/>
  <c r="AH357" i="3" s="1"/>
  <c r="AF357" i="3"/>
  <c r="B359" i="3"/>
  <c r="AE358" i="3"/>
  <c r="AA358" i="3"/>
  <c r="W358" i="3"/>
  <c r="S358" i="3"/>
  <c r="O358" i="3"/>
  <c r="K358" i="3"/>
  <c r="G358" i="3"/>
  <c r="C358" i="3"/>
  <c r="E358" i="3" l="1"/>
  <c r="F358" i="3" s="1"/>
  <c r="D358" i="3"/>
  <c r="I358" i="3"/>
  <c r="J358" i="3" s="1"/>
  <c r="H358" i="3"/>
  <c r="M358" i="3"/>
  <c r="N358" i="3" s="1"/>
  <c r="L358" i="3"/>
  <c r="Q358" i="3"/>
  <c r="R358" i="3" s="1"/>
  <c r="P358" i="3"/>
  <c r="U358" i="3"/>
  <c r="V358" i="3" s="1"/>
  <c r="T358" i="3"/>
  <c r="Y358" i="3"/>
  <c r="Z358" i="3" s="1"/>
  <c r="X358" i="3"/>
  <c r="AC358" i="3"/>
  <c r="AD358" i="3" s="1"/>
  <c r="AB358" i="3"/>
  <c r="AG358" i="3"/>
  <c r="AH358" i="3" s="1"/>
  <c r="AF358" i="3"/>
  <c r="B360" i="3"/>
  <c r="AE359" i="3"/>
  <c r="AA359" i="3"/>
  <c r="W359" i="3"/>
  <c r="S359" i="3"/>
  <c r="O359" i="3"/>
  <c r="K359" i="3"/>
  <c r="G359" i="3"/>
  <c r="C359" i="3"/>
  <c r="E359" i="3" l="1"/>
  <c r="F359" i="3" s="1"/>
  <c r="D359" i="3"/>
  <c r="I359" i="3"/>
  <c r="J359" i="3" s="1"/>
  <c r="H359" i="3"/>
  <c r="M359" i="3"/>
  <c r="N359" i="3" s="1"/>
  <c r="L359" i="3"/>
  <c r="Q359" i="3"/>
  <c r="R359" i="3" s="1"/>
  <c r="P359" i="3"/>
  <c r="U359" i="3"/>
  <c r="V359" i="3" s="1"/>
  <c r="T359" i="3"/>
  <c r="Y359" i="3"/>
  <c r="Z359" i="3" s="1"/>
  <c r="X359" i="3"/>
  <c r="AC359" i="3"/>
  <c r="AD359" i="3" s="1"/>
  <c r="AB359" i="3"/>
  <c r="AG359" i="3"/>
  <c r="AH359" i="3" s="1"/>
  <c r="AF359" i="3"/>
  <c r="B361" i="3"/>
  <c r="AE360" i="3"/>
  <c r="AA360" i="3"/>
  <c r="W360" i="3"/>
  <c r="S360" i="3"/>
  <c r="O360" i="3"/>
  <c r="K360" i="3"/>
  <c r="G360" i="3"/>
  <c r="C360" i="3"/>
  <c r="E360" i="3" l="1"/>
  <c r="F360" i="3" s="1"/>
  <c r="D360" i="3"/>
  <c r="I360" i="3"/>
  <c r="J360" i="3" s="1"/>
  <c r="H360" i="3"/>
  <c r="M360" i="3"/>
  <c r="N360" i="3" s="1"/>
  <c r="L360" i="3"/>
  <c r="Q360" i="3"/>
  <c r="R360" i="3" s="1"/>
  <c r="P360" i="3"/>
  <c r="U360" i="3"/>
  <c r="V360" i="3" s="1"/>
  <c r="T360" i="3"/>
  <c r="Y360" i="3"/>
  <c r="Z360" i="3" s="1"/>
  <c r="X360" i="3"/>
  <c r="AC360" i="3"/>
  <c r="AD360" i="3" s="1"/>
  <c r="AB360" i="3"/>
  <c r="AG360" i="3"/>
  <c r="AH360" i="3" s="1"/>
  <c r="AF360" i="3"/>
  <c r="B362" i="3"/>
  <c r="AE361" i="3"/>
  <c r="AA361" i="3"/>
  <c r="W361" i="3"/>
  <c r="S361" i="3"/>
  <c r="O361" i="3"/>
  <c r="K361" i="3"/>
  <c r="G361" i="3"/>
  <c r="C361" i="3"/>
  <c r="E361" i="3" l="1"/>
  <c r="F361" i="3" s="1"/>
  <c r="D361" i="3"/>
  <c r="I361" i="3"/>
  <c r="J361" i="3" s="1"/>
  <c r="H361" i="3"/>
  <c r="M361" i="3"/>
  <c r="N361" i="3" s="1"/>
  <c r="L361" i="3"/>
  <c r="Q361" i="3"/>
  <c r="R361" i="3" s="1"/>
  <c r="P361" i="3"/>
  <c r="U361" i="3"/>
  <c r="V361" i="3" s="1"/>
  <c r="T361" i="3"/>
  <c r="Y361" i="3"/>
  <c r="Z361" i="3" s="1"/>
  <c r="X361" i="3"/>
  <c r="AC361" i="3"/>
  <c r="AD361" i="3" s="1"/>
  <c r="AB361" i="3"/>
  <c r="AG361" i="3"/>
  <c r="AH361" i="3" s="1"/>
  <c r="AF361" i="3"/>
  <c r="B363" i="3"/>
  <c r="AE362" i="3"/>
  <c r="AA362" i="3"/>
  <c r="W362" i="3"/>
  <c r="S362" i="3"/>
  <c r="O362" i="3"/>
  <c r="K362" i="3"/>
  <c r="G362" i="3"/>
  <c r="C362" i="3"/>
  <c r="E362" i="3" l="1"/>
  <c r="F362" i="3" s="1"/>
  <c r="D362" i="3"/>
  <c r="I362" i="3"/>
  <c r="J362" i="3" s="1"/>
  <c r="H362" i="3"/>
  <c r="M362" i="3"/>
  <c r="N362" i="3" s="1"/>
  <c r="L362" i="3"/>
  <c r="Q362" i="3"/>
  <c r="R362" i="3" s="1"/>
  <c r="P362" i="3"/>
  <c r="U362" i="3"/>
  <c r="V362" i="3" s="1"/>
  <c r="T362" i="3"/>
  <c r="Y362" i="3"/>
  <c r="Z362" i="3" s="1"/>
  <c r="X362" i="3"/>
  <c r="AC362" i="3"/>
  <c r="AD362" i="3" s="1"/>
  <c r="AB362" i="3"/>
  <c r="AG362" i="3"/>
  <c r="AH362" i="3" s="1"/>
  <c r="AF362" i="3"/>
  <c r="B364" i="3"/>
  <c r="AE363" i="3"/>
  <c r="AA363" i="3"/>
  <c r="W363" i="3"/>
  <c r="S363" i="3"/>
  <c r="O363" i="3"/>
  <c r="K363" i="3"/>
  <c r="G363" i="3"/>
  <c r="C363" i="3"/>
  <c r="E363" i="3" l="1"/>
  <c r="F363" i="3" s="1"/>
  <c r="D363" i="3"/>
  <c r="I363" i="3"/>
  <c r="J363" i="3" s="1"/>
  <c r="H363" i="3"/>
  <c r="M363" i="3"/>
  <c r="N363" i="3" s="1"/>
  <c r="L363" i="3"/>
  <c r="Q363" i="3"/>
  <c r="R363" i="3" s="1"/>
  <c r="P363" i="3"/>
  <c r="U363" i="3"/>
  <c r="V363" i="3" s="1"/>
  <c r="T363" i="3"/>
  <c r="Y363" i="3"/>
  <c r="Z363" i="3" s="1"/>
  <c r="X363" i="3"/>
  <c r="AC363" i="3"/>
  <c r="AD363" i="3" s="1"/>
  <c r="AB363" i="3"/>
  <c r="AG363" i="3"/>
  <c r="AH363" i="3" s="1"/>
  <c r="AF363" i="3"/>
  <c r="B365" i="3"/>
  <c r="AE364" i="3"/>
  <c r="AA364" i="3"/>
  <c r="W364" i="3"/>
  <c r="S364" i="3"/>
  <c r="O364" i="3"/>
  <c r="K364" i="3"/>
  <c r="G364" i="3"/>
  <c r="C364" i="3"/>
  <c r="E364" i="3" l="1"/>
  <c r="F364" i="3" s="1"/>
  <c r="D364" i="3"/>
  <c r="I364" i="3"/>
  <c r="J364" i="3" s="1"/>
  <c r="H364" i="3"/>
  <c r="M364" i="3"/>
  <c r="N364" i="3" s="1"/>
  <c r="L364" i="3"/>
  <c r="Q364" i="3"/>
  <c r="R364" i="3" s="1"/>
  <c r="P364" i="3"/>
  <c r="U364" i="3"/>
  <c r="V364" i="3" s="1"/>
  <c r="T364" i="3"/>
  <c r="Y364" i="3"/>
  <c r="Z364" i="3" s="1"/>
  <c r="X364" i="3"/>
  <c r="AC364" i="3"/>
  <c r="AD364" i="3" s="1"/>
  <c r="AB364" i="3"/>
  <c r="AG364" i="3"/>
  <c r="AH364" i="3" s="1"/>
  <c r="AF364" i="3"/>
  <c r="B366" i="3"/>
  <c r="AE365" i="3"/>
  <c r="AA365" i="3"/>
  <c r="W365" i="3"/>
  <c r="S365" i="3"/>
  <c r="O365" i="3"/>
  <c r="K365" i="3"/>
  <c r="G365" i="3"/>
  <c r="C365" i="3"/>
  <c r="E365" i="3" l="1"/>
  <c r="F365" i="3" s="1"/>
  <c r="D365" i="3"/>
  <c r="I365" i="3"/>
  <c r="J365" i="3" s="1"/>
  <c r="H365" i="3"/>
  <c r="M365" i="3"/>
  <c r="N365" i="3" s="1"/>
  <c r="L365" i="3"/>
  <c r="Q365" i="3"/>
  <c r="R365" i="3" s="1"/>
  <c r="P365" i="3"/>
  <c r="U365" i="3"/>
  <c r="V365" i="3" s="1"/>
  <c r="T365" i="3"/>
  <c r="Y365" i="3"/>
  <c r="Z365" i="3" s="1"/>
  <c r="X365" i="3"/>
  <c r="AC365" i="3"/>
  <c r="AD365" i="3" s="1"/>
  <c r="AB365" i="3"/>
  <c r="AG365" i="3"/>
  <c r="AH365" i="3" s="1"/>
  <c r="AF365" i="3"/>
  <c r="B367" i="3"/>
  <c r="AE366" i="3"/>
  <c r="AA366" i="3"/>
  <c r="W366" i="3"/>
  <c r="S366" i="3"/>
  <c r="O366" i="3"/>
  <c r="K366" i="3"/>
  <c r="G366" i="3"/>
  <c r="C366" i="3"/>
  <c r="E366" i="3" l="1"/>
  <c r="F366" i="3" s="1"/>
  <c r="D366" i="3"/>
  <c r="I366" i="3"/>
  <c r="J366" i="3" s="1"/>
  <c r="H366" i="3"/>
  <c r="M366" i="3"/>
  <c r="N366" i="3" s="1"/>
  <c r="L366" i="3"/>
  <c r="Q366" i="3"/>
  <c r="R366" i="3" s="1"/>
  <c r="P366" i="3"/>
  <c r="U366" i="3"/>
  <c r="V366" i="3" s="1"/>
  <c r="T366" i="3"/>
  <c r="Y366" i="3"/>
  <c r="Z366" i="3" s="1"/>
  <c r="X366" i="3"/>
  <c r="AC366" i="3"/>
  <c r="AD366" i="3" s="1"/>
  <c r="AB366" i="3"/>
  <c r="AG366" i="3"/>
  <c r="AH366" i="3" s="1"/>
  <c r="AF366" i="3"/>
  <c r="B368" i="3"/>
  <c r="AE367" i="3"/>
  <c r="AA367" i="3"/>
  <c r="W367" i="3"/>
  <c r="S367" i="3"/>
  <c r="O367" i="3"/>
  <c r="K367" i="3"/>
  <c r="G367" i="3"/>
  <c r="C367" i="3"/>
  <c r="E367" i="3" l="1"/>
  <c r="F367" i="3" s="1"/>
  <c r="D367" i="3"/>
  <c r="I367" i="3"/>
  <c r="J367" i="3" s="1"/>
  <c r="H367" i="3"/>
  <c r="M367" i="3"/>
  <c r="N367" i="3" s="1"/>
  <c r="L367" i="3"/>
  <c r="Q367" i="3"/>
  <c r="R367" i="3" s="1"/>
  <c r="P367" i="3"/>
  <c r="U367" i="3"/>
  <c r="V367" i="3" s="1"/>
  <c r="T367" i="3"/>
  <c r="Y367" i="3"/>
  <c r="Z367" i="3" s="1"/>
  <c r="X367" i="3"/>
  <c r="AC367" i="3"/>
  <c r="AD367" i="3" s="1"/>
  <c r="AB367" i="3"/>
  <c r="AG367" i="3"/>
  <c r="AH367" i="3" s="1"/>
  <c r="AF367" i="3"/>
  <c r="B369" i="3"/>
  <c r="AE368" i="3"/>
  <c r="AA368" i="3"/>
  <c r="W368" i="3"/>
  <c r="S368" i="3"/>
  <c r="O368" i="3"/>
  <c r="K368" i="3"/>
  <c r="G368" i="3"/>
  <c r="C368" i="3"/>
  <c r="E368" i="3" l="1"/>
  <c r="F368" i="3" s="1"/>
  <c r="D368" i="3"/>
  <c r="I368" i="3"/>
  <c r="J368" i="3" s="1"/>
  <c r="H368" i="3"/>
  <c r="M368" i="3"/>
  <c r="N368" i="3" s="1"/>
  <c r="L368" i="3"/>
  <c r="Q368" i="3"/>
  <c r="R368" i="3" s="1"/>
  <c r="P368" i="3"/>
  <c r="U368" i="3"/>
  <c r="V368" i="3" s="1"/>
  <c r="T368" i="3"/>
  <c r="Y368" i="3"/>
  <c r="Z368" i="3" s="1"/>
  <c r="X368" i="3"/>
  <c r="AC368" i="3"/>
  <c r="AD368" i="3" s="1"/>
  <c r="AB368" i="3"/>
  <c r="AG368" i="3"/>
  <c r="AH368" i="3" s="1"/>
  <c r="AF368" i="3"/>
  <c r="B370" i="3"/>
  <c r="AE369" i="3"/>
  <c r="AA369" i="3"/>
  <c r="W369" i="3"/>
  <c r="S369" i="3"/>
  <c r="O369" i="3"/>
  <c r="K369" i="3"/>
  <c r="G369" i="3"/>
  <c r="C369" i="3"/>
  <c r="E369" i="3" l="1"/>
  <c r="F369" i="3" s="1"/>
  <c r="D369" i="3"/>
  <c r="I369" i="3"/>
  <c r="J369" i="3" s="1"/>
  <c r="H369" i="3"/>
  <c r="M369" i="3"/>
  <c r="N369" i="3" s="1"/>
  <c r="L369" i="3"/>
  <c r="Q369" i="3"/>
  <c r="R369" i="3" s="1"/>
  <c r="P369" i="3"/>
  <c r="U369" i="3"/>
  <c r="V369" i="3" s="1"/>
  <c r="T369" i="3"/>
  <c r="Y369" i="3"/>
  <c r="Z369" i="3" s="1"/>
  <c r="X369" i="3"/>
  <c r="AC369" i="3"/>
  <c r="AD369" i="3" s="1"/>
  <c r="AB369" i="3"/>
  <c r="AG369" i="3"/>
  <c r="AH369" i="3" s="1"/>
  <c r="AF369" i="3"/>
  <c r="B371" i="3"/>
  <c r="AE370" i="3"/>
  <c r="AA370" i="3"/>
  <c r="W370" i="3"/>
  <c r="S370" i="3"/>
  <c r="O370" i="3"/>
  <c r="K370" i="3"/>
  <c r="G370" i="3"/>
  <c r="C370" i="3"/>
  <c r="E370" i="3" l="1"/>
  <c r="F370" i="3" s="1"/>
  <c r="D370" i="3"/>
  <c r="I370" i="3"/>
  <c r="J370" i="3" s="1"/>
  <c r="H370" i="3"/>
  <c r="M370" i="3"/>
  <c r="N370" i="3" s="1"/>
  <c r="L370" i="3"/>
  <c r="Q370" i="3"/>
  <c r="R370" i="3" s="1"/>
  <c r="P370" i="3"/>
  <c r="U370" i="3"/>
  <c r="V370" i="3" s="1"/>
  <c r="T370" i="3"/>
  <c r="Y370" i="3"/>
  <c r="Z370" i="3" s="1"/>
  <c r="X370" i="3"/>
  <c r="AC370" i="3"/>
  <c r="AD370" i="3" s="1"/>
  <c r="AB370" i="3"/>
  <c r="AG370" i="3"/>
  <c r="AH370" i="3" s="1"/>
  <c r="AF370" i="3"/>
  <c r="B372" i="3"/>
  <c r="AE371" i="3"/>
  <c r="AA371" i="3"/>
  <c r="W371" i="3"/>
  <c r="S371" i="3"/>
  <c r="O371" i="3"/>
  <c r="K371" i="3"/>
  <c r="G371" i="3"/>
  <c r="C371" i="3"/>
  <c r="E371" i="3" l="1"/>
  <c r="F371" i="3" s="1"/>
  <c r="D371" i="3"/>
  <c r="I371" i="3"/>
  <c r="J371" i="3" s="1"/>
  <c r="H371" i="3"/>
  <c r="M371" i="3"/>
  <c r="N371" i="3" s="1"/>
  <c r="L371" i="3"/>
  <c r="Q371" i="3"/>
  <c r="R371" i="3" s="1"/>
  <c r="P371" i="3"/>
  <c r="U371" i="3"/>
  <c r="V371" i="3" s="1"/>
  <c r="T371" i="3"/>
  <c r="Y371" i="3"/>
  <c r="Z371" i="3" s="1"/>
  <c r="X371" i="3"/>
  <c r="AC371" i="3"/>
  <c r="AD371" i="3" s="1"/>
  <c r="AB371" i="3"/>
  <c r="AG371" i="3"/>
  <c r="AH371" i="3" s="1"/>
  <c r="AF371" i="3"/>
  <c r="B373" i="3"/>
  <c r="AE372" i="3"/>
  <c r="AA372" i="3"/>
  <c r="W372" i="3"/>
  <c r="S372" i="3"/>
  <c r="O372" i="3"/>
  <c r="K372" i="3"/>
  <c r="G372" i="3"/>
  <c r="C372" i="3"/>
  <c r="E372" i="3" l="1"/>
  <c r="F372" i="3" s="1"/>
  <c r="D372" i="3"/>
  <c r="I372" i="3"/>
  <c r="J372" i="3" s="1"/>
  <c r="H372" i="3"/>
  <c r="M372" i="3"/>
  <c r="N372" i="3" s="1"/>
  <c r="L372" i="3"/>
  <c r="Q372" i="3"/>
  <c r="R372" i="3" s="1"/>
  <c r="P372" i="3"/>
  <c r="U372" i="3"/>
  <c r="V372" i="3" s="1"/>
  <c r="T372" i="3"/>
  <c r="Y372" i="3"/>
  <c r="Z372" i="3" s="1"/>
  <c r="X372" i="3"/>
  <c r="AC372" i="3"/>
  <c r="AD372" i="3" s="1"/>
  <c r="AB372" i="3"/>
  <c r="AG372" i="3"/>
  <c r="AH372" i="3" s="1"/>
  <c r="AF372" i="3"/>
  <c r="B374" i="3"/>
  <c r="AE373" i="3"/>
  <c r="AA373" i="3"/>
  <c r="W373" i="3"/>
  <c r="S373" i="3"/>
  <c r="O373" i="3"/>
  <c r="K373" i="3"/>
  <c r="G373" i="3"/>
  <c r="C373" i="3"/>
  <c r="E373" i="3" l="1"/>
  <c r="F373" i="3" s="1"/>
  <c r="D373" i="3"/>
  <c r="I373" i="3"/>
  <c r="J373" i="3" s="1"/>
  <c r="H373" i="3"/>
  <c r="M373" i="3"/>
  <c r="N373" i="3" s="1"/>
  <c r="L373" i="3"/>
  <c r="Q373" i="3"/>
  <c r="R373" i="3" s="1"/>
  <c r="P373" i="3"/>
  <c r="U373" i="3"/>
  <c r="V373" i="3" s="1"/>
  <c r="T373" i="3"/>
  <c r="Y373" i="3"/>
  <c r="Z373" i="3" s="1"/>
  <c r="X373" i="3"/>
  <c r="AC373" i="3"/>
  <c r="AD373" i="3" s="1"/>
  <c r="AB373" i="3"/>
  <c r="AG373" i="3"/>
  <c r="AH373" i="3" s="1"/>
  <c r="AF373" i="3"/>
  <c r="B375" i="3"/>
  <c r="AE374" i="3"/>
  <c r="AA374" i="3"/>
  <c r="W374" i="3"/>
  <c r="S374" i="3"/>
  <c r="O374" i="3"/>
  <c r="K374" i="3"/>
  <c r="G374" i="3"/>
  <c r="C374" i="3"/>
  <c r="E374" i="3" l="1"/>
  <c r="F374" i="3" s="1"/>
  <c r="D374" i="3"/>
  <c r="I374" i="3"/>
  <c r="J374" i="3" s="1"/>
  <c r="H374" i="3"/>
  <c r="M374" i="3"/>
  <c r="N374" i="3" s="1"/>
  <c r="L374" i="3"/>
  <c r="Q374" i="3"/>
  <c r="R374" i="3" s="1"/>
  <c r="P374" i="3"/>
  <c r="U374" i="3"/>
  <c r="V374" i="3" s="1"/>
  <c r="T374" i="3"/>
  <c r="Y374" i="3"/>
  <c r="Z374" i="3" s="1"/>
  <c r="X374" i="3"/>
  <c r="AC374" i="3"/>
  <c r="AD374" i="3" s="1"/>
  <c r="AB374" i="3"/>
  <c r="AG374" i="3"/>
  <c r="AH374" i="3" s="1"/>
  <c r="AF374" i="3"/>
  <c r="B376" i="3"/>
  <c r="AE375" i="3"/>
  <c r="AA375" i="3"/>
  <c r="W375" i="3"/>
  <c r="S375" i="3"/>
  <c r="O375" i="3"/>
  <c r="K375" i="3"/>
  <c r="G375" i="3"/>
  <c r="C375" i="3"/>
  <c r="E375" i="3" l="1"/>
  <c r="F375" i="3" s="1"/>
  <c r="D375" i="3"/>
  <c r="I375" i="3"/>
  <c r="J375" i="3" s="1"/>
  <c r="H375" i="3"/>
  <c r="M375" i="3"/>
  <c r="N375" i="3" s="1"/>
  <c r="L375" i="3"/>
  <c r="Q375" i="3"/>
  <c r="R375" i="3" s="1"/>
  <c r="P375" i="3"/>
  <c r="U375" i="3"/>
  <c r="V375" i="3" s="1"/>
  <c r="T375" i="3"/>
  <c r="Y375" i="3"/>
  <c r="Z375" i="3" s="1"/>
  <c r="X375" i="3"/>
  <c r="AC375" i="3"/>
  <c r="AD375" i="3" s="1"/>
  <c r="AB375" i="3"/>
  <c r="AG375" i="3"/>
  <c r="AH375" i="3" s="1"/>
  <c r="AF375" i="3"/>
  <c r="B377" i="3"/>
  <c r="AE376" i="3"/>
  <c r="AA376" i="3"/>
  <c r="W376" i="3"/>
  <c r="S376" i="3"/>
  <c r="O376" i="3"/>
  <c r="K376" i="3"/>
  <c r="G376" i="3"/>
  <c r="C376" i="3"/>
  <c r="E376" i="3" l="1"/>
  <c r="F376" i="3" s="1"/>
  <c r="D376" i="3"/>
  <c r="I376" i="3"/>
  <c r="J376" i="3" s="1"/>
  <c r="H376" i="3"/>
  <c r="M376" i="3"/>
  <c r="N376" i="3" s="1"/>
  <c r="L376" i="3"/>
  <c r="Q376" i="3"/>
  <c r="R376" i="3" s="1"/>
  <c r="P376" i="3"/>
  <c r="U376" i="3"/>
  <c r="V376" i="3" s="1"/>
  <c r="T376" i="3"/>
  <c r="Y376" i="3"/>
  <c r="Z376" i="3" s="1"/>
  <c r="X376" i="3"/>
  <c r="AC376" i="3"/>
  <c r="AD376" i="3" s="1"/>
  <c r="AB376" i="3"/>
  <c r="AG376" i="3"/>
  <c r="AH376" i="3" s="1"/>
  <c r="AF376" i="3"/>
  <c r="B378" i="3"/>
  <c r="AE377" i="3"/>
  <c r="AA377" i="3"/>
  <c r="W377" i="3"/>
  <c r="S377" i="3"/>
  <c r="O377" i="3"/>
  <c r="K377" i="3"/>
  <c r="G377" i="3"/>
  <c r="C377" i="3"/>
  <c r="E377" i="3" l="1"/>
  <c r="F377" i="3" s="1"/>
  <c r="D377" i="3"/>
  <c r="I377" i="3"/>
  <c r="J377" i="3" s="1"/>
  <c r="H377" i="3"/>
  <c r="M377" i="3"/>
  <c r="N377" i="3" s="1"/>
  <c r="L377" i="3"/>
  <c r="Q377" i="3"/>
  <c r="R377" i="3" s="1"/>
  <c r="P377" i="3"/>
  <c r="U377" i="3"/>
  <c r="V377" i="3" s="1"/>
  <c r="T377" i="3"/>
  <c r="Y377" i="3"/>
  <c r="Z377" i="3" s="1"/>
  <c r="X377" i="3"/>
  <c r="AC377" i="3"/>
  <c r="AD377" i="3" s="1"/>
  <c r="AB377" i="3"/>
  <c r="AG377" i="3"/>
  <c r="AH377" i="3" s="1"/>
  <c r="AF377" i="3"/>
  <c r="B379" i="3"/>
  <c r="AE378" i="3"/>
  <c r="AA378" i="3"/>
  <c r="W378" i="3"/>
  <c r="S378" i="3"/>
  <c r="O378" i="3"/>
  <c r="K378" i="3"/>
  <c r="G378" i="3"/>
  <c r="C378" i="3"/>
  <c r="E378" i="3" l="1"/>
  <c r="F378" i="3" s="1"/>
  <c r="D378" i="3"/>
  <c r="I378" i="3"/>
  <c r="J378" i="3" s="1"/>
  <c r="H378" i="3"/>
  <c r="M378" i="3"/>
  <c r="N378" i="3" s="1"/>
  <c r="L378" i="3"/>
  <c r="Q378" i="3"/>
  <c r="R378" i="3" s="1"/>
  <c r="P378" i="3"/>
  <c r="U378" i="3"/>
  <c r="V378" i="3" s="1"/>
  <c r="T378" i="3"/>
  <c r="Y378" i="3"/>
  <c r="Z378" i="3" s="1"/>
  <c r="X378" i="3"/>
  <c r="AC378" i="3"/>
  <c r="AD378" i="3" s="1"/>
  <c r="AB378" i="3"/>
  <c r="AG378" i="3"/>
  <c r="AH378" i="3" s="1"/>
  <c r="AF378" i="3"/>
  <c r="B380" i="3"/>
  <c r="AE379" i="3"/>
  <c r="AA379" i="3"/>
  <c r="W379" i="3"/>
  <c r="S379" i="3"/>
  <c r="O379" i="3"/>
  <c r="K379" i="3"/>
  <c r="G379" i="3"/>
  <c r="C379" i="3"/>
  <c r="E379" i="3" l="1"/>
  <c r="F379" i="3" s="1"/>
  <c r="D379" i="3"/>
  <c r="I379" i="3"/>
  <c r="J379" i="3" s="1"/>
  <c r="H379" i="3"/>
  <c r="M379" i="3"/>
  <c r="N379" i="3" s="1"/>
  <c r="L379" i="3"/>
  <c r="Q379" i="3"/>
  <c r="R379" i="3" s="1"/>
  <c r="P379" i="3"/>
  <c r="U379" i="3"/>
  <c r="V379" i="3" s="1"/>
  <c r="T379" i="3"/>
  <c r="Y379" i="3"/>
  <c r="Z379" i="3" s="1"/>
  <c r="X379" i="3"/>
  <c r="AC379" i="3"/>
  <c r="AD379" i="3" s="1"/>
  <c r="AB379" i="3"/>
  <c r="AG379" i="3"/>
  <c r="AH379" i="3" s="1"/>
  <c r="AF379" i="3"/>
  <c r="B381" i="3"/>
  <c r="AE380" i="3"/>
  <c r="AA380" i="3"/>
  <c r="W380" i="3"/>
  <c r="S380" i="3"/>
  <c r="O380" i="3"/>
  <c r="K380" i="3"/>
  <c r="G380" i="3"/>
  <c r="C380" i="3"/>
  <c r="E380" i="3" l="1"/>
  <c r="F380" i="3" s="1"/>
  <c r="D380" i="3"/>
  <c r="I380" i="3"/>
  <c r="J380" i="3" s="1"/>
  <c r="H380" i="3"/>
  <c r="M380" i="3"/>
  <c r="N380" i="3" s="1"/>
  <c r="L380" i="3"/>
  <c r="Q380" i="3"/>
  <c r="R380" i="3" s="1"/>
  <c r="P380" i="3"/>
  <c r="U380" i="3"/>
  <c r="V380" i="3" s="1"/>
  <c r="T380" i="3"/>
  <c r="Y380" i="3"/>
  <c r="Z380" i="3" s="1"/>
  <c r="X380" i="3"/>
  <c r="AC380" i="3"/>
  <c r="AD380" i="3" s="1"/>
  <c r="AB380" i="3"/>
  <c r="AG380" i="3"/>
  <c r="AH380" i="3" s="1"/>
  <c r="AF380" i="3"/>
  <c r="B382" i="3"/>
  <c r="AE381" i="3"/>
  <c r="AA381" i="3"/>
  <c r="W381" i="3"/>
  <c r="S381" i="3"/>
  <c r="O381" i="3"/>
  <c r="K381" i="3"/>
  <c r="G381" i="3"/>
  <c r="C381" i="3"/>
  <c r="E381" i="3" l="1"/>
  <c r="F381" i="3" s="1"/>
  <c r="D381" i="3"/>
  <c r="I381" i="3"/>
  <c r="J381" i="3" s="1"/>
  <c r="H381" i="3"/>
  <c r="M381" i="3"/>
  <c r="N381" i="3" s="1"/>
  <c r="L381" i="3"/>
  <c r="Q381" i="3"/>
  <c r="R381" i="3" s="1"/>
  <c r="P381" i="3"/>
  <c r="U381" i="3"/>
  <c r="V381" i="3" s="1"/>
  <c r="T381" i="3"/>
  <c r="Y381" i="3"/>
  <c r="Z381" i="3" s="1"/>
  <c r="X381" i="3"/>
  <c r="AC381" i="3"/>
  <c r="AD381" i="3" s="1"/>
  <c r="AB381" i="3"/>
  <c r="AG381" i="3"/>
  <c r="AH381" i="3" s="1"/>
  <c r="AF381" i="3"/>
  <c r="B383" i="3"/>
  <c r="AE382" i="3"/>
  <c r="AA382" i="3"/>
  <c r="W382" i="3"/>
  <c r="S382" i="3"/>
  <c r="O382" i="3"/>
  <c r="K382" i="3"/>
  <c r="G382" i="3"/>
  <c r="C382" i="3"/>
  <c r="E382" i="3" l="1"/>
  <c r="F382" i="3" s="1"/>
  <c r="D382" i="3"/>
  <c r="I382" i="3"/>
  <c r="J382" i="3" s="1"/>
  <c r="H382" i="3"/>
  <c r="M382" i="3"/>
  <c r="N382" i="3" s="1"/>
  <c r="L382" i="3"/>
  <c r="Q382" i="3"/>
  <c r="R382" i="3" s="1"/>
  <c r="P382" i="3"/>
  <c r="U382" i="3"/>
  <c r="V382" i="3" s="1"/>
  <c r="T382" i="3"/>
  <c r="Y382" i="3"/>
  <c r="Z382" i="3" s="1"/>
  <c r="X382" i="3"/>
  <c r="AC382" i="3"/>
  <c r="AD382" i="3" s="1"/>
  <c r="AB382" i="3"/>
  <c r="AG382" i="3"/>
  <c r="AH382" i="3" s="1"/>
  <c r="AF382" i="3"/>
  <c r="B384" i="3"/>
  <c r="AE383" i="3"/>
  <c r="AA383" i="3"/>
  <c r="W383" i="3"/>
  <c r="S383" i="3"/>
  <c r="O383" i="3"/>
  <c r="K383" i="3"/>
  <c r="G383" i="3"/>
  <c r="C383" i="3"/>
  <c r="E383" i="3" l="1"/>
  <c r="F383" i="3" s="1"/>
  <c r="D383" i="3"/>
  <c r="I383" i="3"/>
  <c r="J383" i="3" s="1"/>
  <c r="H383" i="3"/>
  <c r="M383" i="3"/>
  <c r="N383" i="3" s="1"/>
  <c r="L383" i="3"/>
  <c r="Q383" i="3"/>
  <c r="R383" i="3" s="1"/>
  <c r="P383" i="3"/>
  <c r="U383" i="3"/>
  <c r="V383" i="3" s="1"/>
  <c r="T383" i="3"/>
  <c r="Y383" i="3"/>
  <c r="Z383" i="3" s="1"/>
  <c r="X383" i="3"/>
  <c r="AC383" i="3"/>
  <c r="AD383" i="3" s="1"/>
  <c r="AB383" i="3"/>
  <c r="AG383" i="3"/>
  <c r="AH383" i="3" s="1"/>
  <c r="AF383" i="3"/>
  <c r="B385" i="3"/>
  <c r="AE384" i="3"/>
  <c r="AA384" i="3"/>
  <c r="W384" i="3"/>
  <c r="S384" i="3"/>
  <c r="O384" i="3"/>
  <c r="K384" i="3"/>
  <c r="G384" i="3"/>
  <c r="C384" i="3"/>
  <c r="E384" i="3" l="1"/>
  <c r="F384" i="3" s="1"/>
  <c r="D384" i="3"/>
  <c r="I384" i="3"/>
  <c r="J384" i="3" s="1"/>
  <c r="H384" i="3"/>
  <c r="M384" i="3"/>
  <c r="N384" i="3" s="1"/>
  <c r="L384" i="3"/>
  <c r="Q384" i="3"/>
  <c r="R384" i="3" s="1"/>
  <c r="P384" i="3"/>
  <c r="U384" i="3"/>
  <c r="V384" i="3" s="1"/>
  <c r="T384" i="3"/>
  <c r="Y384" i="3"/>
  <c r="Z384" i="3" s="1"/>
  <c r="X384" i="3"/>
  <c r="AC384" i="3"/>
  <c r="AD384" i="3" s="1"/>
  <c r="AB384" i="3"/>
  <c r="AG384" i="3"/>
  <c r="AH384" i="3" s="1"/>
  <c r="AF384" i="3"/>
  <c r="B386" i="3"/>
  <c r="AE385" i="3"/>
  <c r="AA385" i="3"/>
  <c r="W385" i="3"/>
  <c r="S385" i="3"/>
  <c r="O385" i="3"/>
  <c r="K385" i="3"/>
  <c r="G385" i="3"/>
  <c r="C385" i="3"/>
  <c r="E385" i="3" l="1"/>
  <c r="F385" i="3" s="1"/>
  <c r="D385" i="3"/>
  <c r="I385" i="3"/>
  <c r="J385" i="3" s="1"/>
  <c r="H385" i="3"/>
  <c r="M385" i="3"/>
  <c r="N385" i="3" s="1"/>
  <c r="L385" i="3"/>
  <c r="Q385" i="3"/>
  <c r="R385" i="3" s="1"/>
  <c r="P385" i="3"/>
  <c r="U385" i="3"/>
  <c r="V385" i="3" s="1"/>
  <c r="T385" i="3"/>
  <c r="Y385" i="3"/>
  <c r="Z385" i="3" s="1"/>
  <c r="X385" i="3"/>
  <c r="AC385" i="3"/>
  <c r="AD385" i="3" s="1"/>
  <c r="AB385" i="3"/>
  <c r="AG385" i="3"/>
  <c r="AH385" i="3" s="1"/>
  <c r="AF385" i="3"/>
  <c r="B387" i="3"/>
  <c r="AE386" i="3"/>
  <c r="AA386" i="3"/>
  <c r="W386" i="3"/>
  <c r="S386" i="3"/>
  <c r="O386" i="3"/>
  <c r="K386" i="3"/>
  <c r="G386" i="3"/>
  <c r="C386" i="3"/>
  <c r="E386" i="3" l="1"/>
  <c r="F386" i="3" s="1"/>
  <c r="D386" i="3"/>
  <c r="I386" i="3"/>
  <c r="J386" i="3" s="1"/>
  <c r="H386" i="3"/>
  <c r="M386" i="3"/>
  <c r="N386" i="3" s="1"/>
  <c r="L386" i="3"/>
  <c r="Q386" i="3"/>
  <c r="R386" i="3" s="1"/>
  <c r="P386" i="3"/>
  <c r="U386" i="3"/>
  <c r="V386" i="3" s="1"/>
  <c r="T386" i="3"/>
  <c r="Y386" i="3"/>
  <c r="Z386" i="3" s="1"/>
  <c r="X386" i="3"/>
  <c r="AC386" i="3"/>
  <c r="AD386" i="3" s="1"/>
  <c r="AB386" i="3"/>
  <c r="AG386" i="3"/>
  <c r="AH386" i="3" s="1"/>
  <c r="AF386" i="3"/>
  <c r="B388" i="3"/>
  <c r="AE387" i="3"/>
  <c r="AA387" i="3"/>
  <c r="W387" i="3"/>
  <c r="S387" i="3"/>
  <c r="O387" i="3"/>
  <c r="K387" i="3"/>
  <c r="G387" i="3"/>
  <c r="C387" i="3"/>
  <c r="E387" i="3" l="1"/>
  <c r="F387" i="3" s="1"/>
  <c r="D387" i="3"/>
  <c r="I387" i="3"/>
  <c r="J387" i="3" s="1"/>
  <c r="H387" i="3"/>
  <c r="M387" i="3"/>
  <c r="N387" i="3" s="1"/>
  <c r="L387" i="3"/>
  <c r="Q387" i="3"/>
  <c r="R387" i="3" s="1"/>
  <c r="P387" i="3"/>
  <c r="U387" i="3"/>
  <c r="V387" i="3" s="1"/>
  <c r="T387" i="3"/>
  <c r="Y387" i="3"/>
  <c r="Z387" i="3" s="1"/>
  <c r="X387" i="3"/>
  <c r="AC387" i="3"/>
  <c r="AD387" i="3" s="1"/>
  <c r="AB387" i="3"/>
  <c r="AG387" i="3"/>
  <c r="AH387" i="3" s="1"/>
  <c r="AF387" i="3"/>
  <c r="B389" i="3"/>
  <c r="AE388" i="3"/>
  <c r="AA388" i="3"/>
  <c r="W388" i="3"/>
  <c r="S388" i="3"/>
  <c r="O388" i="3"/>
  <c r="K388" i="3"/>
  <c r="G388" i="3"/>
  <c r="C388" i="3"/>
  <c r="E388" i="3" l="1"/>
  <c r="F388" i="3" s="1"/>
  <c r="D388" i="3"/>
  <c r="I388" i="3"/>
  <c r="J388" i="3" s="1"/>
  <c r="H388" i="3"/>
  <c r="M388" i="3"/>
  <c r="N388" i="3" s="1"/>
  <c r="L388" i="3"/>
  <c r="Q388" i="3"/>
  <c r="R388" i="3" s="1"/>
  <c r="P388" i="3"/>
  <c r="U388" i="3"/>
  <c r="V388" i="3" s="1"/>
  <c r="T388" i="3"/>
  <c r="Y388" i="3"/>
  <c r="Z388" i="3" s="1"/>
  <c r="X388" i="3"/>
  <c r="AC388" i="3"/>
  <c r="AD388" i="3" s="1"/>
  <c r="AB388" i="3"/>
  <c r="AG388" i="3"/>
  <c r="AH388" i="3" s="1"/>
  <c r="AF388" i="3"/>
  <c r="B390" i="3"/>
  <c r="AE389" i="3"/>
  <c r="AA389" i="3"/>
  <c r="W389" i="3"/>
  <c r="S389" i="3"/>
  <c r="O389" i="3"/>
  <c r="K389" i="3"/>
  <c r="G389" i="3"/>
  <c r="C389" i="3"/>
  <c r="E389" i="3" l="1"/>
  <c r="F389" i="3" s="1"/>
  <c r="D389" i="3"/>
  <c r="I389" i="3"/>
  <c r="J389" i="3" s="1"/>
  <c r="H389" i="3"/>
  <c r="M389" i="3"/>
  <c r="N389" i="3" s="1"/>
  <c r="L389" i="3"/>
  <c r="Q389" i="3"/>
  <c r="R389" i="3" s="1"/>
  <c r="P389" i="3"/>
  <c r="U389" i="3"/>
  <c r="V389" i="3" s="1"/>
  <c r="T389" i="3"/>
  <c r="Y389" i="3"/>
  <c r="Z389" i="3" s="1"/>
  <c r="X389" i="3"/>
  <c r="AC389" i="3"/>
  <c r="AD389" i="3" s="1"/>
  <c r="AB389" i="3"/>
  <c r="AG389" i="3"/>
  <c r="AH389" i="3" s="1"/>
  <c r="AF389" i="3"/>
  <c r="B391" i="3"/>
  <c r="AE390" i="3"/>
  <c r="AA390" i="3"/>
  <c r="W390" i="3"/>
  <c r="S390" i="3"/>
  <c r="O390" i="3"/>
  <c r="K390" i="3"/>
  <c r="G390" i="3"/>
  <c r="C390" i="3"/>
  <c r="E390" i="3" l="1"/>
  <c r="F390" i="3" s="1"/>
  <c r="D390" i="3"/>
  <c r="I390" i="3"/>
  <c r="J390" i="3" s="1"/>
  <c r="H390" i="3"/>
  <c r="M390" i="3"/>
  <c r="N390" i="3" s="1"/>
  <c r="L390" i="3"/>
  <c r="Q390" i="3"/>
  <c r="R390" i="3" s="1"/>
  <c r="P390" i="3"/>
  <c r="U390" i="3"/>
  <c r="V390" i="3" s="1"/>
  <c r="T390" i="3"/>
  <c r="Y390" i="3"/>
  <c r="Z390" i="3" s="1"/>
  <c r="X390" i="3"/>
  <c r="AC390" i="3"/>
  <c r="AD390" i="3" s="1"/>
  <c r="AB390" i="3"/>
  <c r="AG390" i="3"/>
  <c r="AH390" i="3" s="1"/>
  <c r="AF390" i="3"/>
  <c r="B392" i="3"/>
  <c r="AE391" i="3"/>
  <c r="AA391" i="3"/>
  <c r="W391" i="3"/>
  <c r="S391" i="3"/>
  <c r="O391" i="3"/>
  <c r="K391" i="3"/>
  <c r="G391" i="3"/>
  <c r="C391" i="3"/>
  <c r="E391" i="3" l="1"/>
  <c r="F391" i="3" s="1"/>
  <c r="D391" i="3"/>
  <c r="I391" i="3"/>
  <c r="J391" i="3" s="1"/>
  <c r="H391" i="3"/>
  <c r="M391" i="3"/>
  <c r="N391" i="3" s="1"/>
  <c r="L391" i="3"/>
  <c r="Q391" i="3"/>
  <c r="R391" i="3" s="1"/>
  <c r="P391" i="3"/>
  <c r="U391" i="3"/>
  <c r="V391" i="3" s="1"/>
  <c r="T391" i="3"/>
  <c r="Y391" i="3"/>
  <c r="Z391" i="3" s="1"/>
  <c r="X391" i="3"/>
  <c r="AC391" i="3"/>
  <c r="AD391" i="3" s="1"/>
  <c r="AB391" i="3"/>
  <c r="AG391" i="3"/>
  <c r="AH391" i="3" s="1"/>
  <c r="AF391" i="3"/>
  <c r="B393" i="3"/>
  <c r="AE392" i="3"/>
  <c r="AA392" i="3"/>
  <c r="W392" i="3"/>
  <c r="S392" i="3"/>
  <c r="O392" i="3"/>
  <c r="K392" i="3"/>
  <c r="G392" i="3"/>
  <c r="C392" i="3"/>
  <c r="E392" i="3" l="1"/>
  <c r="F392" i="3" s="1"/>
  <c r="D392" i="3"/>
  <c r="I392" i="3"/>
  <c r="J392" i="3" s="1"/>
  <c r="H392" i="3"/>
  <c r="M392" i="3"/>
  <c r="N392" i="3" s="1"/>
  <c r="L392" i="3"/>
  <c r="Q392" i="3"/>
  <c r="R392" i="3" s="1"/>
  <c r="P392" i="3"/>
  <c r="U392" i="3"/>
  <c r="V392" i="3" s="1"/>
  <c r="T392" i="3"/>
  <c r="Y392" i="3"/>
  <c r="Z392" i="3" s="1"/>
  <c r="X392" i="3"/>
  <c r="AC392" i="3"/>
  <c r="AD392" i="3" s="1"/>
  <c r="AB392" i="3"/>
  <c r="AG392" i="3"/>
  <c r="AH392" i="3" s="1"/>
  <c r="AF392" i="3"/>
  <c r="B394" i="3"/>
  <c r="AE393" i="3"/>
  <c r="AA393" i="3"/>
  <c r="W393" i="3"/>
  <c r="S393" i="3"/>
  <c r="O393" i="3"/>
  <c r="K393" i="3"/>
  <c r="G393" i="3"/>
  <c r="C393" i="3"/>
  <c r="E393" i="3" l="1"/>
  <c r="F393" i="3" s="1"/>
  <c r="D393" i="3"/>
  <c r="I393" i="3"/>
  <c r="J393" i="3" s="1"/>
  <c r="H393" i="3"/>
  <c r="M393" i="3"/>
  <c r="N393" i="3" s="1"/>
  <c r="L393" i="3"/>
  <c r="Q393" i="3"/>
  <c r="R393" i="3" s="1"/>
  <c r="P393" i="3"/>
  <c r="U393" i="3"/>
  <c r="V393" i="3" s="1"/>
  <c r="T393" i="3"/>
  <c r="Y393" i="3"/>
  <c r="Z393" i="3" s="1"/>
  <c r="X393" i="3"/>
  <c r="AC393" i="3"/>
  <c r="AD393" i="3" s="1"/>
  <c r="AB393" i="3"/>
  <c r="AG393" i="3"/>
  <c r="AH393" i="3" s="1"/>
  <c r="AF393" i="3"/>
  <c r="B395" i="3"/>
  <c r="AE394" i="3"/>
  <c r="AA394" i="3"/>
  <c r="W394" i="3"/>
  <c r="S394" i="3"/>
  <c r="O394" i="3"/>
  <c r="K394" i="3"/>
  <c r="G394" i="3"/>
  <c r="C394" i="3"/>
  <c r="E394" i="3" l="1"/>
  <c r="F394" i="3" s="1"/>
  <c r="D394" i="3"/>
  <c r="I394" i="3"/>
  <c r="J394" i="3" s="1"/>
  <c r="H394" i="3"/>
  <c r="M394" i="3"/>
  <c r="N394" i="3" s="1"/>
  <c r="L394" i="3"/>
  <c r="Q394" i="3"/>
  <c r="R394" i="3" s="1"/>
  <c r="P394" i="3"/>
  <c r="U394" i="3"/>
  <c r="V394" i="3" s="1"/>
  <c r="T394" i="3"/>
  <c r="Y394" i="3"/>
  <c r="Z394" i="3" s="1"/>
  <c r="X394" i="3"/>
  <c r="AC394" i="3"/>
  <c r="AD394" i="3" s="1"/>
  <c r="AB394" i="3"/>
  <c r="AG394" i="3"/>
  <c r="AH394" i="3" s="1"/>
  <c r="AF394" i="3"/>
  <c r="B396" i="3"/>
  <c r="AE395" i="3"/>
  <c r="AA395" i="3"/>
  <c r="W395" i="3"/>
  <c r="S395" i="3"/>
  <c r="O395" i="3"/>
  <c r="K395" i="3"/>
  <c r="G395" i="3"/>
  <c r="C395" i="3"/>
  <c r="E395" i="3" l="1"/>
  <c r="F395" i="3" s="1"/>
  <c r="D395" i="3"/>
  <c r="I395" i="3"/>
  <c r="J395" i="3" s="1"/>
  <c r="H395" i="3"/>
  <c r="M395" i="3"/>
  <c r="N395" i="3" s="1"/>
  <c r="L395" i="3"/>
  <c r="Q395" i="3"/>
  <c r="R395" i="3" s="1"/>
  <c r="P395" i="3"/>
  <c r="U395" i="3"/>
  <c r="V395" i="3" s="1"/>
  <c r="T395" i="3"/>
  <c r="Y395" i="3"/>
  <c r="Z395" i="3" s="1"/>
  <c r="X395" i="3"/>
  <c r="AC395" i="3"/>
  <c r="AD395" i="3" s="1"/>
  <c r="AB395" i="3"/>
  <c r="AG395" i="3"/>
  <c r="AH395" i="3" s="1"/>
  <c r="AF395" i="3"/>
  <c r="B397" i="3"/>
  <c r="AE396" i="3"/>
  <c r="AA396" i="3"/>
  <c r="W396" i="3"/>
  <c r="S396" i="3"/>
  <c r="O396" i="3"/>
  <c r="K396" i="3"/>
  <c r="G396" i="3"/>
  <c r="C396" i="3"/>
  <c r="E396" i="3" l="1"/>
  <c r="F396" i="3" s="1"/>
  <c r="D396" i="3"/>
  <c r="I396" i="3"/>
  <c r="J396" i="3" s="1"/>
  <c r="H396" i="3"/>
  <c r="M396" i="3"/>
  <c r="N396" i="3" s="1"/>
  <c r="L396" i="3"/>
  <c r="Q396" i="3"/>
  <c r="R396" i="3" s="1"/>
  <c r="P396" i="3"/>
  <c r="U396" i="3"/>
  <c r="V396" i="3" s="1"/>
  <c r="T396" i="3"/>
  <c r="Y396" i="3"/>
  <c r="Z396" i="3" s="1"/>
  <c r="X396" i="3"/>
  <c r="AC396" i="3"/>
  <c r="AD396" i="3" s="1"/>
  <c r="AB396" i="3"/>
  <c r="AG396" i="3"/>
  <c r="AH396" i="3" s="1"/>
  <c r="AF396" i="3"/>
  <c r="B398" i="3"/>
  <c r="AE397" i="3"/>
  <c r="AA397" i="3"/>
  <c r="W397" i="3"/>
  <c r="S397" i="3"/>
  <c r="O397" i="3"/>
  <c r="K397" i="3"/>
  <c r="G397" i="3"/>
  <c r="C397" i="3"/>
  <c r="E397" i="3" l="1"/>
  <c r="F397" i="3" s="1"/>
  <c r="D397" i="3"/>
  <c r="I397" i="3"/>
  <c r="J397" i="3" s="1"/>
  <c r="H397" i="3"/>
  <c r="M397" i="3"/>
  <c r="N397" i="3" s="1"/>
  <c r="L397" i="3"/>
  <c r="Q397" i="3"/>
  <c r="R397" i="3" s="1"/>
  <c r="P397" i="3"/>
  <c r="U397" i="3"/>
  <c r="V397" i="3" s="1"/>
  <c r="T397" i="3"/>
  <c r="Y397" i="3"/>
  <c r="Z397" i="3" s="1"/>
  <c r="X397" i="3"/>
  <c r="AC397" i="3"/>
  <c r="AD397" i="3" s="1"/>
  <c r="AB397" i="3"/>
  <c r="AG397" i="3"/>
  <c r="AH397" i="3" s="1"/>
  <c r="AF397" i="3"/>
  <c r="B399" i="3"/>
  <c r="AE398" i="3"/>
  <c r="AA398" i="3"/>
  <c r="W398" i="3"/>
  <c r="S398" i="3"/>
  <c r="O398" i="3"/>
  <c r="K398" i="3"/>
  <c r="G398" i="3"/>
  <c r="C398" i="3"/>
  <c r="E398" i="3" l="1"/>
  <c r="F398" i="3" s="1"/>
  <c r="D398" i="3"/>
  <c r="I398" i="3"/>
  <c r="J398" i="3" s="1"/>
  <c r="H398" i="3"/>
  <c r="M398" i="3"/>
  <c r="N398" i="3" s="1"/>
  <c r="L398" i="3"/>
  <c r="Q398" i="3"/>
  <c r="R398" i="3" s="1"/>
  <c r="P398" i="3"/>
  <c r="U398" i="3"/>
  <c r="V398" i="3" s="1"/>
  <c r="T398" i="3"/>
  <c r="Y398" i="3"/>
  <c r="Z398" i="3" s="1"/>
  <c r="X398" i="3"/>
  <c r="AC398" i="3"/>
  <c r="AD398" i="3" s="1"/>
  <c r="AB398" i="3"/>
  <c r="AG398" i="3"/>
  <c r="AH398" i="3" s="1"/>
  <c r="AF398" i="3"/>
  <c r="B400" i="3"/>
  <c r="AE399" i="3"/>
  <c r="AA399" i="3"/>
  <c r="W399" i="3"/>
  <c r="S399" i="3"/>
  <c r="O399" i="3"/>
  <c r="K399" i="3"/>
  <c r="G399" i="3"/>
  <c r="C399" i="3"/>
  <c r="E399" i="3" l="1"/>
  <c r="F399" i="3" s="1"/>
  <c r="D399" i="3"/>
  <c r="I399" i="3"/>
  <c r="J399" i="3" s="1"/>
  <c r="H399" i="3"/>
  <c r="M399" i="3"/>
  <c r="N399" i="3" s="1"/>
  <c r="L399" i="3"/>
  <c r="Q399" i="3"/>
  <c r="R399" i="3" s="1"/>
  <c r="P399" i="3"/>
  <c r="U399" i="3"/>
  <c r="V399" i="3" s="1"/>
  <c r="T399" i="3"/>
  <c r="Y399" i="3"/>
  <c r="Z399" i="3" s="1"/>
  <c r="X399" i="3"/>
  <c r="AC399" i="3"/>
  <c r="AD399" i="3" s="1"/>
  <c r="AB399" i="3"/>
  <c r="AG399" i="3"/>
  <c r="AH399" i="3" s="1"/>
  <c r="AF399" i="3"/>
  <c r="B401" i="3"/>
  <c r="AE400" i="3"/>
  <c r="AA400" i="3"/>
  <c r="W400" i="3"/>
  <c r="S400" i="3"/>
  <c r="O400" i="3"/>
  <c r="K400" i="3"/>
  <c r="G400" i="3"/>
  <c r="C400" i="3"/>
  <c r="E400" i="3" l="1"/>
  <c r="F400" i="3" s="1"/>
  <c r="D400" i="3"/>
  <c r="I400" i="3"/>
  <c r="J400" i="3" s="1"/>
  <c r="H400" i="3"/>
  <c r="M400" i="3"/>
  <c r="N400" i="3" s="1"/>
  <c r="L400" i="3"/>
  <c r="Q400" i="3"/>
  <c r="R400" i="3" s="1"/>
  <c r="P400" i="3"/>
  <c r="U400" i="3"/>
  <c r="V400" i="3" s="1"/>
  <c r="T400" i="3"/>
  <c r="Y400" i="3"/>
  <c r="Z400" i="3" s="1"/>
  <c r="X400" i="3"/>
  <c r="AC400" i="3"/>
  <c r="AD400" i="3" s="1"/>
  <c r="AB400" i="3"/>
  <c r="AG400" i="3"/>
  <c r="AH400" i="3" s="1"/>
  <c r="AF400" i="3"/>
  <c r="B402" i="3"/>
  <c r="AE401" i="3"/>
  <c r="AA401" i="3"/>
  <c r="W401" i="3"/>
  <c r="S401" i="3"/>
  <c r="O401" i="3"/>
  <c r="K401" i="3"/>
  <c r="G401" i="3"/>
  <c r="C401" i="3"/>
  <c r="E401" i="3" l="1"/>
  <c r="F401" i="3" s="1"/>
  <c r="D401" i="3"/>
  <c r="I401" i="3"/>
  <c r="J401" i="3" s="1"/>
  <c r="H401" i="3"/>
  <c r="M401" i="3"/>
  <c r="N401" i="3" s="1"/>
  <c r="L401" i="3"/>
  <c r="Q401" i="3"/>
  <c r="R401" i="3" s="1"/>
  <c r="P401" i="3"/>
  <c r="U401" i="3"/>
  <c r="V401" i="3" s="1"/>
  <c r="T401" i="3"/>
  <c r="Y401" i="3"/>
  <c r="Z401" i="3" s="1"/>
  <c r="X401" i="3"/>
  <c r="AC401" i="3"/>
  <c r="AD401" i="3" s="1"/>
  <c r="AB401" i="3"/>
  <c r="AG401" i="3"/>
  <c r="AH401" i="3" s="1"/>
  <c r="AF401" i="3"/>
  <c r="B403" i="3"/>
  <c r="AE402" i="3"/>
  <c r="AA402" i="3"/>
  <c r="W402" i="3"/>
  <c r="S402" i="3"/>
  <c r="O402" i="3"/>
  <c r="K402" i="3"/>
  <c r="G402" i="3"/>
  <c r="C402" i="3"/>
  <c r="E402" i="3" l="1"/>
  <c r="F402" i="3" s="1"/>
  <c r="D402" i="3"/>
  <c r="I402" i="3"/>
  <c r="J402" i="3" s="1"/>
  <c r="H402" i="3"/>
  <c r="M402" i="3"/>
  <c r="N402" i="3" s="1"/>
  <c r="L402" i="3"/>
  <c r="Q402" i="3"/>
  <c r="R402" i="3" s="1"/>
  <c r="P402" i="3"/>
  <c r="U402" i="3"/>
  <c r="V402" i="3" s="1"/>
  <c r="T402" i="3"/>
  <c r="Y402" i="3"/>
  <c r="Z402" i="3" s="1"/>
  <c r="X402" i="3"/>
  <c r="AC402" i="3"/>
  <c r="AD402" i="3" s="1"/>
  <c r="AB402" i="3"/>
  <c r="AG402" i="3"/>
  <c r="AH402" i="3" s="1"/>
  <c r="AF402" i="3"/>
  <c r="B404" i="3"/>
  <c r="AE403" i="3"/>
  <c r="AA403" i="3"/>
  <c r="W403" i="3"/>
  <c r="S403" i="3"/>
  <c r="O403" i="3"/>
  <c r="K403" i="3"/>
  <c r="G403" i="3"/>
  <c r="C403" i="3"/>
  <c r="E403" i="3" l="1"/>
  <c r="F403" i="3" s="1"/>
  <c r="D403" i="3"/>
  <c r="I403" i="3"/>
  <c r="J403" i="3" s="1"/>
  <c r="H403" i="3"/>
  <c r="M403" i="3"/>
  <c r="N403" i="3" s="1"/>
  <c r="L403" i="3"/>
  <c r="Q403" i="3"/>
  <c r="R403" i="3" s="1"/>
  <c r="P403" i="3"/>
  <c r="U403" i="3"/>
  <c r="V403" i="3" s="1"/>
  <c r="T403" i="3"/>
  <c r="Y403" i="3"/>
  <c r="Z403" i="3" s="1"/>
  <c r="X403" i="3"/>
  <c r="AC403" i="3"/>
  <c r="AD403" i="3" s="1"/>
  <c r="AB403" i="3"/>
  <c r="AG403" i="3"/>
  <c r="AH403" i="3" s="1"/>
  <c r="AF403" i="3"/>
  <c r="B405" i="3"/>
  <c r="AE404" i="3"/>
  <c r="AA404" i="3"/>
  <c r="W404" i="3"/>
  <c r="S404" i="3"/>
  <c r="O404" i="3"/>
  <c r="K404" i="3"/>
  <c r="G404" i="3"/>
  <c r="C404" i="3"/>
  <c r="E404" i="3" l="1"/>
  <c r="F404" i="3" s="1"/>
  <c r="D404" i="3"/>
  <c r="I404" i="3"/>
  <c r="J404" i="3" s="1"/>
  <c r="H404" i="3"/>
  <c r="M404" i="3"/>
  <c r="N404" i="3" s="1"/>
  <c r="L404" i="3"/>
  <c r="Q404" i="3"/>
  <c r="R404" i="3" s="1"/>
  <c r="P404" i="3"/>
  <c r="U404" i="3"/>
  <c r="V404" i="3" s="1"/>
  <c r="T404" i="3"/>
  <c r="Y404" i="3"/>
  <c r="Z404" i="3" s="1"/>
  <c r="X404" i="3"/>
  <c r="AC404" i="3"/>
  <c r="AD404" i="3" s="1"/>
  <c r="AB404" i="3"/>
  <c r="AG404" i="3"/>
  <c r="AH404" i="3" s="1"/>
  <c r="AF404" i="3"/>
  <c r="B406" i="3"/>
  <c r="AE405" i="3"/>
  <c r="AA405" i="3"/>
  <c r="W405" i="3"/>
  <c r="S405" i="3"/>
  <c r="O405" i="3"/>
  <c r="K405" i="3"/>
  <c r="G405" i="3"/>
  <c r="C405" i="3"/>
  <c r="E405" i="3" l="1"/>
  <c r="F405" i="3" s="1"/>
  <c r="D405" i="3"/>
  <c r="I405" i="3"/>
  <c r="J405" i="3" s="1"/>
  <c r="H405" i="3"/>
  <c r="M405" i="3"/>
  <c r="N405" i="3" s="1"/>
  <c r="L405" i="3"/>
  <c r="Q405" i="3"/>
  <c r="R405" i="3" s="1"/>
  <c r="P405" i="3"/>
  <c r="U405" i="3"/>
  <c r="V405" i="3" s="1"/>
  <c r="T405" i="3"/>
  <c r="Y405" i="3"/>
  <c r="Z405" i="3" s="1"/>
  <c r="X405" i="3"/>
  <c r="AC405" i="3"/>
  <c r="AD405" i="3" s="1"/>
  <c r="AB405" i="3"/>
  <c r="AG405" i="3"/>
  <c r="AH405" i="3" s="1"/>
  <c r="AF405" i="3"/>
  <c r="B407" i="3"/>
  <c r="AE406" i="3"/>
  <c r="AA406" i="3"/>
  <c r="W406" i="3"/>
  <c r="S406" i="3"/>
  <c r="O406" i="3"/>
  <c r="K406" i="3"/>
  <c r="G406" i="3"/>
  <c r="C406" i="3"/>
  <c r="E406" i="3" l="1"/>
  <c r="F406" i="3" s="1"/>
  <c r="D406" i="3"/>
  <c r="I406" i="3"/>
  <c r="J406" i="3" s="1"/>
  <c r="H406" i="3"/>
  <c r="M406" i="3"/>
  <c r="N406" i="3" s="1"/>
  <c r="L406" i="3"/>
  <c r="Q406" i="3"/>
  <c r="R406" i="3" s="1"/>
  <c r="P406" i="3"/>
  <c r="U406" i="3"/>
  <c r="V406" i="3" s="1"/>
  <c r="T406" i="3"/>
  <c r="Y406" i="3"/>
  <c r="Z406" i="3" s="1"/>
  <c r="X406" i="3"/>
  <c r="AC406" i="3"/>
  <c r="AD406" i="3" s="1"/>
  <c r="AB406" i="3"/>
  <c r="AG406" i="3"/>
  <c r="AH406" i="3" s="1"/>
  <c r="AF406" i="3"/>
  <c r="B408" i="3"/>
  <c r="AE407" i="3"/>
  <c r="AA407" i="3"/>
  <c r="W407" i="3"/>
  <c r="S407" i="3"/>
  <c r="O407" i="3"/>
  <c r="K407" i="3"/>
  <c r="G407" i="3"/>
  <c r="C407" i="3"/>
  <c r="E407" i="3" l="1"/>
  <c r="F407" i="3" s="1"/>
  <c r="D407" i="3"/>
  <c r="I407" i="3"/>
  <c r="J407" i="3" s="1"/>
  <c r="H407" i="3"/>
  <c r="M407" i="3"/>
  <c r="N407" i="3" s="1"/>
  <c r="L407" i="3"/>
  <c r="Q407" i="3"/>
  <c r="R407" i="3" s="1"/>
  <c r="P407" i="3"/>
  <c r="U407" i="3"/>
  <c r="V407" i="3" s="1"/>
  <c r="T407" i="3"/>
  <c r="Y407" i="3"/>
  <c r="Z407" i="3" s="1"/>
  <c r="X407" i="3"/>
  <c r="AC407" i="3"/>
  <c r="AD407" i="3" s="1"/>
  <c r="AB407" i="3"/>
  <c r="AG407" i="3"/>
  <c r="AH407" i="3" s="1"/>
  <c r="AF407" i="3"/>
  <c r="B409" i="3"/>
  <c r="AE408" i="3"/>
  <c r="AA408" i="3"/>
  <c r="W408" i="3"/>
  <c r="S408" i="3"/>
  <c r="O408" i="3"/>
  <c r="K408" i="3"/>
  <c r="G408" i="3"/>
  <c r="C408" i="3"/>
  <c r="E408" i="3" l="1"/>
  <c r="F408" i="3" s="1"/>
  <c r="D408" i="3"/>
  <c r="I408" i="3"/>
  <c r="J408" i="3" s="1"/>
  <c r="H408" i="3"/>
  <c r="M408" i="3"/>
  <c r="N408" i="3" s="1"/>
  <c r="L408" i="3"/>
  <c r="Q408" i="3"/>
  <c r="R408" i="3" s="1"/>
  <c r="P408" i="3"/>
  <c r="U408" i="3"/>
  <c r="V408" i="3" s="1"/>
  <c r="T408" i="3"/>
  <c r="Y408" i="3"/>
  <c r="Z408" i="3" s="1"/>
  <c r="X408" i="3"/>
  <c r="AC408" i="3"/>
  <c r="AD408" i="3" s="1"/>
  <c r="AB408" i="3"/>
  <c r="AG408" i="3"/>
  <c r="AH408" i="3" s="1"/>
  <c r="AF408" i="3"/>
  <c r="B410" i="3"/>
  <c r="AE409" i="3"/>
  <c r="AA409" i="3"/>
  <c r="W409" i="3"/>
  <c r="S409" i="3"/>
  <c r="O409" i="3"/>
  <c r="K409" i="3"/>
  <c r="G409" i="3"/>
  <c r="C409" i="3"/>
  <c r="E409" i="3" l="1"/>
  <c r="F409" i="3" s="1"/>
  <c r="D409" i="3"/>
  <c r="I409" i="3"/>
  <c r="J409" i="3" s="1"/>
  <c r="H409" i="3"/>
  <c r="M409" i="3"/>
  <c r="N409" i="3" s="1"/>
  <c r="L409" i="3"/>
  <c r="Q409" i="3"/>
  <c r="R409" i="3" s="1"/>
  <c r="P409" i="3"/>
  <c r="U409" i="3"/>
  <c r="V409" i="3" s="1"/>
  <c r="T409" i="3"/>
  <c r="Y409" i="3"/>
  <c r="Z409" i="3" s="1"/>
  <c r="X409" i="3"/>
  <c r="AC409" i="3"/>
  <c r="AD409" i="3" s="1"/>
  <c r="AB409" i="3"/>
  <c r="AG409" i="3"/>
  <c r="AH409" i="3" s="1"/>
  <c r="AF409" i="3"/>
  <c r="B411" i="3"/>
  <c r="AE410" i="3"/>
  <c r="AA410" i="3"/>
  <c r="W410" i="3"/>
  <c r="S410" i="3"/>
  <c r="O410" i="3"/>
  <c r="K410" i="3"/>
  <c r="G410" i="3"/>
  <c r="C410" i="3"/>
  <c r="E410" i="3" l="1"/>
  <c r="F410" i="3" s="1"/>
  <c r="D410" i="3"/>
  <c r="I410" i="3"/>
  <c r="J410" i="3" s="1"/>
  <c r="H410" i="3"/>
  <c r="M410" i="3"/>
  <c r="N410" i="3" s="1"/>
  <c r="L410" i="3"/>
  <c r="Q410" i="3"/>
  <c r="R410" i="3" s="1"/>
  <c r="P410" i="3"/>
  <c r="U410" i="3"/>
  <c r="V410" i="3" s="1"/>
  <c r="T410" i="3"/>
  <c r="Y410" i="3"/>
  <c r="Z410" i="3" s="1"/>
  <c r="X410" i="3"/>
  <c r="AC410" i="3"/>
  <c r="AD410" i="3" s="1"/>
  <c r="AB410" i="3"/>
  <c r="AG410" i="3"/>
  <c r="AH410" i="3" s="1"/>
  <c r="AF410" i="3"/>
  <c r="B412" i="3"/>
  <c r="AE411" i="3"/>
  <c r="AA411" i="3"/>
  <c r="W411" i="3"/>
  <c r="S411" i="3"/>
  <c r="O411" i="3"/>
  <c r="K411" i="3"/>
  <c r="G411" i="3"/>
  <c r="C411" i="3"/>
  <c r="E411" i="3" l="1"/>
  <c r="F411" i="3" s="1"/>
  <c r="D411" i="3"/>
  <c r="I411" i="3"/>
  <c r="J411" i="3" s="1"/>
  <c r="H411" i="3"/>
  <c r="M411" i="3"/>
  <c r="N411" i="3" s="1"/>
  <c r="L411" i="3"/>
  <c r="Q411" i="3"/>
  <c r="R411" i="3" s="1"/>
  <c r="P411" i="3"/>
  <c r="U411" i="3"/>
  <c r="V411" i="3" s="1"/>
  <c r="T411" i="3"/>
  <c r="Y411" i="3"/>
  <c r="Z411" i="3" s="1"/>
  <c r="X411" i="3"/>
  <c r="AC411" i="3"/>
  <c r="AD411" i="3" s="1"/>
  <c r="AB411" i="3"/>
  <c r="AG411" i="3"/>
  <c r="AH411" i="3" s="1"/>
  <c r="AF411" i="3"/>
  <c r="B413" i="3"/>
  <c r="AE412" i="3"/>
  <c r="AA412" i="3"/>
  <c r="W412" i="3"/>
  <c r="S412" i="3"/>
  <c r="O412" i="3"/>
  <c r="K412" i="3"/>
  <c r="G412" i="3"/>
  <c r="C412" i="3"/>
  <c r="E412" i="3" l="1"/>
  <c r="F412" i="3" s="1"/>
  <c r="D412" i="3"/>
  <c r="I412" i="3"/>
  <c r="J412" i="3" s="1"/>
  <c r="H412" i="3"/>
  <c r="M412" i="3"/>
  <c r="N412" i="3" s="1"/>
  <c r="L412" i="3"/>
  <c r="Q412" i="3"/>
  <c r="R412" i="3" s="1"/>
  <c r="P412" i="3"/>
  <c r="U412" i="3"/>
  <c r="V412" i="3" s="1"/>
  <c r="T412" i="3"/>
  <c r="Y412" i="3"/>
  <c r="Z412" i="3" s="1"/>
  <c r="X412" i="3"/>
  <c r="AC412" i="3"/>
  <c r="AD412" i="3" s="1"/>
  <c r="AB412" i="3"/>
  <c r="AG412" i="3"/>
  <c r="AH412" i="3" s="1"/>
  <c r="AF412" i="3"/>
  <c r="B414" i="3"/>
  <c r="AE413" i="3"/>
  <c r="AA413" i="3"/>
  <c r="W413" i="3"/>
  <c r="S413" i="3"/>
  <c r="O413" i="3"/>
  <c r="K413" i="3"/>
  <c r="G413" i="3"/>
  <c r="C413" i="3"/>
  <c r="E413" i="3" l="1"/>
  <c r="F413" i="3" s="1"/>
  <c r="D413" i="3"/>
  <c r="I413" i="3"/>
  <c r="J413" i="3" s="1"/>
  <c r="H413" i="3"/>
  <c r="M413" i="3"/>
  <c r="N413" i="3" s="1"/>
  <c r="L413" i="3"/>
  <c r="Q413" i="3"/>
  <c r="R413" i="3" s="1"/>
  <c r="P413" i="3"/>
  <c r="U413" i="3"/>
  <c r="V413" i="3" s="1"/>
  <c r="T413" i="3"/>
  <c r="Y413" i="3"/>
  <c r="Z413" i="3" s="1"/>
  <c r="X413" i="3"/>
  <c r="AC413" i="3"/>
  <c r="AD413" i="3" s="1"/>
  <c r="AB413" i="3"/>
  <c r="AG413" i="3"/>
  <c r="AH413" i="3" s="1"/>
  <c r="AF413" i="3"/>
  <c r="B415" i="3"/>
  <c r="AE414" i="3"/>
  <c r="AA414" i="3"/>
  <c r="W414" i="3"/>
  <c r="S414" i="3"/>
  <c r="O414" i="3"/>
  <c r="K414" i="3"/>
  <c r="G414" i="3"/>
  <c r="C414" i="3"/>
  <c r="E414" i="3" l="1"/>
  <c r="F414" i="3" s="1"/>
  <c r="D414" i="3"/>
  <c r="I414" i="3"/>
  <c r="J414" i="3" s="1"/>
  <c r="H414" i="3"/>
  <c r="M414" i="3"/>
  <c r="N414" i="3" s="1"/>
  <c r="L414" i="3"/>
  <c r="Q414" i="3"/>
  <c r="R414" i="3" s="1"/>
  <c r="P414" i="3"/>
  <c r="U414" i="3"/>
  <c r="V414" i="3" s="1"/>
  <c r="T414" i="3"/>
  <c r="Y414" i="3"/>
  <c r="Z414" i="3" s="1"/>
  <c r="X414" i="3"/>
  <c r="AC414" i="3"/>
  <c r="AD414" i="3" s="1"/>
  <c r="AB414" i="3"/>
  <c r="AG414" i="3"/>
  <c r="AH414" i="3" s="1"/>
  <c r="AF414" i="3"/>
  <c r="B416" i="3"/>
  <c r="AE415" i="3"/>
  <c r="AA415" i="3"/>
  <c r="W415" i="3"/>
  <c r="S415" i="3"/>
  <c r="O415" i="3"/>
  <c r="K415" i="3"/>
  <c r="G415" i="3"/>
  <c r="C415" i="3"/>
  <c r="E415" i="3" l="1"/>
  <c r="F415" i="3" s="1"/>
  <c r="D415" i="3"/>
  <c r="I415" i="3"/>
  <c r="J415" i="3" s="1"/>
  <c r="H415" i="3"/>
  <c r="M415" i="3"/>
  <c r="N415" i="3" s="1"/>
  <c r="L415" i="3"/>
  <c r="Q415" i="3"/>
  <c r="R415" i="3" s="1"/>
  <c r="P415" i="3"/>
  <c r="U415" i="3"/>
  <c r="V415" i="3" s="1"/>
  <c r="T415" i="3"/>
  <c r="Y415" i="3"/>
  <c r="Z415" i="3" s="1"/>
  <c r="X415" i="3"/>
  <c r="AC415" i="3"/>
  <c r="AD415" i="3" s="1"/>
  <c r="AB415" i="3"/>
  <c r="AG415" i="3"/>
  <c r="AH415" i="3" s="1"/>
  <c r="AF415" i="3"/>
  <c r="B417" i="3"/>
  <c r="AE416" i="3"/>
  <c r="AA416" i="3"/>
  <c r="W416" i="3"/>
  <c r="S416" i="3"/>
  <c r="O416" i="3"/>
  <c r="K416" i="3"/>
  <c r="G416" i="3"/>
  <c r="C416" i="3"/>
  <c r="E416" i="3" l="1"/>
  <c r="F416" i="3" s="1"/>
  <c r="D416" i="3"/>
  <c r="I416" i="3"/>
  <c r="J416" i="3" s="1"/>
  <c r="H416" i="3"/>
  <c r="M416" i="3"/>
  <c r="N416" i="3" s="1"/>
  <c r="L416" i="3"/>
  <c r="Q416" i="3"/>
  <c r="R416" i="3" s="1"/>
  <c r="P416" i="3"/>
  <c r="U416" i="3"/>
  <c r="V416" i="3" s="1"/>
  <c r="T416" i="3"/>
  <c r="Y416" i="3"/>
  <c r="Z416" i="3" s="1"/>
  <c r="X416" i="3"/>
  <c r="AC416" i="3"/>
  <c r="AD416" i="3" s="1"/>
  <c r="AB416" i="3"/>
  <c r="AG416" i="3"/>
  <c r="AH416" i="3" s="1"/>
  <c r="AF416" i="3"/>
  <c r="B418" i="3"/>
  <c r="AE417" i="3"/>
  <c r="AA417" i="3"/>
  <c r="W417" i="3"/>
  <c r="S417" i="3"/>
  <c r="O417" i="3"/>
  <c r="K417" i="3"/>
  <c r="G417" i="3"/>
  <c r="C417" i="3"/>
  <c r="E417" i="3" l="1"/>
  <c r="F417" i="3" s="1"/>
  <c r="D417" i="3"/>
  <c r="I417" i="3"/>
  <c r="J417" i="3" s="1"/>
  <c r="H417" i="3"/>
  <c r="M417" i="3"/>
  <c r="N417" i="3" s="1"/>
  <c r="L417" i="3"/>
  <c r="Q417" i="3"/>
  <c r="R417" i="3" s="1"/>
  <c r="P417" i="3"/>
  <c r="U417" i="3"/>
  <c r="V417" i="3" s="1"/>
  <c r="T417" i="3"/>
  <c r="Y417" i="3"/>
  <c r="Z417" i="3" s="1"/>
  <c r="X417" i="3"/>
  <c r="AC417" i="3"/>
  <c r="AD417" i="3" s="1"/>
  <c r="AB417" i="3"/>
  <c r="AG417" i="3"/>
  <c r="AH417" i="3" s="1"/>
  <c r="AF417" i="3"/>
  <c r="B419" i="3"/>
  <c r="AE418" i="3"/>
  <c r="AA418" i="3"/>
  <c r="W418" i="3"/>
  <c r="S418" i="3"/>
  <c r="O418" i="3"/>
  <c r="K418" i="3"/>
  <c r="G418" i="3"/>
  <c r="C418" i="3"/>
  <c r="E418" i="3" l="1"/>
  <c r="F418" i="3" s="1"/>
  <c r="D418" i="3"/>
  <c r="I418" i="3"/>
  <c r="J418" i="3" s="1"/>
  <c r="H418" i="3"/>
  <c r="M418" i="3"/>
  <c r="N418" i="3" s="1"/>
  <c r="L418" i="3"/>
  <c r="Q418" i="3"/>
  <c r="R418" i="3" s="1"/>
  <c r="P418" i="3"/>
  <c r="U418" i="3"/>
  <c r="V418" i="3" s="1"/>
  <c r="T418" i="3"/>
  <c r="Y418" i="3"/>
  <c r="Z418" i="3" s="1"/>
  <c r="X418" i="3"/>
  <c r="AC418" i="3"/>
  <c r="AD418" i="3" s="1"/>
  <c r="AB418" i="3"/>
  <c r="AG418" i="3"/>
  <c r="AH418" i="3" s="1"/>
  <c r="AF418" i="3"/>
  <c r="B420" i="3"/>
  <c r="AE419" i="3"/>
  <c r="AA419" i="3"/>
  <c r="W419" i="3"/>
  <c r="S419" i="3"/>
  <c r="O419" i="3"/>
  <c r="K419" i="3"/>
  <c r="G419" i="3"/>
  <c r="C419" i="3"/>
  <c r="E419" i="3" l="1"/>
  <c r="F419" i="3" s="1"/>
  <c r="D419" i="3"/>
  <c r="I419" i="3"/>
  <c r="J419" i="3" s="1"/>
  <c r="H419" i="3"/>
  <c r="M419" i="3"/>
  <c r="N419" i="3" s="1"/>
  <c r="L419" i="3"/>
  <c r="Q419" i="3"/>
  <c r="R419" i="3" s="1"/>
  <c r="P419" i="3"/>
  <c r="U419" i="3"/>
  <c r="V419" i="3" s="1"/>
  <c r="T419" i="3"/>
  <c r="Y419" i="3"/>
  <c r="Z419" i="3" s="1"/>
  <c r="X419" i="3"/>
  <c r="AC419" i="3"/>
  <c r="AD419" i="3" s="1"/>
  <c r="AB419" i="3"/>
  <c r="AG419" i="3"/>
  <c r="AH419" i="3" s="1"/>
  <c r="AF419" i="3"/>
  <c r="B421" i="3"/>
  <c r="AE420" i="3"/>
  <c r="AA420" i="3"/>
  <c r="W420" i="3"/>
  <c r="S420" i="3"/>
  <c r="O420" i="3"/>
  <c r="K420" i="3"/>
  <c r="G420" i="3"/>
  <c r="C420" i="3"/>
  <c r="E420" i="3" l="1"/>
  <c r="F420" i="3" s="1"/>
  <c r="D420" i="3"/>
  <c r="I420" i="3"/>
  <c r="J420" i="3" s="1"/>
  <c r="H420" i="3"/>
  <c r="M420" i="3"/>
  <c r="N420" i="3" s="1"/>
  <c r="L420" i="3"/>
  <c r="Q420" i="3"/>
  <c r="R420" i="3" s="1"/>
  <c r="P420" i="3"/>
  <c r="U420" i="3"/>
  <c r="V420" i="3" s="1"/>
  <c r="T420" i="3"/>
  <c r="Y420" i="3"/>
  <c r="Z420" i="3" s="1"/>
  <c r="X420" i="3"/>
  <c r="AC420" i="3"/>
  <c r="AD420" i="3" s="1"/>
  <c r="AB420" i="3"/>
  <c r="AG420" i="3"/>
  <c r="AH420" i="3" s="1"/>
  <c r="AF420" i="3"/>
  <c r="B422" i="3"/>
  <c r="AE421" i="3"/>
  <c r="AA421" i="3"/>
  <c r="W421" i="3"/>
  <c r="S421" i="3"/>
  <c r="O421" i="3"/>
  <c r="K421" i="3"/>
  <c r="G421" i="3"/>
  <c r="C421" i="3"/>
  <c r="E421" i="3" l="1"/>
  <c r="F421" i="3" s="1"/>
  <c r="D421" i="3"/>
  <c r="I421" i="3"/>
  <c r="J421" i="3" s="1"/>
  <c r="H421" i="3"/>
  <c r="M421" i="3"/>
  <c r="N421" i="3" s="1"/>
  <c r="L421" i="3"/>
  <c r="Q421" i="3"/>
  <c r="R421" i="3" s="1"/>
  <c r="P421" i="3"/>
  <c r="U421" i="3"/>
  <c r="V421" i="3" s="1"/>
  <c r="T421" i="3"/>
  <c r="Y421" i="3"/>
  <c r="Z421" i="3" s="1"/>
  <c r="X421" i="3"/>
  <c r="AC421" i="3"/>
  <c r="AD421" i="3" s="1"/>
  <c r="AB421" i="3"/>
  <c r="AG421" i="3"/>
  <c r="AH421" i="3" s="1"/>
  <c r="AF421" i="3"/>
  <c r="B423" i="3"/>
  <c r="AE422" i="3"/>
  <c r="AA422" i="3"/>
  <c r="W422" i="3"/>
  <c r="S422" i="3"/>
  <c r="O422" i="3"/>
  <c r="K422" i="3"/>
  <c r="G422" i="3"/>
  <c r="C422" i="3"/>
  <c r="E422" i="3" l="1"/>
  <c r="F422" i="3" s="1"/>
  <c r="D422" i="3"/>
  <c r="I422" i="3"/>
  <c r="J422" i="3" s="1"/>
  <c r="H422" i="3"/>
  <c r="M422" i="3"/>
  <c r="N422" i="3" s="1"/>
  <c r="L422" i="3"/>
  <c r="Q422" i="3"/>
  <c r="R422" i="3" s="1"/>
  <c r="P422" i="3"/>
  <c r="U422" i="3"/>
  <c r="V422" i="3" s="1"/>
  <c r="T422" i="3"/>
  <c r="Y422" i="3"/>
  <c r="Z422" i="3" s="1"/>
  <c r="X422" i="3"/>
  <c r="AC422" i="3"/>
  <c r="AD422" i="3" s="1"/>
  <c r="AB422" i="3"/>
  <c r="AG422" i="3"/>
  <c r="AH422" i="3" s="1"/>
  <c r="AF422" i="3"/>
  <c r="B424" i="3"/>
  <c r="AE423" i="3"/>
  <c r="AA423" i="3"/>
  <c r="W423" i="3"/>
  <c r="S423" i="3"/>
  <c r="O423" i="3"/>
  <c r="K423" i="3"/>
  <c r="G423" i="3"/>
  <c r="C423" i="3"/>
  <c r="E423" i="3" l="1"/>
  <c r="F423" i="3" s="1"/>
  <c r="D423" i="3"/>
  <c r="I423" i="3"/>
  <c r="J423" i="3" s="1"/>
  <c r="H423" i="3"/>
  <c r="M423" i="3"/>
  <c r="N423" i="3" s="1"/>
  <c r="L423" i="3"/>
  <c r="Q423" i="3"/>
  <c r="R423" i="3" s="1"/>
  <c r="P423" i="3"/>
  <c r="U423" i="3"/>
  <c r="V423" i="3" s="1"/>
  <c r="T423" i="3"/>
  <c r="Y423" i="3"/>
  <c r="Z423" i="3" s="1"/>
  <c r="X423" i="3"/>
  <c r="AC423" i="3"/>
  <c r="AD423" i="3" s="1"/>
  <c r="AB423" i="3"/>
  <c r="AG423" i="3"/>
  <c r="AH423" i="3" s="1"/>
  <c r="AF423" i="3"/>
  <c r="B425" i="3"/>
  <c r="AE424" i="3"/>
  <c r="AA424" i="3"/>
  <c r="W424" i="3"/>
  <c r="S424" i="3"/>
  <c r="O424" i="3"/>
  <c r="K424" i="3"/>
  <c r="G424" i="3"/>
  <c r="C424" i="3"/>
  <c r="E424" i="3" l="1"/>
  <c r="F424" i="3" s="1"/>
  <c r="D424" i="3"/>
  <c r="I424" i="3"/>
  <c r="J424" i="3" s="1"/>
  <c r="H424" i="3"/>
  <c r="M424" i="3"/>
  <c r="N424" i="3" s="1"/>
  <c r="L424" i="3"/>
  <c r="Q424" i="3"/>
  <c r="R424" i="3" s="1"/>
  <c r="P424" i="3"/>
  <c r="U424" i="3"/>
  <c r="V424" i="3" s="1"/>
  <c r="T424" i="3"/>
  <c r="Y424" i="3"/>
  <c r="Z424" i="3" s="1"/>
  <c r="X424" i="3"/>
  <c r="AC424" i="3"/>
  <c r="AD424" i="3" s="1"/>
  <c r="AB424" i="3"/>
  <c r="AG424" i="3"/>
  <c r="AH424" i="3" s="1"/>
  <c r="AF424" i="3"/>
  <c r="B426" i="3"/>
  <c r="AE425" i="3"/>
  <c r="AA425" i="3"/>
  <c r="W425" i="3"/>
  <c r="S425" i="3"/>
  <c r="O425" i="3"/>
  <c r="K425" i="3"/>
  <c r="G425" i="3"/>
  <c r="C425" i="3"/>
  <c r="E425" i="3" l="1"/>
  <c r="F425" i="3" s="1"/>
  <c r="D425" i="3"/>
  <c r="I425" i="3"/>
  <c r="J425" i="3" s="1"/>
  <c r="H425" i="3"/>
  <c r="M425" i="3"/>
  <c r="N425" i="3" s="1"/>
  <c r="L425" i="3"/>
  <c r="Q425" i="3"/>
  <c r="R425" i="3" s="1"/>
  <c r="P425" i="3"/>
  <c r="U425" i="3"/>
  <c r="V425" i="3" s="1"/>
  <c r="T425" i="3"/>
  <c r="Y425" i="3"/>
  <c r="Z425" i="3" s="1"/>
  <c r="X425" i="3"/>
  <c r="AC425" i="3"/>
  <c r="AD425" i="3" s="1"/>
  <c r="AB425" i="3"/>
  <c r="AG425" i="3"/>
  <c r="AH425" i="3" s="1"/>
  <c r="AF425" i="3"/>
  <c r="B427" i="3"/>
  <c r="AE426" i="3"/>
  <c r="AA426" i="3"/>
  <c r="W426" i="3"/>
  <c r="S426" i="3"/>
  <c r="O426" i="3"/>
  <c r="K426" i="3"/>
  <c r="G426" i="3"/>
  <c r="C426" i="3"/>
  <c r="E426" i="3" l="1"/>
  <c r="F426" i="3" s="1"/>
  <c r="D426" i="3"/>
  <c r="I426" i="3"/>
  <c r="J426" i="3" s="1"/>
  <c r="H426" i="3"/>
  <c r="M426" i="3"/>
  <c r="N426" i="3" s="1"/>
  <c r="L426" i="3"/>
  <c r="Q426" i="3"/>
  <c r="R426" i="3" s="1"/>
  <c r="P426" i="3"/>
  <c r="U426" i="3"/>
  <c r="V426" i="3" s="1"/>
  <c r="T426" i="3"/>
  <c r="Y426" i="3"/>
  <c r="Z426" i="3" s="1"/>
  <c r="X426" i="3"/>
  <c r="AC426" i="3"/>
  <c r="AD426" i="3" s="1"/>
  <c r="AB426" i="3"/>
  <c r="AG426" i="3"/>
  <c r="AH426" i="3" s="1"/>
  <c r="AF426" i="3"/>
  <c r="B428" i="3"/>
  <c r="AE427" i="3"/>
  <c r="AA427" i="3"/>
  <c r="W427" i="3"/>
  <c r="S427" i="3"/>
  <c r="O427" i="3"/>
  <c r="K427" i="3"/>
  <c r="G427" i="3"/>
  <c r="C427" i="3"/>
  <c r="E427" i="3" l="1"/>
  <c r="F427" i="3" s="1"/>
  <c r="D427" i="3"/>
  <c r="I427" i="3"/>
  <c r="J427" i="3" s="1"/>
  <c r="H427" i="3"/>
  <c r="M427" i="3"/>
  <c r="N427" i="3" s="1"/>
  <c r="L427" i="3"/>
  <c r="Q427" i="3"/>
  <c r="R427" i="3" s="1"/>
  <c r="P427" i="3"/>
  <c r="U427" i="3"/>
  <c r="V427" i="3" s="1"/>
  <c r="T427" i="3"/>
  <c r="Y427" i="3"/>
  <c r="Z427" i="3" s="1"/>
  <c r="X427" i="3"/>
  <c r="AC427" i="3"/>
  <c r="AD427" i="3" s="1"/>
  <c r="AB427" i="3"/>
  <c r="AG427" i="3"/>
  <c r="AH427" i="3" s="1"/>
  <c r="AF427" i="3"/>
  <c r="B429" i="3"/>
  <c r="AE428" i="3"/>
  <c r="AA428" i="3"/>
  <c r="W428" i="3"/>
  <c r="S428" i="3"/>
  <c r="O428" i="3"/>
  <c r="K428" i="3"/>
  <c r="G428" i="3"/>
  <c r="C428" i="3"/>
  <c r="E428" i="3" l="1"/>
  <c r="F428" i="3" s="1"/>
  <c r="D428" i="3"/>
  <c r="I428" i="3"/>
  <c r="J428" i="3" s="1"/>
  <c r="H428" i="3"/>
  <c r="M428" i="3"/>
  <c r="N428" i="3" s="1"/>
  <c r="L428" i="3"/>
  <c r="Q428" i="3"/>
  <c r="R428" i="3" s="1"/>
  <c r="P428" i="3"/>
  <c r="U428" i="3"/>
  <c r="V428" i="3" s="1"/>
  <c r="T428" i="3"/>
  <c r="Y428" i="3"/>
  <c r="Z428" i="3" s="1"/>
  <c r="X428" i="3"/>
  <c r="AC428" i="3"/>
  <c r="AD428" i="3" s="1"/>
  <c r="AB428" i="3"/>
  <c r="AG428" i="3"/>
  <c r="AH428" i="3" s="1"/>
  <c r="AF428" i="3"/>
  <c r="B430" i="3"/>
  <c r="AE429" i="3"/>
  <c r="AA429" i="3"/>
  <c r="W429" i="3"/>
  <c r="S429" i="3"/>
  <c r="O429" i="3"/>
  <c r="K429" i="3"/>
  <c r="G429" i="3"/>
  <c r="C429" i="3"/>
  <c r="E429" i="3" l="1"/>
  <c r="F429" i="3" s="1"/>
  <c r="D429" i="3"/>
  <c r="I429" i="3"/>
  <c r="J429" i="3" s="1"/>
  <c r="H429" i="3"/>
  <c r="M429" i="3"/>
  <c r="N429" i="3" s="1"/>
  <c r="L429" i="3"/>
  <c r="Q429" i="3"/>
  <c r="R429" i="3" s="1"/>
  <c r="P429" i="3"/>
  <c r="U429" i="3"/>
  <c r="V429" i="3" s="1"/>
  <c r="T429" i="3"/>
  <c r="Y429" i="3"/>
  <c r="Z429" i="3" s="1"/>
  <c r="X429" i="3"/>
  <c r="AC429" i="3"/>
  <c r="AD429" i="3" s="1"/>
  <c r="AB429" i="3"/>
  <c r="AG429" i="3"/>
  <c r="AH429" i="3" s="1"/>
  <c r="AF429" i="3"/>
  <c r="B431" i="3"/>
  <c r="AE430" i="3"/>
  <c r="AA430" i="3"/>
  <c r="W430" i="3"/>
  <c r="S430" i="3"/>
  <c r="O430" i="3"/>
  <c r="K430" i="3"/>
  <c r="G430" i="3"/>
  <c r="C430" i="3"/>
  <c r="E430" i="3" l="1"/>
  <c r="F430" i="3" s="1"/>
  <c r="D430" i="3"/>
  <c r="I430" i="3"/>
  <c r="J430" i="3" s="1"/>
  <c r="H430" i="3"/>
  <c r="M430" i="3"/>
  <c r="N430" i="3" s="1"/>
  <c r="L430" i="3"/>
  <c r="Q430" i="3"/>
  <c r="R430" i="3" s="1"/>
  <c r="P430" i="3"/>
  <c r="U430" i="3"/>
  <c r="V430" i="3" s="1"/>
  <c r="T430" i="3"/>
  <c r="Y430" i="3"/>
  <c r="Z430" i="3" s="1"/>
  <c r="X430" i="3"/>
  <c r="AC430" i="3"/>
  <c r="AD430" i="3" s="1"/>
  <c r="AB430" i="3"/>
  <c r="AG430" i="3"/>
  <c r="AH430" i="3" s="1"/>
  <c r="AF430" i="3"/>
  <c r="B432" i="3"/>
  <c r="AE431" i="3"/>
  <c r="AA431" i="3"/>
  <c r="W431" i="3"/>
  <c r="S431" i="3"/>
  <c r="O431" i="3"/>
  <c r="K431" i="3"/>
  <c r="G431" i="3"/>
  <c r="C431" i="3"/>
  <c r="E431" i="3" l="1"/>
  <c r="F431" i="3" s="1"/>
  <c r="D431" i="3"/>
  <c r="I431" i="3"/>
  <c r="J431" i="3" s="1"/>
  <c r="H431" i="3"/>
  <c r="M431" i="3"/>
  <c r="N431" i="3" s="1"/>
  <c r="L431" i="3"/>
  <c r="Q431" i="3"/>
  <c r="R431" i="3" s="1"/>
  <c r="P431" i="3"/>
  <c r="U431" i="3"/>
  <c r="V431" i="3" s="1"/>
  <c r="T431" i="3"/>
  <c r="Y431" i="3"/>
  <c r="Z431" i="3" s="1"/>
  <c r="X431" i="3"/>
  <c r="AC431" i="3"/>
  <c r="AD431" i="3" s="1"/>
  <c r="AB431" i="3"/>
  <c r="AG431" i="3"/>
  <c r="AH431" i="3" s="1"/>
  <c r="AF431" i="3"/>
  <c r="B433" i="3"/>
  <c r="AE432" i="3"/>
  <c r="AA432" i="3"/>
  <c r="W432" i="3"/>
  <c r="S432" i="3"/>
  <c r="O432" i="3"/>
  <c r="K432" i="3"/>
  <c r="G432" i="3"/>
  <c r="C432" i="3"/>
  <c r="E432" i="3" l="1"/>
  <c r="F432" i="3" s="1"/>
  <c r="D432" i="3"/>
  <c r="I432" i="3"/>
  <c r="J432" i="3" s="1"/>
  <c r="H432" i="3"/>
  <c r="M432" i="3"/>
  <c r="N432" i="3" s="1"/>
  <c r="L432" i="3"/>
  <c r="Q432" i="3"/>
  <c r="R432" i="3" s="1"/>
  <c r="P432" i="3"/>
  <c r="U432" i="3"/>
  <c r="V432" i="3" s="1"/>
  <c r="T432" i="3"/>
  <c r="Y432" i="3"/>
  <c r="Z432" i="3" s="1"/>
  <c r="X432" i="3"/>
  <c r="AC432" i="3"/>
  <c r="AD432" i="3" s="1"/>
  <c r="AB432" i="3"/>
  <c r="AG432" i="3"/>
  <c r="AH432" i="3" s="1"/>
  <c r="AF432" i="3"/>
  <c r="B434" i="3"/>
  <c r="AE433" i="3"/>
  <c r="AA433" i="3"/>
  <c r="W433" i="3"/>
  <c r="S433" i="3"/>
  <c r="O433" i="3"/>
  <c r="K433" i="3"/>
  <c r="G433" i="3"/>
  <c r="C433" i="3"/>
  <c r="E433" i="3" l="1"/>
  <c r="F433" i="3" s="1"/>
  <c r="D433" i="3"/>
  <c r="I433" i="3"/>
  <c r="J433" i="3" s="1"/>
  <c r="H433" i="3"/>
  <c r="M433" i="3"/>
  <c r="N433" i="3" s="1"/>
  <c r="L433" i="3"/>
  <c r="Q433" i="3"/>
  <c r="R433" i="3" s="1"/>
  <c r="P433" i="3"/>
  <c r="U433" i="3"/>
  <c r="V433" i="3" s="1"/>
  <c r="T433" i="3"/>
  <c r="Y433" i="3"/>
  <c r="Z433" i="3" s="1"/>
  <c r="X433" i="3"/>
  <c r="AC433" i="3"/>
  <c r="AD433" i="3" s="1"/>
  <c r="AB433" i="3"/>
  <c r="AG433" i="3"/>
  <c r="AH433" i="3" s="1"/>
  <c r="AF433" i="3"/>
  <c r="B435" i="3"/>
  <c r="AE434" i="3"/>
  <c r="AA434" i="3"/>
  <c r="W434" i="3"/>
  <c r="S434" i="3"/>
  <c r="O434" i="3"/>
  <c r="K434" i="3"/>
  <c r="G434" i="3"/>
  <c r="C434" i="3"/>
  <c r="E434" i="3" l="1"/>
  <c r="F434" i="3" s="1"/>
  <c r="D434" i="3"/>
  <c r="I434" i="3"/>
  <c r="J434" i="3" s="1"/>
  <c r="H434" i="3"/>
  <c r="M434" i="3"/>
  <c r="N434" i="3" s="1"/>
  <c r="L434" i="3"/>
  <c r="Q434" i="3"/>
  <c r="R434" i="3" s="1"/>
  <c r="P434" i="3"/>
  <c r="U434" i="3"/>
  <c r="V434" i="3" s="1"/>
  <c r="T434" i="3"/>
  <c r="Y434" i="3"/>
  <c r="Z434" i="3" s="1"/>
  <c r="X434" i="3"/>
  <c r="AC434" i="3"/>
  <c r="AD434" i="3" s="1"/>
  <c r="AB434" i="3"/>
  <c r="AG434" i="3"/>
  <c r="AH434" i="3" s="1"/>
  <c r="AF434" i="3"/>
  <c r="B436" i="3"/>
  <c r="AE435" i="3"/>
  <c r="AA435" i="3"/>
  <c r="W435" i="3"/>
  <c r="S435" i="3"/>
  <c r="O435" i="3"/>
  <c r="K435" i="3"/>
  <c r="G435" i="3"/>
  <c r="C435" i="3"/>
  <c r="E435" i="3" l="1"/>
  <c r="F435" i="3" s="1"/>
  <c r="D435" i="3"/>
  <c r="I435" i="3"/>
  <c r="J435" i="3" s="1"/>
  <c r="H435" i="3"/>
  <c r="M435" i="3"/>
  <c r="N435" i="3" s="1"/>
  <c r="L435" i="3"/>
  <c r="Q435" i="3"/>
  <c r="R435" i="3" s="1"/>
  <c r="P435" i="3"/>
  <c r="U435" i="3"/>
  <c r="V435" i="3" s="1"/>
  <c r="T435" i="3"/>
  <c r="Y435" i="3"/>
  <c r="Z435" i="3" s="1"/>
  <c r="X435" i="3"/>
  <c r="AC435" i="3"/>
  <c r="AD435" i="3" s="1"/>
  <c r="AB435" i="3"/>
  <c r="AG435" i="3"/>
  <c r="AH435" i="3" s="1"/>
  <c r="AF435" i="3"/>
  <c r="B437" i="3"/>
  <c r="AE436" i="3"/>
  <c r="AA436" i="3"/>
  <c r="W436" i="3"/>
  <c r="S436" i="3"/>
  <c r="O436" i="3"/>
  <c r="K436" i="3"/>
  <c r="G436" i="3"/>
  <c r="C436" i="3"/>
  <c r="E436" i="3" l="1"/>
  <c r="F436" i="3" s="1"/>
  <c r="D436" i="3"/>
  <c r="I436" i="3"/>
  <c r="J436" i="3" s="1"/>
  <c r="H436" i="3"/>
  <c r="M436" i="3"/>
  <c r="N436" i="3" s="1"/>
  <c r="L436" i="3"/>
  <c r="Q436" i="3"/>
  <c r="R436" i="3" s="1"/>
  <c r="P436" i="3"/>
  <c r="U436" i="3"/>
  <c r="V436" i="3" s="1"/>
  <c r="T436" i="3"/>
  <c r="Y436" i="3"/>
  <c r="Z436" i="3" s="1"/>
  <c r="X436" i="3"/>
  <c r="AC436" i="3"/>
  <c r="AD436" i="3" s="1"/>
  <c r="AB436" i="3"/>
  <c r="AG436" i="3"/>
  <c r="AH436" i="3" s="1"/>
  <c r="AF436" i="3"/>
  <c r="B438" i="3"/>
  <c r="AE437" i="3"/>
  <c r="AA437" i="3"/>
  <c r="W437" i="3"/>
  <c r="S437" i="3"/>
  <c r="O437" i="3"/>
  <c r="K437" i="3"/>
  <c r="G437" i="3"/>
  <c r="C437" i="3"/>
  <c r="E437" i="3" l="1"/>
  <c r="F437" i="3" s="1"/>
  <c r="D437" i="3"/>
  <c r="I437" i="3"/>
  <c r="J437" i="3" s="1"/>
  <c r="H437" i="3"/>
  <c r="M437" i="3"/>
  <c r="N437" i="3" s="1"/>
  <c r="L437" i="3"/>
  <c r="Q437" i="3"/>
  <c r="R437" i="3" s="1"/>
  <c r="P437" i="3"/>
  <c r="U437" i="3"/>
  <c r="V437" i="3" s="1"/>
  <c r="T437" i="3"/>
  <c r="Y437" i="3"/>
  <c r="Z437" i="3" s="1"/>
  <c r="X437" i="3"/>
  <c r="AC437" i="3"/>
  <c r="AD437" i="3" s="1"/>
  <c r="AB437" i="3"/>
  <c r="AG437" i="3"/>
  <c r="AH437" i="3" s="1"/>
  <c r="AF437" i="3"/>
  <c r="B439" i="3"/>
  <c r="AE438" i="3"/>
  <c r="AA438" i="3"/>
  <c r="W438" i="3"/>
  <c r="S438" i="3"/>
  <c r="O438" i="3"/>
  <c r="K438" i="3"/>
  <c r="G438" i="3"/>
  <c r="C438" i="3"/>
  <c r="E438" i="3" l="1"/>
  <c r="F438" i="3" s="1"/>
  <c r="D438" i="3"/>
  <c r="I438" i="3"/>
  <c r="J438" i="3" s="1"/>
  <c r="H438" i="3"/>
  <c r="M438" i="3"/>
  <c r="N438" i="3" s="1"/>
  <c r="L438" i="3"/>
  <c r="Q438" i="3"/>
  <c r="R438" i="3" s="1"/>
  <c r="P438" i="3"/>
  <c r="U438" i="3"/>
  <c r="V438" i="3" s="1"/>
  <c r="T438" i="3"/>
  <c r="Y438" i="3"/>
  <c r="Z438" i="3" s="1"/>
  <c r="X438" i="3"/>
  <c r="AC438" i="3"/>
  <c r="AD438" i="3" s="1"/>
  <c r="AB438" i="3"/>
  <c r="AG438" i="3"/>
  <c r="AH438" i="3" s="1"/>
  <c r="AF438" i="3"/>
  <c r="B440" i="3"/>
  <c r="AE439" i="3"/>
  <c r="AA439" i="3"/>
  <c r="W439" i="3"/>
  <c r="S439" i="3"/>
  <c r="O439" i="3"/>
  <c r="K439" i="3"/>
  <c r="G439" i="3"/>
  <c r="C439" i="3"/>
  <c r="E439" i="3" l="1"/>
  <c r="F439" i="3" s="1"/>
  <c r="D439" i="3"/>
  <c r="I439" i="3"/>
  <c r="J439" i="3" s="1"/>
  <c r="H439" i="3"/>
  <c r="M439" i="3"/>
  <c r="N439" i="3" s="1"/>
  <c r="L439" i="3"/>
  <c r="Q439" i="3"/>
  <c r="R439" i="3" s="1"/>
  <c r="P439" i="3"/>
  <c r="U439" i="3"/>
  <c r="V439" i="3" s="1"/>
  <c r="T439" i="3"/>
  <c r="Y439" i="3"/>
  <c r="Z439" i="3" s="1"/>
  <c r="X439" i="3"/>
  <c r="AC439" i="3"/>
  <c r="AD439" i="3" s="1"/>
  <c r="AB439" i="3"/>
  <c r="AG439" i="3"/>
  <c r="AH439" i="3" s="1"/>
  <c r="AF439" i="3"/>
  <c r="B441" i="3"/>
  <c r="AE440" i="3"/>
  <c r="AA440" i="3"/>
  <c r="W440" i="3"/>
  <c r="S440" i="3"/>
  <c r="O440" i="3"/>
  <c r="K440" i="3"/>
  <c r="G440" i="3"/>
  <c r="C440" i="3"/>
  <c r="E440" i="3" l="1"/>
  <c r="F440" i="3" s="1"/>
  <c r="D440" i="3"/>
  <c r="I440" i="3"/>
  <c r="J440" i="3" s="1"/>
  <c r="H440" i="3"/>
  <c r="M440" i="3"/>
  <c r="N440" i="3" s="1"/>
  <c r="L440" i="3"/>
  <c r="Q440" i="3"/>
  <c r="R440" i="3" s="1"/>
  <c r="P440" i="3"/>
  <c r="U440" i="3"/>
  <c r="V440" i="3" s="1"/>
  <c r="T440" i="3"/>
  <c r="Y440" i="3"/>
  <c r="Z440" i="3" s="1"/>
  <c r="X440" i="3"/>
  <c r="AC440" i="3"/>
  <c r="AD440" i="3" s="1"/>
  <c r="AB440" i="3"/>
  <c r="AG440" i="3"/>
  <c r="AH440" i="3" s="1"/>
  <c r="AF440" i="3"/>
  <c r="B442" i="3"/>
  <c r="AE441" i="3"/>
  <c r="AA441" i="3"/>
  <c r="W441" i="3"/>
  <c r="S441" i="3"/>
  <c r="O441" i="3"/>
  <c r="K441" i="3"/>
  <c r="G441" i="3"/>
  <c r="C441" i="3"/>
  <c r="E441" i="3" l="1"/>
  <c r="F441" i="3" s="1"/>
  <c r="D441" i="3"/>
  <c r="I441" i="3"/>
  <c r="J441" i="3" s="1"/>
  <c r="H441" i="3"/>
  <c r="M441" i="3"/>
  <c r="N441" i="3" s="1"/>
  <c r="L441" i="3"/>
  <c r="Q441" i="3"/>
  <c r="R441" i="3" s="1"/>
  <c r="P441" i="3"/>
  <c r="U441" i="3"/>
  <c r="V441" i="3" s="1"/>
  <c r="T441" i="3"/>
  <c r="Y441" i="3"/>
  <c r="Z441" i="3" s="1"/>
  <c r="X441" i="3"/>
  <c r="AC441" i="3"/>
  <c r="AD441" i="3" s="1"/>
  <c r="AB441" i="3"/>
  <c r="AG441" i="3"/>
  <c r="AH441" i="3" s="1"/>
  <c r="AF441" i="3"/>
  <c r="B443" i="3"/>
  <c r="AE442" i="3"/>
  <c r="AA442" i="3"/>
  <c r="W442" i="3"/>
  <c r="S442" i="3"/>
  <c r="O442" i="3"/>
  <c r="K442" i="3"/>
  <c r="G442" i="3"/>
  <c r="C442" i="3"/>
  <c r="E442" i="3" l="1"/>
  <c r="F442" i="3" s="1"/>
  <c r="D442" i="3"/>
  <c r="I442" i="3"/>
  <c r="J442" i="3" s="1"/>
  <c r="H442" i="3"/>
  <c r="M442" i="3"/>
  <c r="N442" i="3" s="1"/>
  <c r="L442" i="3"/>
  <c r="Q442" i="3"/>
  <c r="R442" i="3" s="1"/>
  <c r="P442" i="3"/>
  <c r="U442" i="3"/>
  <c r="V442" i="3" s="1"/>
  <c r="T442" i="3"/>
  <c r="Y442" i="3"/>
  <c r="Z442" i="3" s="1"/>
  <c r="X442" i="3"/>
  <c r="AC442" i="3"/>
  <c r="AD442" i="3" s="1"/>
  <c r="AB442" i="3"/>
  <c r="AG442" i="3"/>
  <c r="AH442" i="3" s="1"/>
  <c r="AF442" i="3"/>
  <c r="B444" i="3"/>
  <c r="AE443" i="3"/>
  <c r="AA443" i="3"/>
  <c r="W443" i="3"/>
  <c r="S443" i="3"/>
  <c r="O443" i="3"/>
  <c r="K443" i="3"/>
  <c r="G443" i="3"/>
  <c r="C443" i="3"/>
  <c r="E443" i="3" l="1"/>
  <c r="F443" i="3" s="1"/>
  <c r="D443" i="3"/>
  <c r="I443" i="3"/>
  <c r="J443" i="3" s="1"/>
  <c r="H443" i="3"/>
  <c r="M443" i="3"/>
  <c r="N443" i="3" s="1"/>
  <c r="L443" i="3"/>
  <c r="Q443" i="3"/>
  <c r="R443" i="3" s="1"/>
  <c r="P443" i="3"/>
  <c r="U443" i="3"/>
  <c r="V443" i="3" s="1"/>
  <c r="T443" i="3"/>
  <c r="Y443" i="3"/>
  <c r="Z443" i="3" s="1"/>
  <c r="X443" i="3"/>
  <c r="AC443" i="3"/>
  <c r="AD443" i="3" s="1"/>
  <c r="AB443" i="3"/>
  <c r="AG443" i="3"/>
  <c r="AH443" i="3" s="1"/>
  <c r="AF443" i="3"/>
  <c r="B445" i="3"/>
  <c r="AE444" i="3"/>
  <c r="AA444" i="3"/>
  <c r="W444" i="3"/>
  <c r="S444" i="3"/>
  <c r="O444" i="3"/>
  <c r="K444" i="3"/>
  <c r="G444" i="3"/>
  <c r="C444" i="3"/>
  <c r="E444" i="3" l="1"/>
  <c r="F444" i="3" s="1"/>
  <c r="D444" i="3"/>
  <c r="I444" i="3"/>
  <c r="J444" i="3" s="1"/>
  <c r="H444" i="3"/>
  <c r="M444" i="3"/>
  <c r="N444" i="3" s="1"/>
  <c r="L444" i="3"/>
  <c r="Q444" i="3"/>
  <c r="R444" i="3" s="1"/>
  <c r="P444" i="3"/>
  <c r="U444" i="3"/>
  <c r="V444" i="3" s="1"/>
  <c r="T444" i="3"/>
  <c r="Y444" i="3"/>
  <c r="Z444" i="3" s="1"/>
  <c r="X444" i="3"/>
  <c r="AC444" i="3"/>
  <c r="AD444" i="3" s="1"/>
  <c r="AB444" i="3"/>
  <c r="AG444" i="3"/>
  <c r="AH444" i="3" s="1"/>
  <c r="AF444" i="3"/>
  <c r="B446" i="3"/>
  <c r="AE445" i="3"/>
  <c r="AA445" i="3"/>
  <c r="W445" i="3"/>
  <c r="S445" i="3"/>
  <c r="O445" i="3"/>
  <c r="K445" i="3"/>
  <c r="G445" i="3"/>
  <c r="C445" i="3"/>
  <c r="E445" i="3" l="1"/>
  <c r="F445" i="3" s="1"/>
  <c r="D445" i="3"/>
  <c r="I445" i="3"/>
  <c r="J445" i="3" s="1"/>
  <c r="H445" i="3"/>
  <c r="M445" i="3"/>
  <c r="N445" i="3" s="1"/>
  <c r="L445" i="3"/>
  <c r="Q445" i="3"/>
  <c r="R445" i="3" s="1"/>
  <c r="P445" i="3"/>
  <c r="U445" i="3"/>
  <c r="V445" i="3" s="1"/>
  <c r="T445" i="3"/>
  <c r="Y445" i="3"/>
  <c r="Z445" i="3" s="1"/>
  <c r="X445" i="3"/>
  <c r="AC445" i="3"/>
  <c r="AD445" i="3" s="1"/>
  <c r="AB445" i="3"/>
  <c r="AG445" i="3"/>
  <c r="AH445" i="3" s="1"/>
  <c r="AF445" i="3"/>
  <c r="B447" i="3"/>
  <c r="AE446" i="3"/>
  <c r="AA446" i="3"/>
  <c r="W446" i="3"/>
  <c r="S446" i="3"/>
  <c r="O446" i="3"/>
  <c r="K446" i="3"/>
  <c r="G446" i="3"/>
  <c r="C446" i="3"/>
  <c r="E446" i="3" l="1"/>
  <c r="F446" i="3" s="1"/>
  <c r="D446" i="3"/>
  <c r="I446" i="3"/>
  <c r="J446" i="3" s="1"/>
  <c r="H446" i="3"/>
  <c r="M446" i="3"/>
  <c r="N446" i="3" s="1"/>
  <c r="L446" i="3"/>
  <c r="Q446" i="3"/>
  <c r="R446" i="3" s="1"/>
  <c r="P446" i="3"/>
  <c r="U446" i="3"/>
  <c r="V446" i="3" s="1"/>
  <c r="T446" i="3"/>
  <c r="Y446" i="3"/>
  <c r="Z446" i="3" s="1"/>
  <c r="X446" i="3"/>
  <c r="AC446" i="3"/>
  <c r="AD446" i="3" s="1"/>
  <c r="AB446" i="3"/>
  <c r="AG446" i="3"/>
  <c r="AH446" i="3" s="1"/>
  <c r="AF446" i="3"/>
  <c r="B448" i="3"/>
  <c r="AE447" i="3"/>
  <c r="AA447" i="3"/>
  <c r="W447" i="3"/>
  <c r="S447" i="3"/>
  <c r="O447" i="3"/>
  <c r="K447" i="3"/>
  <c r="G447" i="3"/>
  <c r="C447" i="3"/>
  <c r="E447" i="3" l="1"/>
  <c r="F447" i="3" s="1"/>
  <c r="D447" i="3"/>
  <c r="I447" i="3"/>
  <c r="J447" i="3" s="1"/>
  <c r="H447" i="3"/>
  <c r="M447" i="3"/>
  <c r="N447" i="3" s="1"/>
  <c r="L447" i="3"/>
  <c r="Q447" i="3"/>
  <c r="R447" i="3" s="1"/>
  <c r="P447" i="3"/>
  <c r="U447" i="3"/>
  <c r="V447" i="3" s="1"/>
  <c r="T447" i="3"/>
  <c r="Y447" i="3"/>
  <c r="Z447" i="3" s="1"/>
  <c r="X447" i="3"/>
  <c r="AC447" i="3"/>
  <c r="AD447" i="3" s="1"/>
  <c r="AB447" i="3"/>
  <c r="AG447" i="3"/>
  <c r="AH447" i="3" s="1"/>
  <c r="AF447" i="3"/>
  <c r="B449" i="3"/>
  <c r="AE448" i="3"/>
  <c r="AA448" i="3"/>
  <c r="W448" i="3"/>
  <c r="S448" i="3"/>
  <c r="O448" i="3"/>
  <c r="K448" i="3"/>
  <c r="G448" i="3"/>
  <c r="C448" i="3"/>
  <c r="E448" i="3" l="1"/>
  <c r="F448" i="3" s="1"/>
  <c r="D448" i="3"/>
  <c r="I448" i="3"/>
  <c r="J448" i="3" s="1"/>
  <c r="H448" i="3"/>
  <c r="M448" i="3"/>
  <c r="N448" i="3" s="1"/>
  <c r="L448" i="3"/>
  <c r="Q448" i="3"/>
  <c r="R448" i="3" s="1"/>
  <c r="P448" i="3"/>
  <c r="U448" i="3"/>
  <c r="V448" i="3" s="1"/>
  <c r="T448" i="3"/>
  <c r="Y448" i="3"/>
  <c r="Z448" i="3" s="1"/>
  <c r="X448" i="3"/>
  <c r="AC448" i="3"/>
  <c r="AD448" i="3" s="1"/>
  <c r="AB448" i="3"/>
  <c r="AG448" i="3"/>
  <c r="AH448" i="3" s="1"/>
  <c r="AF448" i="3"/>
  <c r="B450" i="3"/>
  <c r="AE449" i="3"/>
  <c r="AA449" i="3"/>
  <c r="W449" i="3"/>
  <c r="S449" i="3"/>
  <c r="O449" i="3"/>
  <c r="K449" i="3"/>
  <c r="G449" i="3"/>
  <c r="C449" i="3"/>
  <c r="E449" i="3" l="1"/>
  <c r="F449" i="3" s="1"/>
  <c r="D449" i="3"/>
  <c r="I449" i="3"/>
  <c r="J449" i="3" s="1"/>
  <c r="H449" i="3"/>
  <c r="M449" i="3"/>
  <c r="N449" i="3" s="1"/>
  <c r="L449" i="3"/>
  <c r="Q449" i="3"/>
  <c r="R449" i="3" s="1"/>
  <c r="P449" i="3"/>
  <c r="U449" i="3"/>
  <c r="V449" i="3" s="1"/>
  <c r="T449" i="3"/>
  <c r="Y449" i="3"/>
  <c r="Z449" i="3" s="1"/>
  <c r="X449" i="3"/>
  <c r="AC449" i="3"/>
  <c r="AD449" i="3" s="1"/>
  <c r="AB449" i="3"/>
  <c r="AG449" i="3"/>
  <c r="AH449" i="3" s="1"/>
  <c r="AF449" i="3"/>
  <c r="B451" i="3"/>
  <c r="AE450" i="3"/>
  <c r="AA450" i="3"/>
  <c r="W450" i="3"/>
  <c r="S450" i="3"/>
  <c r="O450" i="3"/>
  <c r="K450" i="3"/>
  <c r="G450" i="3"/>
  <c r="C450" i="3"/>
  <c r="E450" i="3" l="1"/>
  <c r="F450" i="3" s="1"/>
  <c r="D450" i="3"/>
  <c r="I450" i="3"/>
  <c r="J450" i="3" s="1"/>
  <c r="H450" i="3"/>
  <c r="M450" i="3"/>
  <c r="N450" i="3" s="1"/>
  <c r="L450" i="3"/>
  <c r="Q450" i="3"/>
  <c r="R450" i="3" s="1"/>
  <c r="P450" i="3"/>
  <c r="U450" i="3"/>
  <c r="V450" i="3" s="1"/>
  <c r="T450" i="3"/>
  <c r="Y450" i="3"/>
  <c r="Z450" i="3" s="1"/>
  <c r="X450" i="3"/>
  <c r="AC450" i="3"/>
  <c r="AD450" i="3" s="1"/>
  <c r="AB450" i="3"/>
  <c r="AG450" i="3"/>
  <c r="AH450" i="3" s="1"/>
  <c r="AF450" i="3"/>
  <c r="B452" i="3"/>
  <c r="AE451" i="3"/>
  <c r="AA451" i="3"/>
  <c r="W451" i="3"/>
  <c r="S451" i="3"/>
  <c r="O451" i="3"/>
  <c r="K451" i="3"/>
  <c r="G451" i="3"/>
  <c r="C451" i="3"/>
  <c r="E451" i="3" l="1"/>
  <c r="F451" i="3" s="1"/>
  <c r="D451" i="3"/>
  <c r="I451" i="3"/>
  <c r="J451" i="3" s="1"/>
  <c r="H451" i="3"/>
  <c r="M451" i="3"/>
  <c r="N451" i="3" s="1"/>
  <c r="L451" i="3"/>
  <c r="Q451" i="3"/>
  <c r="R451" i="3" s="1"/>
  <c r="P451" i="3"/>
  <c r="U451" i="3"/>
  <c r="V451" i="3" s="1"/>
  <c r="T451" i="3"/>
  <c r="Y451" i="3"/>
  <c r="Z451" i="3" s="1"/>
  <c r="X451" i="3"/>
  <c r="AC451" i="3"/>
  <c r="AD451" i="3" s="1"/>
  <c r="AB451" i="3"/>
  <c r="AG451" i="3"/>
  <c r="AH451" i="3" s="1"/>
  <c r="AF451" i="3"/>
  <c r="B453" i="3"/>
  <c r="AE452" i="3"/>
  <c r="AA452" i="3"/>
  <c r="W452" i="3"/>
  <c r="S452" i="3"/>
  <c r="O452" i="3"/>
  <c r="K452" i="3"/>
  <c r="G452" i="3"/>
  <c r="C452" i="3"/>
  <c r="E452" i="3" l="1"/>
  <c r="F452" i="3" s="1"/>
  <c r="D452" i="3"/>
  <c r="I452" i="3"/>
  <c r="J452" i="3" s="1"/>
  <c r="H452" i="3"/>
  <c r="M452" i="3"/>
  <c r="N452" i="3" s="1"/>
  <c r="L452" i="3"/>
  <c r="Q452" i="3"/>
  <c r="R452" i="3" s="1"/>
  <c r="P452" i="3"/>
  <c r="U452" i="3"/>
  <c r="V452" i="3" s="1"/>
  <c r="T452" i="3"/>
  <c r="Y452" i="3"/>
  <c r="Z452" i="3" s="1"/>
  <c r="X452" i="3"/>
  <c r="AC452" i="3"/>
  <c r="AD452" i="3" s="1"/>
  <c r="AB452" i="3"/>
  <c r="AG452" i="3"/>
  <c r="AH452" i="3" s="1"/>
  <c r="AF452" i="3"/>
  <c r="B454" i="3"/>
  <c r="AE453" i="3"/>
  <c r="AA453" i="3"/>
  <c r="W453" i="3"/>
  <c r="S453" i="3"/>
  <c r="O453" i="3"/>
  <c r="K453" i="3"/>
  <c r="G453" i="3"/>
  <c r="C453" i="3"/>
  <c r="E453" i="3" l="1"/>
  <c r="F453" i="3" s="1"/>
  <c r="D453" i="3"/>
  <c r="I453" i="3"/>
  <c r="J453" i="3" s="1"/>
  <c r="H453" i="3"/>
  <c r="M453" i="3"/>
  <c r="N453" i="3" s="1"/>
  <c r="L453" i="3"/>
  <c r="Q453" i="3"/>
  <c r="R453" i="3" s="1"/>
  <c r="P453" i="3"/>
  <c r="U453" i="3"/>
  <c r="V453" i="3" s="1"/>
  <c r="T453" i="3"/>
  <c r="Y453" i="3"/>
  <c r="Z453" i="3" s="1"/>
  <c r="X453" i="3"/>
  <c r="AC453" i="3"/>
  <c r="AD453" i="3" s="1"/>
  <c r="AB453" i="3"/>
  <c r="AG453" i="3"/>
  <c r="AH453" i="3" s="1"/>
  <c r="AF453" i="3"/>
  <c r="B455" i="3"/>
  <c r="AE454" i="3"/>
  <c r="AA454" i="3"/>
  <c r="W454" i="3"/>
  <c r="S454" i="3"/>
  <c r="O454" i="3"/>
  <c r="K454" i="3"/>
  <c r="G454" i="3"/>
  <c r="C454" i="3"/>
  <c r="E454" i="3" l="1"/>
  <c r="F454" i="3" s="1"/>
  <c r="D454" i="3"/>
  <c r="I454" i="3"/>
  <c r="J454" i="3" s="1"/>
  <c r="H454" i="3"/>
  <c r="M454" i="3"/>
  <c r="N454" i="3" s="1"/>
  <c r="L454" i="3"/>
  <c r="Q454" i="3"/>
  <c r="R454" i="3" s="1"/>
  <c r="P454" i="3"/>
  <c r="U454" i="3"/>
  <c r="V454" i="3" s="1"/>
  <c r="T454" i="3"/>
  <c r="Y454" i="3"/>
  <c r="Z454" i="3" s="1"/>
  <c r="X454" i="3"/>
  <c r="AC454" i="3"/>
  <c r="AD454" i="3" s="1"/>
  <c r="AB454" i="3"/>
  <c r="AG454" i="3"/>
  <c r="AH454" i="3" s="1"/>
  <c r="AF454" i="3"/>
  <c r="B456" i="3"/>
  <c r="AE455" i="3"/>
  <c r="AA455" i="3"/>
  <c r="W455" i="3"/>
  <c r="S455" i="3"/>
  <c r="O455" i="3"/>
  <c r="K455" i="3"/>
  <c r="G455" i="3"/>
  <c r="C455" i="3"/>
  <c r="E455" i="3" l="1"/>
  <c r="F455" i="3" s="1"/>
  <c r="D455" i="3"/>
  <c r="I455" i="3"/>
  <c r="J455" i="3" s="1"/>
  <c r="H455" i="3"/>
  <c r="M455" i="3"/>
  <c r="N455" i="3" s="1"/>
  <c r="L455" i="3"/>
  <c r="Q455" i="3"/>
  <c r="R455" i="3" s="1"/>
  <c r="P455" i="3"/>
  <c r="U455" i="3"/>
  <c r="V455" i="3" s="1"/>
  <c r="T455" i="3"/>
  <c r="Y455" i="3"/>
  <c r="Z455" i="3" s="1"/>
  <c r="X455" i="3"/>
  <c r="AC455" i="3"/>
  <c r="AD455" i="3" s="1"/>
  <c r="AB455" i="3"/>
  <c r="AG455" i="3"/>
  <c r="AH455" i="3" s="1"/>
  <c r="AF455" i="3"/>
  <c r="B457" i="3"/>
  <c r="AE456" i="3"/>
  <c r="AA456" i="3"/>
  <c r="W456" i="3"/>
  <c r="S456" i="3"/>
  <c r="O456" i="3"/>
  <c r="K456" i="3"/>
  <c r="G456" i="3"/>
  <c r="C456" i="3"/>
  <c r="E456" i="3" l="1"/>
  <c r="F456" i="3" s="1"/>
  <c r="D456" i="3"/>
  <c r="I456" i="3"/>
  <c r="J456" i="3" s="1"/>
  <c r="H456" i="3"/>
  <c r="M456" i="3"/>
  <c r="N456" i="3" s="1"/>
  <c r="L456" i="3"/>
  <c r="Q456" i="3"/>
  <c r="R456" i="3" s="1"/>
  <c r="P456" i="3"/>
  <c r="U456" i="3"/>
  <c r="V456" i="3" s="1"/>
  <c r="T456" i="3"/>
  <c r="Y456" i="3"/>
  <c r="Z456" i="3" s="1"/>
  <c r="X456" i="3"/>
  <c r="AC456" i="3"/>
  <c r="AD456" i="3" s="1"/>
  <c r="AB456" i="3"/>
  <c r="AG456" i="3"/>
  <c r="AH456" i="3" s="1"/>
  <c r="AF456" i="3"/>
  <c r="B458" i="3"/>
  <c r="AE457" i="3"/>
  <c r="AA457" i="3"/>
  <c r="W457" i="3"/>
  <c r="S457" i="3"/>
  <c r="O457" i="3"/>
  <c r="K457" i="3"/>
  <c r="G457" i="3"/>
  <c r="C457" i="3"/>
  <c r="E457" i="3" l="1"/>
  <c r="F457" i="3" s="1"/>
  <c r="D457" i="3"/>
  <c r="I457" i="3"/>
  <c r="J457" i="3" s="1"/>
  <c r="H457" i="3"/>
  <c r="M457" i="3"/>
  <c r="N457" i="3" s="1"/>
  <c r="L457" i="3"/>
  <c r="Q457" i="3"/>
  <c r="R457" i="3" s="1"/>
  <c r="P457" i="3"/>
  <c r="U457" i="3"/>
  <c r="V457" i="3" s="1"/>
  <c r="T457" i="3"/>
  <c r="Y457" i="3"/>
  <c r="Z457" i="3" s="1"/>
  <c r="X457" i="3"/>
  <c r="AC457" i="3"/>
  <c r="AD457" i="3" s="1"/>
  <c r="AB457" i="3"/>
  <c r="AG457" i="3"/>
  <c r="AH457" i="3" s="1"/>
  <c r="AF457" i="3"/>
  <c r="B459" i="3"/>
  <c r="AE458" i="3"/>
  <c r="AA458" i="3"/>
  <c r="W458" i="3"/>
  <c r="S458" i="3"/>
  <c r="O458" i="3"/>
  <c r="K458" i="3"/>
  <c r="G458" i="3"/>
  <c r="C458" i="3"/>
  <c r="E458" i="3" l="1"/>
  <c r="F458" i="3" s="1"/>
  <c r="D458" i="3"/>
  <c r="I458" i="3"/>
  <c r="J458" i="3" s="1"/>
  <c r="H458" i="3"/>
  <c r="M458" i="3"/>
  <c r="N458" i="3" s="1"/>
  <c r="L458" i="3"/>
  <c r="Q458" i="3"/>
  <c r="R458" i="3" s="1"/>
  <c r="P458" i="3"/>
  <c r="U458" i="3"/>
  <c r="V458" i="3" s="1"/>
  <c r="T458" i="3"/>
  <c r="Y458" i="3"/>
  <c r="Z458" i="3" s="1"/>
  <c r="X458" i="3"/>
  <c r="AC458" i="3"/>
  <c r="AD458" i="3" s="1"/>
  <c r="AB458" i="3"/>
  <c r="AG458" i="3"/>
  <c r="AH458" i="3" s="1"/>
  <c r="AF458" i="3"/>
  <c r="B460" i="3"/>
  <c r="AE459" i="3"/>
  <c r="AA459" i="3"/>
  <c r="W459" i="3"/>
  <c r="S459" i="3"/>
  <c r="O459" i="3"/>
  <c r="K459" i="3"/>
  <c r="G459" i="3"/>
  <c r="C459" i="3"/>
  <c r="E459" i="3" l="1"/>
  <c r="F459" i="3" s="1"/>
  <c r="D459" i="3"/>
  <c r="I459" i="3"/>
  <c r="J459" i="3" s="1"/>
  <c r="H459" i="3"/>
  <c r="M459" i="3"/>
  <c r="N459" i="3" s="1"/>
  <c r="L459" i="3"/>
  <c r="Q459" i="3"/>
  <c r="R459" i="3" s="1"/>
  <c r="P459" i="3"/>
  <c r="U459" i="3"/>
  <c r="V459" i="3" s="1"/>
  <c r="T459" i="3"/>
  <c r="Y459" i="3"/>
  <c r="Z459" i="3" s="1"/>
  <c r="X459" i="3"/>
  <c r="AC459" i="3"/>
  <c r="AD459" i="3" s="1"/>
  <c r="AB459" i="3"/>
  <c r="AG459" i="3"/>
  <c r="AH459" i="3" s="1"/>
  <c r="AF459" i="3"/>
  <c r="B461" i="3"/>
  <c r="AE460" i="3"/>
  <c r="AA460" i="3"/>
  <c r="W460" i="3"/>
  <c r="S460" i="3"/>
  <c r="O460" i="3"/>
  <c r="K460" i="3"/>
  <c r="G460" i="3"/>
  <c r="C460" i="3"/>
  <c r="E460" i="3" l="1"/>
  <c r="F460" i="3" s="1"/>
  <c r="D460" i="3"/>
  <c r="I460" i="3"/>
  <c r="J460" i="3" s="1"/>
  <c r="H460" i="3"/>
  <c r="M460" i="3"/>
  <c r="N460" i="3" s="1"/>
  <c r="L460" i="3"/>
  <c r="Q460" i="3"/>
  <c r="R460" i="3" s="1"/>
  <c r="P460" i="3"/>
  <c r="U460" i="3"/>
  <c r="V460" i="3" s="1"/>
  <c r="T460" i="3"/>
  <c r="Y460" i="3"/>
  <c r="Z460" i="3" s="1"/>
  <c r="X460" i="3"/>
  <c r="AC460" i="3"/>
  <c r="AD460" i="3" s="1"/>
  <c r="AB460" i="3"/>
  <c r="AG460" i="3"/>
  <c r="AH460" i="3" s="1"/>
  <c r="AF460" i="3"/>
  <c r="B462" i="3"/>
  <c r="AE461" i="3"/>
  <c r="AA461" i="3"/>
  <c r="W461" i="3"/>
  <c r="S461" i="3"/>
  <c r="O461" i="3"/>
  <c r="K461" i="3"/>
  <c r="G461" i="3"/>
  <c r="C461" i="3"/>
  <c r="E461" i="3" l="1"/>
  <c r="F461" i="3" s="1"/>
  <c r="D461" i="3"/>
  <c r="I461" i="3"/>
  <c r="J461" i="3" s="1"/>
  <c r="H461" i="3"/>
  <c r="M461" i="3"/>
  <c r="N461" i="3" s="1"/>
  <c r="L461" i="3"/>
  <c r="Q461" i="3"/>
  <c r="R461" i="3" s="1"/>
  <c r="P461" i="3"/>
  <c r="U461" i="3"/>
  <c r="V461" i="3" s="1"/>
  <c r="T461" i="3"/>
  <c r="Y461" i="3"/>
  <c r="Z461" i="3" s="1"/>
  <c r="X461" i="3"/>
  <c r="AC461" i="3"/>
  <c r="AD461" i="3" s="1"/>
  <c r="AB461" i="3"/>
  <c r="AG461" i="3"/>
  <c r="AH461" i="3" s="1"/>
  <c r="AF461" i="3"/>
  <c r="B463" i="3"/>
  <c r="AE462" i="3"/>
  <c r="AA462" i="3"/>
  <c r="W462" i="3"/>
  <c r="S462" i="3"/>
  <c r="O462" i="3"/>
  <c r="K462" i="3"/>
  <c r="G462" i="3"/>
  <c r="C462" i="3"/>
  <c r="E462" i="3" l="1"/>
  <c r="F462" i="3" s="1"/>
  <c r="D462" i="3"/>
  <c r="I462" i="3"/>
  <c r="J462" i="3" s="1"/>
  <c r="H462" i="3"/>
  <c r="M462" i="3"/>
  <c r="N462" i="3" s="1"/>
  <c r="L462" i="3"/>
  <c r="Q462" i="3"/>
  <c r="R462" i="3" s="1"/>
  <c r="P462" i="3"/>
  <c r="U462" i="3"/>
  <c r="V462" i="3" s="1"/>
  <c r="T462" i="3"/>
  <c r="Y462" i="3"/>
  <c r="Z462" i="3" s="1"/>
  <c r="X462" i="3"/>
  <c r="AC462" i="3"/>
  <c r="AD462" i="3" s="1"/>
  <c r="AB462" i="3"/>
  <c r="AG462" i="3"/>
  <c r="AH462" i="3" s="1"/>
  <c r="AF462" i="3"/>
  <c r="B464" i="3"/>
  <c r="AE463" i="3"/>
  <c r="AA463" i="3"/>
  <c r="W463" i="3"/>
  <c r="S463" i="3"/>
  <c r="O463" i="3"/>
  <c r="K463" i="3"/>
  <c r="G463" i="3"/>
  <c r="C463" i="3"/>
  <c r="E463" i="3" l="1"/>
  <c r="F463" i="3" s="1"/>
  <c r="D463" i="3"/>
  <c r="I463" i="3"/>
  <c r="J463" i="3" s="1"/>
  <c r="H463" i="3"/>
  <c r="M463" i="3"/>
  <c r="N463" i="3" s="1"/>
  <c r="L463" i="3"/>
  <c r="Q463" i="3"/>
  <c r="R463" i="3" s="1"/>
  <c r="P463" i="3"/>
  <c r="U463" i="3"/>
  <c r="V463" i="3" s="1"/>
  <c r="T463" i="3"/>
  <c r="Y463" i="3"/>
  <c r="Z463" i="3" s="1"/>
  <c r="X463" i="3"/>
  <c r="AC463" i="3"/>
  <c r="AD463" i="3" s="1"/>
  <c r="AB463" i="3"/>
  <c r="AG463" i="3"/>
  <c r="AH463" i="3" s="1"/>
  <c r="AF463" i="3"/>
  <c r="B465" i="3"/>
  <c r="AE464" i="3"/>
  <c r="AA464" i="3"/>
  <c r="W464" i="3"/>
  <c r="S464" i="3"/>
  <c r="O464" i="3"/>
  <c r="K464" i="3"/>
  <c r="G464" i="3"/>
  <c r="C464" i="3"/>
  <c r="E464" i="3" l="1"/>
  <c r="F464" i="3" s="1"/>
  <c r="D464" i="3"/>
  <c r="I464" i="3"/>
  <c r="J464" i="3" s="1"/>
  <c r="H464" i="3"/>
  <c r="M464" i="3"/>
  <c r="N464" i="3" s="1"/>
  <c r="L464" i="3"/>
  <c r="Q464" i="3"/>
  <c r="R464" i="3" s="1"/>
  <c r="P464" i="3"/>
  <c r="U464" i="3"/>
  <c r="V464" i="3" s="1"/>
  <c r="T464" i="3"/>
  <c r="Y464" i="3"/>
  <c r="Z464" i="3" s="1"/>
  <c r="X464" i="3"/>
  <c r="AC464" i="3"/>
  <c r="AD464" i="3" s="1"/>
  <c r="AB464" i="3"/>
  <c r="AG464" i="3"/>
  <c r="AH464" i="3" s="1"/>
  <c r="AF464" i="3"/>
  <c r="B466" i="3"/>
  <c r="AE465" i="3"/>
  <c r="AA465" i="3"/>
  <c r="W465" i="3"/>
  <c r="S465" i="3"/>
  <c r="O465" i="3"/>
  <c r="K465" i="3"/>
  <c r="G465" i="3"/>
  <c r="C465" i="3"/>
  <c r="E465" i="3" l="1"/>
  <c r="F465" i="3" s="1"/>
  <c r="D465" i="3"/>
  <c r="I465" i="3"/>
  <c r="J465" i="3" s="1"/>
  <c r="H465" i="3"/>
  <c r="M465" i="3"/>
  <c r="N465" i="3" s="1"/>
  <c r="L465" i="3"/>
  <c r="Q465" i="3"/>
  <c r="R465" i="3" s="1"/>
  <c r="P465" i="3"/>
  <c r="U465" i="3"/>
  <c r="V465" i="3" s="1"/>
  <c r="T465" i="3"/>
  <c r="Y465" i="3"/>
  <c r="Z465" i="3" s="1"/>
  <c r="X465" i="3"/>
  <c r="AC465" i="3"/>
  <c r="AD465" i="3" s="1"/>
  <c r="AB465" i="3"/>
  <c r="AG465" i="3"/>
  <c r="AH465" i="3" s="1"/>
  <c r="AF465" i="3"/>
  <c r="B467" i="3"/>
  <c r="AE466" i="3"/>
  <c r="AA466" i="3"/>
  <c r="W466" i="3"/>
  <c r="S466" i="3"/>
  <c r="O466" i="3"/>
  <c r="K466" i="3"/>
  <c r="G466" i="3"/>
  <c r="C466" i="3"/>
  <c r="E466" i="3" l="1"/>
  <c r="F466" i="3" s="1"/>
  <c r="D466" i="3"/>
  <c r="I466" i="3"/>
  <c r="J466" i="3" s="1"/>
  <c r="H466" i="3"/>
  <c r="M466" i="3"/>
  <c r="N466" i="3" s="1"/>
  <c r="L466" i="3"/>
  <c r="Q466" i="3"/>
  <c r="R466" i="3" s="1"/>
  <c r="P466" i="3"/>
  <c r="U466" i="3"/>
  <c r="V466" i="3" s="1"/>
  <c r="T466" i="3"/>
  <c r="Y466" i="3"/>
  <c r="Z466" i="3" s="1"/>
  <c r="X466" i="3"/>
  <c r="AC466" i="3"/>
  <c r="AD466" i="3" s="1"/>
  <c r="AB466" i="3"/>
  <c r="AG466" i="3"/>
  <c r="AH466" i="3" s="1"/>
  <c r="AF466" i="3"/>
  <c r="B468" i="3"/>
  <c r="AE467" i="3"/>
  <c r="AA467" i="3"/>
  <c r="W467" i="3"/>
  <c r="S467" i="3"/>
  <c r="O467" i="3"/>
  <c r="K467" i="3"/>
  <c r="G467" i="3"/>
  <c r="C467" i="3"/>
  <c r="E467" i="3" l="1"/>
  <c r="F467" i="3" s="1"/>
  <c r="D467" i="3"/>
  <c r="I467" i="3"/>
  <c r="J467" i="3" s="1"/>
  <c r="H467" i="3"/>
  <c r="M467" i="3"/>
  <c r="N467" i="3" s="1"/>
  <c r="L467" i="3"/>
  <c r="Q467" i="3"/>
  <c r="R467" i="3" s="1"/>
  <c r="P467" i="3"/>
  <c r="U467" i="3"/>
  <c r="V467" i="3" s="1"/>
  <c r="T467" i="3"/>
  <c r="Y467" i="3"/>
  <c r="Z467" i="3" s="1"/>
  <c r="X467" i="3"/>
  <c r="AC467" i="3"/>
  <c r="AD467" i="3" s="1"/>
  <c r="AB467" i="3"/>
  <c r="AG467" i="3"/>
  <c r="AH467" i="3" s="1"/>
  <c r="AF467" i="3"/>
  <c r="B469" i="3"/>
  <c r="AE468" i="3"/>
  <c r="AA468" i="3"/>
  <c r="W468" i="3"/>
  <c r="S468" i="3"/>
  <c r="O468" i="3"/>
  <c r="K468" i="3"/>
  <c r="G468" i="3"/>
  <c r="C468" i="3"/>
  <c r="E468" i="3" l="1"/>
  <c r="F468" i="3" s="1"/>
  <c r="D468" i="3"/>
  <c r="I468" i="3"/>
  <c r="J468" i="3" s="1"/>
  <c r="H468" i="3"/>
  <c r="M468" i="3"/>
  <c r="N468" i="3" s="1"/>
  <c r="L468" i="3"/>
  <c r="Q468" i="3"/>
  <c r="R468" i="3" s="1"/>
  <c r="P468" i="3"/>
  <c r="U468" i="3"/>
  <c r="V468" i="3" s="1"/>
  <c r="T468" i="3"/>
  <c r="Y468" i="3"/>
  <c r="Z468" i="3" s="1"/>
  <c r="X468" i="3"/>
  <c r="AC468" i="3"/>
  <c r="AD468" i="3" s="1"/>
  <c r="AB468" i="3"/>
  <c r="AG468" i="3"/>
  <c r="AH468" i="3" s="1"/>
  <c r="AF468" i="3"/>
  <c r="B470" i="3"/>
  <c r="AE469" i="3"/>
  <c r="AA469" i="3"/>
  <c r="W469" i="3"/>
  <c r="S469" i="3"/>
  <c r="O469" i="3"/>
  <c r="K469" i="3"/>
  <c r="G469" i="3"/>
  <c r="C469" i="3"/>
  <c r="E469" i="3" l="1"/>
  <c r="F469" i="3" s="1"/>
  <c r="D469" i="3"/>
  <c r="I469" i="3"/>
  <c r="J469" i="3" s="1"/>
  <c r="H469" i="3"/>
  <c r="M469" i="3"/>
  <c r="N469" i="3" s="1"/>
  <c r="L469" i="3"/>
  <c r="Q469" i="3"/>
  <c r="R469" i="3" s="1"/>
  <c r="P469" i="3"/>
  <c r="U469" i="3"/>
  <c r="V469" i="3" s="1"/>
  <c r="T469" i="3"/>
  <c r="Y469" i="3"/>
  <c r="Z469" i="3" s="1"/>
  <c r="X469" i="3"/>
  <c r="AC469" i="3"/>
  <c r="AD469" i="3" s="1"/>
  <c r="AB469" i="3"/>
  <c r="AG469" i="3"/>
  <c r="AH469" i="3" s="1"/>
  <c r="AF469" i="3"/>
  <c r="B471" i="3"/>
  <c r="AE470" i="3"/>
  <c r="AA470" i="3"/>
  <c r="W470" i="3"/>
  <c r="S470" i="3"/>
  <c r="O470" i="3"/>
  <c r="K470" i="3"/>
  <c r="G470" i="3"/>
  <c r="C470" i="3"/>
  <c r="E470" i="3" l="1"/>
  <c r="F470" i="3" s="1"/>
  <c r="D470" i="3"/>
  <c r="I470" i="3"/>
  <c r="J470" i="3" s="1"/>
  <c r="H470" i="3"/>
  <c r="M470" i="3"/>
  <c r="N470" i="3" s="1"/>
  <c r="L470" i="3"/>
  <c r="Q470" i="3"/>
  <c r="R470" i="3" s="1"/>
  <c r="P470" i="3"/>
  <c r="U470" i="3"/>
  <c r="V470" i="3" s="1"/>
  <c r="T470" i="3"/>
  <c r="Y470" i="3"/>
  <c r="Z470" i="3" s="1"/>
  <c r="X470" i="3"/>
  <c r="AC470" i="3"/>
  <c r="AD470" i="3" s="1"/>
  <c r="AB470" i="3"/>
  <c r="AG470" i="3"/>
  <c r="AH470" i="3" s="1"/>
  <c r="AF470" i="3"/>
  <c r="B472" i="3"/>
  <c r="AE471" i="3"/>
  <c r="AA471" i="3"/>
  <c r="W471" i="3"/>
  <c r="S471" i="3"/>
  <c r="O471" i="3"/>
  <c r="K471" i="3"/>
  <c r="G471" i="3"/>
  <c r="C471" i="3"/>
  <c r="E471" i="3" l="1"/>
  <c r="F471" i="3" s="1"/>
  <c r="D471" i="3"/>
  <c r="I471" i="3"/>
  <c r="J471" i="3" s="1"/>
  <c r="H471" i="3"/>
  <c r="M471" i="3"/>
  <c r="N471" i="3" s="1"/>
  <c r="L471" i="3"/>
  <c r="Q471" i="3"/>
  <c r="R471" i="3" s="1"/>
  <c r="P471" i="3"/>
  <c r="U471" i="3"/>
  <c r="V471" i="3" s="1"/>
  <c r="T471" i="3"/>
  <c r="Y471" i="3"/>
  <c r="Z471" i="3" s="1"/>
  <c r="X471" i="3"/>
  <c r="AC471" i="3"/>
  <c r="AD471" i="3" s="1"/>
  <c r="AB471" i="3"/>
  <c r="AG471" i="3"/>
  <c r="AH471" i="3" s="1"/>
  <c r="AF471" i="3"/>
  <c r="B473" i="3"/>
  <c r="AE472" i="3"/>
  <c r="AA472" i="3"/>
  <c r="W472" i="3"/>
  <c r="S472" i="3"/>
  <c r="O472" i="3"/>
  <c r="K472" i="3"/>
  <c r="G472" i="3"/>
  <c r="C472" i="3"/>
  <c r="E472" i="3" l="1"/>
  <c r="F472" i="3" s="1"/>
  <c r="D472" i="3"/>
  <c r="I472" i="3"/>
  <c r="J472" i="3" s="1"/>
  <c r="H472" i="3"/>
  <c r="M472" i="3"/>
  <c r="N472" i="3" s="1"/>
  <c r="L472" i="3"/>
  <c r="Q472" i="3"/>
  <c r="R472" i="3" s="1"/>
  <c r="P472" i="3"/>
  <c r="U472" i="3"/>
  <c r="V472" i="3" s="1"/>
  <c r="T472" i="3"/>
  <c r="Y472" i="3"/>
  <c r="Z472" i="3" s="1"/>
  <c r="X472" i="3"/>
  <c r="AC472" i="3"/>
  <c r="AD472" i="3" s="1"/>
  <c r="AB472" i="3"/>
  <c r="AG472" i="3"/>
  <c r="AH472" i="3" s="1"/>
  <c r="AF472" i="3"/>
  <c r="B474" i="3"/>
  <c r="AE473" i="3"/>
  <c r="AA473" i="3"/>
  <c r="W473" i="3"/>
  <c r="S473" i="3"/>
  <c r="O473" i="3"/>
  <c r="K473" i="3"/>
  <c r="G473" i="3"/>
  <c r="C473" i="3"/>
  <c r="E473" i="3" l="1"/>
  <c r="F473" i="3" s="1"/>
  <c r="D473" i="3"/>
  <c r="I473" i="3"/>
  <c r="J473" i="3" s="1"/>
  <c r="H473" i="3"/>
  <c r="M473" i="3"/>
  <c r="N473" i="3" s="1"/>
  <c r="L473" i="3"/>
  <c r="Q473" i="3"/>
  <c r="R473" i="3" s="1"/>
  <c r="P473" i="3"/>
  <c r="U473" i="3"/>
  <c r="V473" i="3" s="1"/>
  <c r="T473" i="3"/>
  <c r="Y473" i="3"/>
  <c r="Z473" i="3" s="1"/>
  <c r="X473" i="3"/>
  <c r="AC473" i="3"/>
  <c r="AD473" i="3" s="1"/>
  <c r="AB473" i="3"/>
  <c r="AG473" i="3"/>
  <c r="AH473" i="3" s="1"/>
  <c r="AF473" i="3"/>
  <c r="B475" i="3"/>
  <c r="AE474" i="3"/>
  <c r="AA474" i="3"/>
  <c r="W474" i="3"/>
  <c r="S474" i="3"/>
  <c r="O474" i="3"/>
  <c r="K474" i="3"/>
  <c r="G474" i="3"/>
  <c r="C474" i="3"/>
  <c r="E474" i="3" l="1"/>
  <c r="F474" i="3" s="1"/>
  <c r="D474" i="3"/>
  <c r="I474" i="3"/>
  <c r="J474" i="3" s="1"/>
  <c r="H474" i="3"/>
  <c r="M474" i="3"/>
  <c r="N474" i="3" s="1"/>
  <c r="L474" i="3"/>
  <c r="Q474" i="3"/>
  <c r="R474" i="3" s="1"/>
  <c r="P474" i="3"/>
  <c r="U474" i="3"/>
  <c r="V474" i="3" s="1"/>
  <c r="T474" i="3"/>
  <c r="Y474" i="3"/>
  <c r="Z474" i="3" s="1"/>
  <c r="X474" i="3"/>
  <c r="AC474" i="3"/>
  <c r="AD474" i="3" s="1"/>
  <c r="AB474" i="3"/>
  <c r="AG474" i="3"/>
  <c r="AH474" i="3" s="1"/>
  <c r="AF474" i="3"/>
  <c r="B476" i="3"/>
  <c r="AE475" i="3"/>
  <c r="AA475" i="3"/>
  <c r="W475" i="3"/>
  <c r="S475" i="3"/>
  <c r="O475" i="3"/>
  <c r="K475" i="3"/>
  <c r="G475" i="3"/>
  <c r="C475" i="3"/>
  <c r="E475" i="3" l="1"/>
  <c r="F475" i="3" s="1"/>
  <c r="D475" i="3"/>
  <c r="I475" i="3"/>
  <c r="J475" i="3" s="1"/>
  <c r="H475" i="3"/>
  <c r="M475" i="3"/>
  <c r="N475" i="3" s="1"/>
  <c r="L475" i="3"/>
  <c r="Q475" i="3"/>
  <c r="R475" i="3" s="1"/>
  <c r="P475" i="3"/>
  <c r="U475" i="3"/>
  <c r="V475" i="3" s="1"/>
  <c r="T475" i="3"/>
  <c r="Y475" i="3"/>
  <c r="Z475" i="3" s="1"/>
  <c r="X475" i="3"/>
  <c r="AC475" i="3"/>
  <c r="AD475" i="3" s="1"/>
  <c r="AB475" i="3"/>
  <c r="AG475" i="3"/>
  <c r="AH475" i="3" s="1"/>
  <c r="AF475" i="3"/>
  <c r="B477" i="3"/>
  <c r="AE476" i="3"/>
  <c r="AA476" i="3"/>
  <c r="W476" i="3"/>
  <c r="S476" i="3"/>
  <c r="O476" i="3"/>
  <c r="K476" i="3"/>
  <c r="G476" i="3"/>
  <c r="C476" i="3"/>
  <c r="E476" i="3" l="1"/>
  <c r="F476" i="3" s="1"/>
  <c r="D476" i="3"/>
  <c r="I476" i="3"/>
  <c r="J476" i="3" s="1"/>
  <c r="H476" i="3"/>
  <c r="M476" i="3"/>
  <c r="N476" i="3" s="1"/>
  <c r="L476" i="3"/>
  <c r="Q476" i="3"/>
  <c r="R476" i="3" s="1"/>
  <c r="P476" i="3"/>
  <c r="U476" i="3"/>
  <c r="V476" i="3" s="1"/>
  <c r="T476" i="3"/>
  <c r="Y476" i="3"/>
  <c r="Z476" i="3" s="1"/>
  <c r="X476" i="3"/>
  <c r="AC476" i="3"/>
  <c r="AD476" i="3" s="1"/>
  <c r="AB476" i="3"/>
  <c r="AG476" i="3"/>
  <c r="AH476" i="3" s="1"/>
  <c r="AF476" i="3"/>
  <c r="B478" i="3"/>
  <c r="AE477" i="3"/>
  <c r="AA477" i="3"/>
  <c r="W477" i="3"/>
  <c r="S477" i="3"/>
  <c r="O477" i="3"/>
  <c r="K477" i="3"/>
  <c r="G477" i="3"/>
  <c r="C477" i="3"/>
  <c r="E477" i="3" l="1"/>
  <c r="F477" i="3" s="1"/>
  <c r="D477" i="3"/>
  <c r="I477" i="3"/>
  <c r="J477" i="3" s="1"/>
  <c r="H477" i="3"/>
  <c r="M477" i="3"/>
  <c r="N477" i="3" s="1"/>
  <c r="L477" i="3"/>
  <c r="Q477" i="3"/>
  <c r="R477" i="3" s="1"/>
  <c r="P477" i="3"/>
  <c r="U477" i="3"/>
  <c r="V477" i="3" s="1"/>
  <c r="T477" i="3"/>
  <c r="Y477" i="3"/>
  <c r="Z477" i="3" s="1"/>
  <c r="X477" i="3"/>
  <c r="AC477" i="3"/>
  <c r="AD477" i="3" s="1"/>
  <c r="AB477" i="3"/>
  <c r="AG477" i="3"/>
  <c r="AH477" i="3" s="1"/>
  <c r="AF477" i="3"/>
  <c r="B479" i="3"/>
  <c r="AE478" i="3"/>
  <c r="AA478" i="3"/>
  <c r="W478" i="3"/>
  <c r="S478" i="3"/>
  <c r="O478" i="3"/>
  <c r="K478" i="3"/>
  <c r="G478" i="3"/>
  <c r="C478" i="3"/>
  <c r="E478" i="3" l="1"/>
  <c r="F478" i="3" s="1"/>
  <c r="D478" i="3"/>
  <c r="I478" i="3"/>
  <c r="J478" i="3" s="1"/>
  <c r="H478" i="3"/>
  <c r="M478" i="3"/>
  <c r="N478" i="3" s="1"/>
  <c r="L478" i="3"/>
  <c r="Q478" i="3"/>
  <c r="R478" i="3" s="1"/>
  <c r="P478" i="3"/>
  <c r="U478" i="3"/>
  <c r="V478" i="3" s="1"/>
  <c r="T478" i="3"/>
  <c r="Y478" i="3"/>
  <c r="Z478" i="3" s="1"/>
  <c r="X478" i="3"/>
  <c r="AC478" i="3"/>
  <c r="AD478" i="3" s="1"/>
  <c r="AB478" i="3"/>
  <c r="AG478" i="3"/>
  <c r="AH478" i="3" s="1"/>
  <c r="AF478" i="3"/>
  <c r="B480" i="3"/>
  <c r="AE479" i="3"/>
  <c r="AA479" i="3"/>
  <c r="W479" i="3"/>
  <c r="S479" i="3"/>
  <c r="O479" i="3"/>
  <c r="K479" i="3"/>
  <c r="G479" i="3"/>
  <c r="C479" i="3"/>
  <c r="E479" i="3" l="1"/>
  <c r="F479" i="3" s="1"/>
  <c r="D479" i="3"/>
  <c r="I479" i="3"/>
  <c r="J479" i="3" s="1"/>
  <c r="H479" i="3"/>
  <c r="M479" i="3"/>
  <c r="N479" i="3" s="1"/>
  <c r="L479" i="3"/>
  <c r="Q479" i="3"/>
  <c r="R479" i="3" s="1"/>
  <c r="P479" i="3"/>
  <c r="U479" i="3"/>
  <c r="V479" i="3" s="1"/>
  <c r="T479" i="3"/>
  <c r="Y479" i="3"/>
  <c r="Z479" i="3" s="1"/>
  <c r="X479" i="3"/>
  <c r="AC479" i="3"/>
  <c r="AD479" i="3" s="1"/>
  <c r="AB479" i="3"/>
  <c r="AG479" i="3"/>
  <c r="AH479" i="3" s="1"/>
  <c r="AF479" i="3"/>
  <c r="B481" i="3"/>
  <c r="AE480" i="3"/>
  <c r="AA480" i="3"/>
  <c r="W480" i="3"/>
  <c r="S480" i="3"/>
  <c r="O480" i="3"/>
  <c r="K480" i="3"/>
  <c r="G480" i="3"/>
  <c r="C480" i="3"/>
  <c r="E480" i="3" l="1"/>
  <c r="F480" i="3" s="1"/>
  <c r="D480" i="3"/>
  <c r="I480" i="3"/>
  <c r="J480" i="3" s="1"/>
  <c r="H480" i="3"/>
  <c r="M480" i="3"/>
  <c r="N480" i="3" s="1"/>
  <c r="L480" i="3"/>
  <c r="Q480" i="3"/>
  <c r="R480" i="3" s="1"/>
  <c r="P480" i="3"/>
  <c r="U480" i="3"/>
  <c r="V480" i="3" s="1"/>
  <c r="T480" i="3"/>
  <c r="Y480" i="3"/>
  <c r="Z480" i="3" s="1"/>
  <c r="X480" i="3"/>
  <c r="AC480" i="3"/>
  <c r="AD480" i="3" s="1"/>
  <c r="AB480" i="3"/>
  <c r="AG480" i="3"/>
  <c r="AH480" i="3" s="1"/>
  <c r="AF480" i="3"/>
  <c r="B482" i="3"/>
  <c r="AE481" i="3"/>
  <c r="AA481" i="3"/>
  <c r="W481" i="3"/>
  <c r="S481" i="3"/>
  <c r="O481" i="3"/>
  <c r="K481" i="3"/>
  <c r="G481" i="3"/>
  <c r="C481" i="3"/>
  <c r="E481" i="3" l="1"/>
  <c r="F481" i="3" s="1"/>
  <c r="D481" i="3"/>
  <c r="I481" i="3"/>
  <c r="J481" i="3" s="1"/>
  <c r="H481" i="3"/>
  <c r="M481" i="3"/>
  <c r="N481" i="3" s="1"/>
  <c r="L481" i="3"/>
  <c r="Q481" i="3"/>
  <c r="R481" i="3" s="1"/>
  <c r="P481" i="3"/>
  <c r="U481" i="3"/>
  <c r="V481" i="3" s="1"/>
  <c r="T481" i="3"/>
  <c r="Y481" i="3"/>
  <c r="Z481" i="3" s="1"/>
  <c r="X481" i="3"/>
  <c r="AC481" i="3"/>
  <c r="AD481" i="3" s="1"/>
  <c r="AB481" i="3"/>
  <c r="AG481" i="3"/>
  <c r="AH481" i="3" s="1"/>
  <c r="AF481" i="3"/>
  <c r="B483" i="3"/>
  <c r="AE482" i="3"/>
  <c r="AA482" i="3"/>
  <c r="W482" i="3"/>
  <c r="S482" i="3"/>
  <c r="O482" i="3"/>
  <c r="K482" i="3"/>
  <c r="G482" i="3"/>
  <c r="C482" i="3"/>
  <c r="E482" i="3" l="1"/>
  <c r="F482" i="3" s="1"/>
  <c r="D482" i="3"/>
  <c r="I482" i="3"/>
  <c r="J482" i="3" s="1"/>
  <c r="H482" i="3"/>
  <c r="M482" i="3"/>
  <c r="N482" i="3" s="1"/>
  <c r="L482" i="3"/>
  <c r="Q482" i="3"/>
  <c r="R482" i="3" s="1"/>
  <c r="P482" i="3"/>
  <c r="U482" i="3"/>
  <c r="V482" i="3" s="1"/>
  <c r="T482" i="3"/>
  <c r="Y482" i="3"/>
  <c r="Z482" i="3" s="1"/>
  <c r="X482" i="3"/>
  <c r="AC482" i="3"/>
  <c r="AD482" i="3" s="1"/>
  <c r="AB482" i="3"/>
  <c r="AG482" i="3"/>
  <c r="AH482" i="3" s="1"/>
  <c r="AF482" i="3"/>
  <c r="B484" i="3"/>
  <c r="AE483" i="3"/>
  <c r="AA483" i="3"/>
  <c r="W483" i="3"/>
  <c r="S483" i="3"/>
  <c r="O483" i="3"/>
  <c r="K483" i="3"/>
  <c r="G483" i="3"/>
  <c r="C483" i="3"/>
  <c r="E483" i="3" l="1"/>
  <c r="F483" i="3" s="1"/>
  <c r="D483" i="3"/>
  <c r="I483" i="3"/>
  <c r="J483" i="3" s="1"/>
  <c r="H483" i="3"/>
  <c r="M483" i="3"/>
  <c r="N483" i="3" s="1"/>
  <c r="L483" i="3"/>
  <c r="Q483" i="3"/>
  <c r="R483" i="3" s="1"/>
  <c r="P483" i="3"/>
  <c r="U483" i="3"/>
  <c r="V483" i="3" s="1"/>
  <c r="T483" i="3"/>
  <c r="Y483" i="3"/>
  <c r="Z483" i="3" s="1"/>
  <c r="X483" i="3"/>
  <c r="AC483" i="3"/>
  <c r="AD483" i="3" s="1"/>
  <c r="AB483" i="3"/>
  <c r="AG483" i="3"/>
  <c r="AH483" i="3" s="1"/>
  <c r="AF483" i="3"/>
  <c r="B485" i="3"/>
  <c r="AE484" i="3"/>
  <c r="AA484" i="3"/>
  <c r="W484" i="3"/>
  <c r="S484" i="3"/>
  <c r="O484" i="3"/>
  <c r="K484" i="3"/>
  <c r="G484" i="3"/>
  <c r="C484" i="3"/>
  <c r="E484" i="3" l="1"/>
  <c r="F484" i="3" s="1"/>
  <c r="D484" i="3"/>
  <c r="I484" i="3"/>
  <c r="J484" i="3" s="1"/>
  <c r="H484" i="3"/>
  <c r="M484" i="3"/>
  <c r="N484" i="3" s="1"/>
  <c r="L484" i="3"/>
  <c r="Q484" i="3"/>
  <c r="R484" i="3" s="1"/>
  <c r="P484" i="3"/>
  <c r="U484" i="3"/>
  <c r="V484" i="3" s="1"/>
  <c r="T484" i="3"/>
  <c r="Y484" i="3"/>
  <c r="Z484" i="3" s="1"/>
  <c r="X484" i="3"/>
  <c r="AC484" i="3"/>
  <c r="AD484" i="3" s="1"/>
  <c r="AB484" i="3"/>
  <c r="AG484" i="3"/>
  <c r="AH484" i="3" s="1"/>
  <c r="AF484" i="3"/>
  <c r="B486" i="3"/>
  <c r="AE485" i="3"/>
  <c r="AA485" i="3"/>
  <c r="W485" i="3"/>
  <c r="S485" i="3"/>
  <c r="O485" i="3"/>
  <c r="K485" i="3"/>
  <c r="G485" i="3"/>
  <c r="C485" i="3"/>
  <c r="E485" i="3" l="1"/>
  <c r="F485" i="3" s="1"/>
  <c r="D485" i="3"/>
  <c r="I485" i="3"/>
  <c r="J485" i="3" s="1"/>
  <c r="H485" i="3"/>
  <c r="M485" i="3"/>
  <c r="N485" i="3" s="1"/>
  <c r="L485" i="3"/>
  <c r="Q485" i="3"/>
  <c r="R485" i="3" s="1"/>
  <c r="P485" i="3"/>
  <c r="U485" i="3"/>
  <c r="V485" i="3" s="1"/>
  <c r="T485" i="3"/>
  <c r="Y485" i="3"/>
  <c r="Z485" i="3" s="1"/>
  <c r="X485" i="3"/>
  <c r="AC485" i="3"/>
  <c r="AD485" i="3" s="1"/>
  <c r="AB485" i="3"/>
  <c r="AG485" i="3"/>
  <c r="AH485" i="3" s="1"/>
  <c r="AF485" i="3"/>
  <c r="B487" i="3"/>
  <c r="AE486" i="3"/>
  <c r="AA486" i="3"/>
  <c r="W486" i="3"/>
  <c r="S486" i="3"/>
  <c r="O486" i="3"/>
  <c r="K486" i="3"/>
  <c r="G486" i="3"/>
  <c r="C486" i="3"/>
  <c r="E486" i="3" l="1"/>
  <c r="F486" i="3" s="1"/>
  <c r="D486" i="3"/>
  <c r="I486" i="3"/>
  <c r="J486" i="3" s="1"/>
  <c r="H486" i="3"/>
  <c r="M486" i="3"/>
  <c r="N486" i="3" s="1"/>
  <c r="L486" i="3"/>
  <c r="Q486" i="3"/>
  <c r="R486" i="3" s="1"/>
  <c r="P486" i="3"/>
  <c r="U486" i="3"/>
  <c r="V486" i="3" s="1"/>
  <c r="T486" i="3"/>
  <c r="Y486" i="3"/>
  <c r="Z486" i="3" s="1"/>
  <c r="X486" i="3"/>
  <c r="AC486" i="3"/>
  <c r="AD486" i="3" s="1"/>
  <c r="AB486" i="3"/>
  <c r="AG486" i="3"/>
  <c r="AH486" i="3" s="1"/>
  <c r="AF486" i="3"/>
  <c r="B488" i="3"/>
  <c r="AE487" i="3"/>
  <c r="AA487" i="3"/>
  <c r="W487" i="3"/>
  <c r="S487" i="3"/>
  <c r="O487" i="3"/>
  <c r="K487" i="3"/>
  <c r="G487" i="3"/>
  <c r="C487" i="3"/>
  <c r="E487" i="3" l="1"/>
  <c r="F487" i="3" s="1"/>
  <c r="D487" i="3"/>
  <c r="I487" i="3"/>
  <c r="J487" i="3" s="1"/>
  <c r="H487" i="3"/>
  <c r="M487" i="3"/>
  <c r="N487" i="3" s="1"/>
  <c r="L487" i="3"/>
  <c r="Q487" i="3"/>
  <c r="R487" i="3" s="1"/>
  <c r="P487" i="3"/>
  <c r="U487" i="3"/>
  <c r="V487" i="3" s="1"/>
  <c r="T487" i="3"/>
  <c r="Y487" i="3"/>
  <c r="Z487" i="3" s="1"/>
  <c r="X487" i="3"/>
  <c r="AC487" i="3"/>
  <c r="AD487" i="3" s="1"/>
  <c r="AB487" i="3"/>
  <c r="AG487" i="3"/>
  <c r="AH487" i="3" s="1"/>
  <c r="AF487" i="3"/>
  <c r="B489" i="3"/>
  <c r="AE488" i="3"/>
  <c r="AA488" i="3"/>
  <c r="W488" i="3"/>
  <c r="S488" i="3"/>
  <c r="O488" i="3"/>
  <c r="K488" i="3"/>
  <c r="G488" i="3"/>
  <c r="C488" i="3"/>
  <c r="E488" i="3" l="1"/>
  <c r="F488" i="3" s="1"/>
  <c r="D488" i="3"/>
  <c r="I488" i="3"/>
  <c r="J488" i="3" s="1"/>
  <c r="H488" i="3"/>
  <c r="M488" i="3"/>
  <c r="N488" i="3" s="1"/>
  <c r="L488" i="3"/>
  <c r="Q488" i="3"/>
  <c r="R488" i="3" s="1"/>
  <c r="P488" i="3"/>
  <c r="U488" i="3"/>
  <c r="V488" i="3" s="1"/>
  <c r="T488" i="3"/>
  <c r="Y488" i="3"/>
  <c r="Z488" i="3" s="1"/>
  <c r="X488" i="3"/>
  <c r="AC488" i="3"/>
  <c r="AD488" i="3" s="1"/>
  <c r="AB488" i="3"/>
  <c r="AG488" i="3"/>
  <c r="AH488" i="3" s="1"/>
  <c r="AF488" i="3"/>
  <c r="B490" i="3"/>
  <c r="AE489" i="3"/>
  <c r="AA489" i="3"/>
  <c r="W489" i="3"/>
  <c r="S489" i="3"/>
  <c r="O489" i="3"/>
  <c r="K489" i="3"/>
  <c r="G489" i="3"/>
  <c r="C489" i="3"/>
  <c r="E489" i="3" l="1"/>
  <c r="F489" i="3" s="1"/>
  <c r="D489" i="3"/>
  <c r="I489" i="3"/>
  <c r="J489" i="3" s="1"/>
  <c r="H489" i="3"/>
  <c r="M489" i="3"/>
  <c r="N489" i="3" s="1"/>
  <c r="L489" i="3"/>
  <c r="Q489" i="3"/>
  <c r="R489" i="3" s="1"/>
  <c r="P489" i="3"/>
  <c r="U489" i="3"/>
  <c r="V489" i="3" s="1"/>
  <c r="T489" i="3"/>
  <c r="Y489" i="3"/>
  <c r="Z489" i="3" s="1"/>
  <c r="X489" i="3"/>
  <c r="AC489" i="3"/>
  <c r="AD489" i="3" s="1"/>
  <c r="AB489" i="3"/>
  <c r="AG489" i="3"/>
  <c r="AH489" i="3" s="1"/>
  <c r="AF489" i="3"/>
  <c r="B491" i="3"/>
  <c r="AE490" i="3"/>
  <c r="AA490" i="3"/>
  <c r="W490" i="3"/>
  <c r="S490" i="3"/>
  <c r="O490" i="3"/>
  <c r="K490" i="3"/>
  <c r="G490" i="3"/>
  <c r="C490" i="3"/>
  <c r="E490" i="3" l="1"/>
  <c r="F490" i="3" s="1"/>
  <c r="D490" i="3"/>
  <c r="I490" i="3"/>
  <c r="J490" i="3" s="1"/>
  <c r="H490" i="3"/>
  <c r="M490" i="3"/>
  <c r="N490" i="3" s="1"/>
  <c r="L490" i="3"/>
  <c r="Q490" i="3"/>
  <c r="R490" i="3" s="1"/>
  <c r="P490" i="3"/>
  <c r="U490" i="3"/>
  <c r="V490" i="3" s="1"/>
  <c r="T490" i="3"/>
  <c r="Y490" i="3"/>
  <c r="Z490" i="3" s="1"/>
  <c r="X490" i="3"/>
  <c r="AC490" i="3"/>
  <c r="AD490" i="3" s="1"/>
  <c r="AB490" i="3"/>
  <c r="AG490" i="3"/>
  <c r="AH490" i="3" s="1"/>
  <c r="AF490" i="3"/>
  <c r="B492" i="3"/>
  <c r="AE491" i="3"/>
  <c r="AA491" i="3"/>
  <c r="W491" i="3"/>
  <c r="S491" i="3"/>
  <c r="O491" i="3"/>
  <c r="K491" i="3"/>
  <c r="G491" i="3"/>
  <c r="C491" i="3"/>
  <c r="E491" i="3" l="1"/>
  <c r="F491" i="3" s="1"/>
  <c r="D491" i="3"/>
  <c r="I491" i="3"/>
  <c r="J491" i="3" s="1"/>
  <c r="H491" i="3"/>
  <c r="M491" i="3"/>
  <c r="N491" i="3" s="1"/>
  <c r="L491" i="3"/>
  <c r="Q491" i="3"/>
  <c r="R491" i="3" s="1"/>
  <c r="P491" i="3"/>
  <c r="U491" i="3"/>
  <c r="V491" i="3" s="1"/>
  <c r="T491" i="3"/>
  <c r="Y491" i="3"/>
  <c r="Z491" i="3" s="1"/>
  <c r="X491" i="3"/>
  <c r="AC491" i="3"/>
  <c r="AD491" i="3" s="1"/>
  <c r="AB491" i="3"/>
  <c r="AG491" i="3"/>
  <c r="AH491" i="3" s="1"/>
  <c r="AF491" i="3"/>
  <c r="B493" i="3"/>
  <c r="AE492" i="3"/>
  <c r="AA492" i="3"/>
  <c r="W492" i="3"/>
  <c r="S492" i="3"/>
  <c r="O492" i="3"/>
  <c r="K492" i="3"/>
  <c r="G492" i="3"/>
  <c r="C492" i="3"/>
  <c r="E492" i="3" l="1"/>
  <c r="F492" i="3" s="1"/>
  <c r="D492" i="3"/>
  <c r="I492" i="3"/>
  <c r="J492" i="3" s="1"/>
  <c r="H492" i="3"/>
  <c r="M492" i="3"/>
  <c r="N492" i="3" s="1"/>
  <c r="L492" i="3"/>
  <c r="Q492" i="3"/>
  <c r="R492" i="3" s="1"/>
  <c r="P492" i="3"/>
  <c r="U492" i="3"/>
  <c r="V492" i="3" s="1"/>
  <c r="T492" i="3"/>
  <c r="Y492" i="3"/>
  <c r="Z492" i="3" s="1"/>
  <c r="X492" i="3"/>
  <c r="AC492" i="3"/>
  <c r="AD492" i="3" s="1"/>
  <c r="AB492" i="3"/>
  <c r="AG492" i="3"/>
  <c r="AH492" i="3" s="1"/>
  <c r="AF492" i="3"/>
  <c r="B494" i="3"/>
  <c r="AE493" i="3"/>
  <c r="AA493" i="3"/>
  <c r="W493" i="3"/>
  <c r="S493" i="3"/>
  <c r="O493" i="3"/>
  <c r="K493" i="3"/>
  <c r="G493" i="3"/>
  <c r="C493" i="3"/>
  <c r="E493" i="3" l="1"/>
  <c r="F493" i="3" s="1"/>
  <c r="D493" i="3"/>
  <c r="I493" i="3"/>
  <c r="J493" i="3" s="1"/>
  <c r="H493" i="3"/>
  <c r="M493" i="3"/>
  <c r="N493" i="3" s="1"/>
  <c r="L493" i="3"/>
  <c r="Q493" i="3"/>
  <c r="R493" i="3" s="1"/>
  <c r="P493" i="3"/>
  <c r="U493" i="3"/>
  <c r="V493" i="3" s="1"/>
  <c r="T493" i="3"/>
  <c r="Y493" i="3"/>
  <c r="Z493" i="3" s="1"/>
  <c r="X493" i="3"/>
  <c r="AC493" i="3"/>
  <c r="AD493" i="3" s="1"/>
  <c r="AB493" i="3"/>
  <c r="AG493" i="3"/>
  <c r="AH493" i="3" s="1"/>
  <c r="AF493" i="3"/>
  <c r="B495" i="3"/>
  <c r="AE494" i="3"/>
  <c r="AA494" i="3"/>
  <c r="W494" i="3"/>
  <c r="S494" i="3"/>
  <c r="O494" i="3"/>
  <c r="K494" i="3"/>
  <c r="G494" i="3"/>
  <c r="C494" i="3"/>
  <c r="E494" i="3" l="1"/>
  <c r="F494" i="3" s="1"/>
  <c r="D494" i="3"/>
  <c r="I494" i="3"/>
  <c r="J494" i="3" s="1"/>
  <c r="H494" i="3"/>
  <c r="M494" i="3"/>
  <c r="N494" i="3" s="1"/>
  <c r="L494" i="3"/>
  <c r="Q494" i="3"/>
  <c r="R494" i="3" s="1"/>
  <c r="P494" i="3"/>
  <c r="U494" i="3"/>
  <c r="V494" i="3" s="1"/>
  <c r="T494" i="3"/>
  <c r="Y494" i="3"/>
  <c r="Z494" i="3" s="1"/>
  <c r="X494" i="3"/>
  <c r="AC494" i="3"/>
  <c r="AD494" i="3" s="1"/>
  <c r="AB494" i="3"/>
  <c r="AG494" i="3"/>
  <c r="AH494" i="3" s="1"/>
  <c r="AF494" i="3"/>
  <c r="B496" i="3"/>
  <c r="AE495" i="3"/>
  <c r="AA495" i="3"/>
  <c r="W495" i="3"/>
  <c r="S495" i="3"/>
  <c r="O495" i="3"/>
  <c r="K495" i="3"/>
  <c r="G495" i="3"/>
  <c r="C495" i="3"/>
  <c r="E495" i="3" l="1"/>
  <c r="F495" i="3" s="1"/>
  <c r="D495" i="3"/>
  <c r="I495" i="3"/>
  <c r="J495" i="3" s="1"/>
  <c r="H495" i="3"/>
  <c r="M495" i="3"/>
  <c r="N495" i="3" s="1"/>
  <c r="L495" i="3"/>
  <c r="Q495" i="3"/>
  <c r="R495" i="3" s="1"/>
  <c r="P495" i="3"/>
  <c r="U495" i="3"/>
  <c r="V495" i="3" s="1"/>
  <c r="T495" i="3"/>
  <c r="Y495" i="3"/>
  <c r="Z495" i="3" s="1"/>
  <c r="X495" i="3"/>
  <c r="AC495" i="3"/>
  <c r="AD495" i="3" s="1"/>
  <c r="AB495" i="3"/>
  <c r="AG495" i="3"/>
  <c r="AH495" i="3" s="1"/>
  <c r="AF495" i="3"/>
  <c r="B497" i="3"/>
  <c r="AE496" i="3"/>
  <c r="AA496" i="3"/>
  <c r="W496" i="3"/>
  <c r="S496" i="3"/>
  <c r="O496" i="3"/>
  <c r="K496" i="3"/>
  <c r="G496" i="3"/>
  <c r="C496" i="3"/>
  <c r="E496" i="3" l="1"/>
  <c r="F496" i="3" s="1"/>
  <c r="D496" i="3"/>
  <c r="I496" i="3"/>
  <c r="J496" i="3" s="1"/>
  <c r="H496" i="3"/>
  <c r="M496" i="3"/>
  <c r="N496" i="3" s="1"/>
  <c r="L496" i="3"/>
  <c r="Q496" i="3"/>
  <c r="R496" i="3" s="1"/>
  <c r="P496" i="3"/>
  <c r="U496" i="3"/>
  <c r="V496" i="3" s="1"/>
  <c r="T496" i="3"/>
  <c r="Y496" i="3"/>
  <c r="Z496" i="3" s="1"/>
  <c r="X496" i="3"/>
  <c r="AC496" i="3"/>
  <c r="AD496" i="3" s="1"/>
  <c r="AB496" i="3"/>
  <c r="AG496" i="3"/>
  <c r="AH496" i="3" s="1"/>
  <c r="AF496" i="3"/>
  <c r="B498" i="3"/>
  <c r="AE497" i="3"/>
  <c r="AA497" i="3"/>
  <c r="W497" i="3"/>
  <c r="S497" i="3"/>
  <c r="O497" i="3"/>
  <c r="K497" i="3"/>
  <c r="G497" i="3"/>
  <c r="C497" i="3"/>
  <c r="E497" i="3" l="1"/>
  <c r="F497" i="3" s="1"/>
  <c r="D497" i="3"/>
  <c r="I497" i="3"/>
  <c r="J497" i="3" s="1"/>
  <c r="H497" i="3"/>
  <c r="M497" i="3"/>
  <c r="N497" i="3" s="1"/>
  <c r="L497" i="3"/>
  <c r="Q497" i="3"/>
  <c r="R497" i="3" s="1"/>
  <c r="P497" i="3"/>
  <c r="U497" i="3"/>
  <c r="V497" i="3" s="1"/>
  <c r="T497" i="3"/>
  <c r="Y497" i="3"/>
  <c r="Z497" i="3" s="1"/>
  <c r="X497" i="3"/>
  <c r="AC497" i="3"/>
  <c r="AD497" i="3" s="1"/>
  <c r="AB497" i="3"/>
  <c r="AG497" i="3"/>
  <c r="AH497" i="3" s="1"/>
  <c r="AF497" i="3"/>
  <c r="B499" i="3"/>
  <c r="AE498" i="3"/>
  <c r="AA498" i="3"/>
  <c r="W498" i="3"/>
  <c r="S498" i="3"/>
  <c r="O498" i="3"/>
  <c r="K498" i="3"/>
  <c r="G498" i="3"/>
  <c r="C498" i="3"/>
  <c r="E498" i="3" l="1"/>
  <c r="F498" i="3" s="1"/>
  <c r="D498" i="3"/>
  <c r="I498" i="3"/>
  <c r="J498" i="3" s="1"/>
  <c r="H498" i="3"/>
  <c r="M498" i="3"/>
  <c r="N498" i="3" s="1"/>
  <c r="L498" i="3"/>
  <c r="Q498" i="3"/>
  <c r="R498" i="3" s="1"/>
  <c r="P498" i="3"/>
  <c r="U498" i="3"/>
  <c r="V498" i="3" s="1"/>
  <c r="T498" i="3"/>
  <c r="Y498" i="3"/>
  <c r="Z498" i="3" s="1"/>
  <c r="X498" i="3"/>
  <c r="AC498" i="3"/>
  <c r="AD498" i="3" s="1"/>
  <c r="AB498" i="3"/>
  <c r="AG498" i="3"/>
  <c r="AH498" i="3" s="1"/>
  <c r="AF498" i="3"/>
  <c r="B500" i="3"/>
  <c r="AE499" i="3"/>
  <c r="AA499" i="3"/>
  <c r="W499" i="3"/>
  <c r="S499" i="3"/>
  <c r="O499" i="3"/>
  <c r="K499" i="3"/>
  <c r="G499" i="3"/>
  <c r="C499" i="3"/>
  <c r="E499" i="3" l="1"/>
  <c r="F499" i="3" s="1"/>
  <c r="D499" i="3"/>
  <c r="I499" i="3"/>
  <c r="J499" i="3" s="1"/>
  <c r="H499" i="3"/>
  <c r="M499" i="3"/>
  <c r="N499" i="3" s="1"/>
  <c r="L499" i="3"/>
  <c r="Q499" i="3"/>
  <c r="R499" i="3" s="1"/>
  <c r="P499" i="3"/>
  <c r="U499" i="3"/>
  <c r="V499" i="3" s="1"/>
  <c r="T499" i="3"/>
  <c r="Y499" i="3"/>
  <c r="Z499" i="3" s="1"/>
  <c r="X499" i="3"/>
  <c r="AC499" i="3"/>
  <c r="AD499" i="3" s="1"/>
  <c r="AB499" i="3"/>
  <c r="AG499" i="3"/>
  <c r="AH499" i="3" s="1"/>
  <c r="AF499" i="3"/>
  <c r="B501" i="3"/>
  <c r="AE500" i="3"/>
  <c r="AA500" i="3"/>
  <c r="W500" i="3"/>
  <c r="S500" i="3"/>
  <c r="O500" i="3"/>
  <c r="K500" i="3"/>
  <c r="G500" i="3"/>
  <c r="C500" i="3"/>
  <c r="E500" i="3" l="1"/>
  <c r="F500" i="3" s="1"/>
  <c r="D500" i="3"/>
  <c r="I500" i="3"/>
  <c r="J500" i="3" s="1"/>
  <c r="H500" i="3"/>
  <c r="M500" i="3"/>
  <c r="N500" i="3" s="1"/>
  <c r="L500" i="3"/>
  <c r="Q500" i="3"/>
  <c r="R500" i="3" s="1"/>
  <c r="P500" i="3"/>
  <c r="U500" i="3"/>
  <c r="V500" i="3" s="1"/>
  <c r="T500" i="3"/>
  <c r="Y500" i="3"/>
  <c r="Z500" i="3" s="1"/>
  <c r="X500" i="3"/>
  <c r="AC500" i="3"/>
  <c r="AD500" i="3" s="1"/>
  <c r="AB500" i="3"/>
  <c r="AG500" i="3"/>
  <c r="AH500" i="3" s="1"/>
  <c r="AF500" i="3"/>
  <c r="B502" i="3"/>
  <c r="AE501" i="3"/>
  <c r="AA501" i="3"/>
  <c r="W501" i="3"/>
  <c r="S501" i="3"/>
  <c r="O501" i="3"/>
  <c r="K501" i="3"/>
  <c r="G501" i="3"/>
  <c r="C501" i="3"/>
  <c r="E501" i="3" l="1"/>
  <c r="F501" i="3" s="1"/>
  <c r="D501" i="3"/>
  <c r="I501" i="3"/>
  <c r="J501" i="3" s="1"/>
  <c r="H501" i="3"/>
  <c r="M501" i="3"/>
  <c r="N501" i="3" s="1"/>
  <c r="L501" i="3"/>
  <c r="Q501" i="3"/>
  <c r="R501" i="3" s="1"/>
  <c r="P501" i="3"/>
  <c r="U501" i="3"/>
  <c r="V501" i="3" s="1"/>
  <c r="T501" i="3"/>
  <c r="Y501" i="3"/>
  <c r="Z501" i="3" s="1"/>
  <c r="X501" i="3"/>
  <c r="AC501" i="3"/>
  <c r="AD501" i="3" s="1"/>
  <c r="AB501" i="3"/>
  <c r="AG501" i="3"/>
  <c r="AH501" i="3" s="1"/>
  <c r="AF501" i="3"/>
  <c r="B503" i="3"/>
  <c r="AE502" i="3"/>
  <c r="AA502" i="3"/>
  <c r="W502" i="3"/>
  <c r="S502" i="3"/>
  <c r="O502" i="3"/>
  <c r="K502" i="3"/>
  <c r="G502" i="3"/>
  <c r="C502" i="3"/>
  <c r="E502" i="3" l="1"/>
  <c r="F502" i="3" s="1"/>
  <c r="D502" i="3"/>
  <c r="I502" i="3"/>
  <c r="J502" i="3" s="1"/>
  <c r="H502" i="3"/>
  <c r="M502" i="3"/>
  <c r="N502" i="3" s="1"/>
  <c r="L502" i="3"/>
  <c r="Q502" i="3"/>
  <c r="R502" i="3" s="1"/>
  <c r="P502" i="3"/>
  <c r="U502" i="3"/>
  <c r="V502" i="3" s="1"/>
  <c r="T502" i="3"/>
  <c r="Y502" i="3"/>
  <c r="Z502" i="3" s="1"/>
  <c r="X502" i="3"/>
  <c r="AC502" i="3"/>
  <c r="AD502" i="3" s="1"/>
  <c r="AB502" i="3"/>
  <c r="AG502" i="3"/>
  <c r="AH502" i="3" s="1"/>
  <c r="AF502" i="3"/>
  <c r="B504" i="3"/>
  <c r="AE503" i="3"/>
  <c r="AA503" i="3"/>
  <c r="W503" i="3"/>
  <c r="S503" i="3"/>
  <c r="O503" i="3"/>
  <c r="K503" i="3"/>
  <c r="G503" i="3"/>
  <c r="C503" i="3"/>
  <c r="E503" i="3" l="1"/>
  <c r="F503" i="3" s="1"/>
  <c r="D503" i="3"/>
  <c r="I503" i="3"/>
  <c r="J503" i="3" s="1"/>
  <c r="H503" i="3"/>
  <c r="M503" i="3"/>
  <c r="N503" i="3" s="1"/>
  <c r="L503" i="3"/>
  <c r="Q503" i="3"/>
  <c r="R503" i="3" s="1"/>
  <c r="P503" i="3"/>
  <c r="U503" i="3"/>
  <c r="V503" i="3" s="1"/>
  <c r="T503" i="3"/>
  <c r="Y503" i="3"/>
  <c r="Z503" i="3" s="1"/>
  <c r="X503" i="3"/>
  <c r="AC503" i="3"/>
  <c r="AD503" i="3" s="1"/>
  <c r="AB503" i="3"/>
  <c r="AG503" i="3"/>
  <c r="AH503" i="3" s="1"/>
  <c r="AF503" i="3"/>
  <c r="B505" i="3"/>
  <c r="AE504" i="3"/>
  <c r="AA504" i="3"/>
  <c r="W504" i="3"/>
  <c r="S504" i="3"/>
  <c r="O504" i="3"/>
  <c r="K504" i="3"/>
  <c r="G504" i="3"/>
  <c r="C504" i="3"/>
  <c r="E504" i="3" l="1"/>
  <c r="F504" i="3" s="1"/>
  <c r="D504" i="3"/>
  <c r="I504" i="3"/>
  <c r="J504" i="3" s="1"/>
  <c r="H504" i="3"/>
  <c r="M504" i="3"/>
  <c r="N504" i="3" s="1"/>
  <c r="L504" i="3"/>
  <c r="Q504" i="3"/>
  <c r="R504" i="3" s="1"/>
  <c r="P504" i="3"/>
  <c r="U504" i="3"/>
  <c r="V504" i="3" s="1"/>
  <c r="T504" i="3"/>
  <c r="Y504" i="3"/>
  <c r="Z504" i="3" s="1"/>
  <c r="X504" i="3"/>
  <c r="AC504" i="3"/>
  <c r="AD504" i="3" s="1"/>
  <c r="AB504" i="3"/>
  <c r="AG504" i="3"/>
  <c r="AH504" i="3" s="1"/>
  <c r="AF504" i="3"/>
  <c r="B506" i="3"/>
  <c r="AE505" i="3"/>
  <c r="AA505" i="3"/>
  <c r="W505" i="3"/>
  <c r="S505" i="3"/>
  <c r="O505" i="3"/>
  <c r="K505" i="3"/>
  <c r="G505" i="3"/>
  <c r="C505" i="3"/>
  <c r="E505" i="3" l="1"/>
  <c r="F505" i="3" s="1"/>
  <c r="D505" i="3"/>
  <c r="I505" i="3"/>
  <c r="J505" i="3" s="1"/>
  <c r="H505" i="3"/>
  <c r="M505" i="3"/>
  <c r="N505" i="3" s="1"/>
  <c r="L505" i="3"/>
  <c r="Q505" i="3"/>
  <c r="R505" i="3" s="1"/>
  <c r="P505" i="3"/>
  <c r="U505" i="3"/>
  <c r="V505" i="3" s="1"/>
  <c r="T505" i="3"/>
  <c r="Y505" i="3"/>
  <c r="Z505" i="3" s="1"/>
  <c r="X505" i="3"/>
  <c r="AC505" i="3"/>
  <c r="AD505" i="3" s="1"/>
  <c r="AB505" i="3"/>
  <c r="AG505" i="3"/>
  <c r="AH505" i="3" s="1"/>
  <c r="AF505" i="3"/>
  <c r="B507" i="3"/>
  <c r="AE506" i="3"/>
  <c r="AA506" i="3"/>
  <c r="W506" i="3"/>
  <c r="S506" i="3"/>
  <c r="O506" i="3"/>
  <c r="K506" i="3"/>
  <c r="G506" i="3"/>
  <c r="C506" i="3"/>
  <c r="E506" i="3" l="1"/>
  <c r="F506" i="3" s="1"/>
  <c r="D506" i="3"/>
  <c r="I506" i="3"/>
  <c r="J506" i="3" s="1"/>
  <c r="H506" i="3"/>
  <c r="M506" i="3"/>
  <c r="N506" i="3" s="1"/>
  <c r="L506" i="3"/>
  <c r="Q506" i="3"/>
  <c r="R506" i="3" s="1"/>
  <c r="P506" i="3"/>
  <c r="U506" i="3"/>
  <c r="V506" i="3" s="1"/>
  <c r="T506" i="3"/>
  <c r="Y506" i="3"/>
  <c r="Z506" i="3" s="1"/>
  <c r="X506" i="3"/>
  <c r="AC506" i="3"/>
  <c r="AD506" i="3" s="1"/>
  <c r="AB506" i="3"/>
  <c r="AG506" i="3"/>
  <c r="AH506" i="3" s="1"/>
  <c r="AF506" i="3"/>
  <c r="B508" i="3"/>
  <c r="AE507" i="3"/>
  <c r="AA507" i="3"/>
  <c r="W507" i="3"/>
  <c r="S507" i="3"/>
  <c r="O507" i="3"/>
  <c r="K507" i="3"/>
  <c r="G507" i="3"/>
  <c r="C507" i="3"/>
  <c r="E507" i="3" l="1"/>
  <c r="F507" i="3" s="1"/>
  <c r="D507" i="3"/>
  <c r="I507" i="3"/>
  <c r="J507" i="3" s="1"/>
  <c r="H507" i="3"/>
  <c r="M507" i="3"/>
  <c r="N507" i="3" s="1"/>
  <c r="L507" i="3"/>
  <c r="Q507" i="3"/>
  <c r="R507" i="3" s="1"/>
  <c r="P507" i="3"/>
  <c r="U507" i="3"/>
  <c r="V507" i="3" s="1"/>
  <c r="T507" i="3"/>
  <c r="Y507" i="3"/>
  <c r="Z507" i="3" s="1"/>
  <c r="X507" i="3"/>
  <c r="AC507" i="3"/>
  <c r="AD507" i="3" s="1"/>
  <c r="AB507" i="3"/>
  <c r="AG507" i="3"/>
  <c r="AH507" i="3" s="1"/>
  <c r="AF507" i="3"/>
  <c r="B509" i="3"/>
  <c r="AE508" i="3"/>
  <c r="AA508" i="3"/>
  <c r="W508" i="3"/>
  <c r="S508" i="3"/>
  <c r="O508" i="3"/>
  <c r="K508" i="3"/>
  <c r="G508" i="3"/>
  <c r="C508" i="3"/>
  <c r="E508" i="3" l="1"/>
  <c r="F508" i="3" s="1"/>
  <c r="D508" i="3"/>
  <c r="I508" i="3"/>
  <c r="J508" i="3" s="1"/>
  <c r="H508" i="3"/>
  <c r="M508" i="3"/>
  <c r="N508" i="3" s="1"/>
  <c r="L508" i="3"/>
  <c r="Q508" i="3"/>
  <c r="R508" i="3" s="1"/>
  <c r="P508" i="3"/>
  <c r="U508" i="3"/>
  <c r="V508" i="3" s="1"/>
  <c r="T508" i="3"/>
  <c r="Y508" i="3"/>
  <c r="Z508" i="3" s="1"/>
  <c r="X508" i="3"/>
  <c r="AC508" i="3"/>
  <c r="AD508" i="3" s="1"/>
  <c r="AB508" i="3"/>
  <c r="AG508" i="3"/>
  <c r="AH508" i="3" s="1"/>
  <c r="AF508" i="3"/>
  <c r="B510" i="3"/>
  <c r="AE509" i="3"/>
  <c r="AA509" i="3"/>
  <c r="W509" i="3"/>
  <c r="S509" i="3"/>
  <c r="O509" i="3"/>
  <c r="K509" i="3"/>
  <c r="G509" i="3"/>
  <c r="C509" i="3"/>
  <c r="E509" i="3" l="1"/>
  <c r="F509" i="3" s="1"/>
  <c r="D509" i="3"/>
  <c r="I509" i="3"/>
  <c r="J509" i="3" s="1"/>
  <c r="H509" i="3"/>
  <c r="M509" i="3"/>
  <c r="N509" i="3" s="1"/>
  <c r="L509" i="3"/>
  <c r="Q509" i="3"/>
  <c r="R509" i="3" s="1"/>
  <c r="P509" i="3"/>
  <c r="U509" i="3"/>
  <c r="V509" i="3" s="1"/>
  <c r="T509" i="3"/>
  <c r="Y509" i="3"/>
  <c r="Z509" i="3" s="1"/>
  <c r="X509" i="3"/>
  <c r="AC509" i="3"/>
  <c r="AD509" i="3" s="1"/>
  <c r="AB509" i="3"/>
  <c r="AG509" i="3"/>
  <c r="AH509" i="3" s="1"/>
  <c r="AF509" i="3"/>
  <c r="B511" i="3"/>
  <c r="AE510" i="3"/>
  <c r="AA510" i="3"/>
  <c r="W510" i="3"/>
  <c r="S510" i="3"/>
  <c r="O510" i="3"/>
  <c r="K510" i="3"/>
  <c r="G510" i="3"/>
  <c r="C510" i="3"/>
  <c r="E510" i="3" l="1"/>
  <c r="F510" i="3" s="1"/>
  <c r="D510" i="3"/>
  <c r="I510" i="3"/>
  <c r="J510" i="3" s="1"/>
  <c r="H510" i="3"/>
  <c r="M510" i="3"/>
  <c r="N510" i="3" s="1"/>
  <c r="L510" i="3"/>
  <c r="Q510" i="3"/>
  <c r="R510" i="3" s="1"/>
  <c r="P510" i="3"/>
  <c r="U510" i="3"/>
  <c r="V510" i="3" s="1"/>
  <c r="T510" i="3"/>
  <c r="Y510" i="3"/>
  <c r="Z510" i="3" s="1"/>
  <c r="X510" i="3"/>
  <c r="AC510" i="3"/>
  <c r="AD510" i="3" s="1"/>
  <c r="AB510" i="3"/>
  <c r="AG510" i="3"/>
  <c r="AH510" i="3" s="1"/>
  <c r="AF510" i="3"/>
  <c r="B512" i="3"/>
  <c r="AE511" i="3"/>
  <c r="AA511" i="3"/>
  <c r="W511" i="3"/>
  <c r="S511" i="3"/>
  <c r="O511" i="3"/>
  <c r="K511" i="3"/>
  <c r="G511" i="3"/>
  <c r="C511" i="3"/>
  <c r="E511" i="3" l="1"/>
  <c r="F511" i="3" s="1"/>
  <c r="D511" i="3"/>
  <c r="I511" i="3"/>
  <c r="J511" i="3" s="1"/>
  <c r="H511" i="3"/>
  <c r="M511" i="3"/>
  <c r="N511" i="3" s="1"/>
  <c r="L511" i="3"/>
  <c r="Q511" i="3"/>
  <c r="R511" i="3" s="1"/>
  <c r="P511" i="3"/>
  <c r="U511" i="3"/>
  <c r="V511" i="3" s="1"/>
  <c r="T511" i="3"/>
  <c r="Y511" i="3"/>
  <c r="Z511" i="3" s="1"/>
  <c r="X511" i="3"/>
  <c r="AC511" i="3"/>
  <c r="AD511" i="3" s="1"/>
  <c r="AB511" i="3"/>
  <c r="AG511" i="3"/>
  <c r="AH511" i="3" s="1"/>
  <c r="AF511" i="3"/>
  <c r="B513" i="3"/>
  <c r="AE512" i="3"/>
  <c r="AA512" i="3"/>
  <c r="W512" i="3"/>
  <c r="S512" i="3"/>
  <c r="O512" i="3"/>
  <c r="K512" i="3"/>
  <c r="G512" i="3"/>
  <c r="C512" i="3"/>
  <c r="E512" i="3" l="1"/>
  <c r="F512" i="3" s="1"/>
  <c r="D512" i="3"/>
  <c r="I512" i="3"/>
  <c r="J512" i="3" s="1"/>
  <c r="H512" i="3"/>
  <c r="M512" i="3"/>
  <c r="N512" i="3" s="1"/>
  <c r="L512" i="3"/>
  <c r="Q512" i="3"/>
  <c r="R512" i="3" s="1"/>
  <c r="P512" i="3"/>
  <c r="U512" i="3"/>
  <c r="V512" i="3" s="1"/>
  <c r="T512" i="3"/>
  <c r="Y512" i="3"/>
  <c r="Z512" i="3" s="1"/>
  <c r="X512" i="3"/>
  <c r="AC512" i="3"/>
  <c r="AD512" i="3" s="1"/>
  <c r="AB512" i="3"/>
  <c r="AG512" i="3"/>
  <c r="AH512" i="3" s="1"/>
  <c r="AF512" i="3"/>
  <c r="B514" i="3"/>
  <c r="AE513" i="3"/>
  <c r="AA513" i="3"/>
  <c r="W513" i="3"/>
  <c r="S513" i="3"/>
  <c r="O513" i="3"/>
  <c r="K513" i="3"/>
  <c r="G513" i="3"/>
  <c r="C513" i="3"/>
  <c r="E513" i="3" l="1"/>
  <c r="F513" i="3" s="1"/>
  <c r="D513" i="3"/>
  <c r="I513" i="3"/>
  <c r="J513" i="3" s="1"/>
  <c r="H513" i="3"/>
  <c r="M513" i="3"/>
  <c r="N513" i="3" s="1"/>
  <c r="L513" i="3"/>
  <c r="Q513" i="3"/>
  <c r="R513" i="3" s="1"/>
  <c r="P513" i="3"/>
  <c r="U513" i="3"/>
  <c r="V513" i="3" s="1"/>
  <c r="T513" i="3"/>
  <c r="Y513" i="3"/>
  <c r="Z513" i="3" s="1"/>
  <c r="X513" i="3"/>
  <c r="AC513" i="3"/>
  <c r="AD513" i="3" s="1"/>
  <c r="AB513" i="3"/>
  <c r="AG513" i="3"/>
  <c r="AH513" i="3" s="1"/>
  <c r="AF513" i="3"/>
  <c r="B515" i="3"/>
  <c r="AE514" i="3"/>
  <c r="AA514" i="3"/>
  <c r="W514" i="3"/>
  <c r="S514" i="3"/>
  <c r="O514" i="3"/>
  <c r="K514" i="3"/>
  <c r="G514" i="3"/>
  <c r="C514" i="3"/>
  <c r="E514" i="3" l="1"/>
  <c r="F514" i="3" s="1"/>
  <c r="D514" i="3"/>
  <c r="I514" i="3"/>
  <c r="J514" i="3" s="1"/>
  <c r="H514" i="3"/>
  <c r="M514" i="3"/>
  <c r="N514" i="3" s="1"/>
  <c r="L514" i="3"/>
  <c r="Q514" i="3"/>
  <c r="R514" i="3" s="1"/>
  <c r="P514" i="3"/>
  <c r="U514" i="3"/>
  <c r="V514" i="3" s="1"/>
  <c r="T514" i="3"/>
  <c r="Y514" i="3"/>
  <c r="Z514" i="3" s="1"/>
  <c r="X514" i="3"/>
  <c r="AC514" i="3"/>
  <c r="AD514" i="3" s="1"/>
  <c r="AB514" i="3"/>
  <c r="AG514" i="3"/>
  <c r="AH514" i="3" s="1"/>
  <c r="AF514" i="3"/>
  <c r="B516" i="3"/>
  <c r="AE515" i="3"/>
  <c r="AA515" i="3"/>
  <c r="W515" i="3"/>
  <c r="S515" i="3"/>
  <c r="O515" i="3"/>
  <c r="K515" i="3"/>
  <c r="G515" i="3"/>
  <c r="C515" i="3"/>
  <c r="E515" i="3" l="1"/>
  <c r="F515" i="3" s="1"/>
  <c r="D515" i="3"/>
  <c r="I515" i="3"/>
  <c r="J515" i="3" s="1"/>
  <c r="H515" i="3"/>
  <c r="M515" i="3"/>
  <c r="N515" i="3" s="1"/>
  <c r="L515" i="3"/>
  <c r="Q515" i="3"/>
  <c r="R515" i="3" s="1"/>
  <c r="P515" i="3"/>
  <c r="U515" i="3"/>
  <c r="V515" i="3" s="1"/>
  <c r="T515" i="3"/>
  <c r="Y515" i="3"/>
  <c r="Z515" i="3" s="1"/>
  <c r="X515" i="3"/>
  <c r="AC515" i="3"/>
  <c r="AD515" i="3" s="1"/>
  <c r="AB515" i="3"/>
  <c r="AG515" i="3"/>
  <c r="AH515" i="3" s="1"/>
  <c r="AF515" i="3"/>
  <c r="B517" i="3"/>
  <c r="AE516" i="3"/>
  <c r="AA516" i="3"/>
  <c r="W516" i="3"/>
  <c r="S516" i="3"/>
  <c r="O516" i="3"/>
  <c r="K516" i="3"/>
  <c r="G516" i="3"/>
  <c r="C516" i="3"/>
  <c r="E516" i="3" l="1"/>
  <c r="F516" i="3" s="1"/>
  <c r="D516" i="3"/>
  <c r="I516" i="3"/>
  <c r="J516" i="3" s="1"/>
  <c r="H516" i="3"/>
  <c r="M516" i="3"/>
  <c r="N516" i="3" s="1"/>
  <c r="L516" i="3"/>
  <c r="Q516" i="3"/>
  <c r="R516" i="3" s="1"/>
  <c r="P516" i="3"/>
  <c r="U516" i="3"/>
  <c r="V516" i="3" s="1"/>
  <c r="T516" i="3"/>
  <c r="Y516" i="3"/>
  <c r="Z516" i="3" s="1"/>
  <c r="X516" i="3"/>
  <c r="AC516" i="3"/>
  <c r="AD516" i="3" s="1"/>
  <c r="AB516" i="3"/>
  <c r="AG516" i="3"/>
  <c r="AH516" i="3" s="1"/>
  <c r="AF516" i="3"/>
  <c r="B518" i="3"/>
  <c r="AE517" i="3"/>
  <c r="AA517" i="3"/>
  <c r="W517" i="3"/>
  <c r="S517" i="3"/>
  <c r="O517" i="3"/>
  <c r="K517" i="3"/>
  <c r="G517" i="3"/>
  <c r="C517" i="3"/>
  <c r="E517" i="3" l="1"/>
  <c r="F517" i="3" s="1"/>
  <c r="D517" i="3"/>
  <c r="I517" i="3"/>
  <c r="J517" i="3" s="1"/>
  <c r="H517" i="3"/>
  <c r="M517" i="3"/>
  <c r="N517" i="3" s="1"/>
  <c r="L517" i="3"/>
  <c r="Q517" i="3"/>
  <c r="R517" i="3" s="1"/>
  <c r="P517" i="3"/>
  <c r="U517" i="3"/>
  <c r="V517" i="3" s="1"/>
  <c r="T517" i="3"/>
  <c r="Y517" i="3"/>
  <c r="Z517" i="3" s="1"/>
  <c r="X517" i="3"/>
  <c r="AC517" i="3"/>
  <c r="AD517" i="3" s="1"/>
  <c r="AB517" i="3"/>
  <c r="AG517" i="3"/>
  <c r="AH517" i="3" s="1"/>
  <c r="AF517" i="3"/>
  <c r="B519" i="3"/>
  <c r="AE518" i="3"/>
  <c r="AA518" i="3"/>
  <c r="W518" i="3"/>
  <c r="S518" i="3"/>
  <c r="O518" i="3"/>
  <c r="K518" i="3"/>
  <c r="G518" i="3"/>
  <c r="C518" i="3"/>
  <c r="E518" i="3" l="1"/>
  <c r="F518" i="3" s="1"/>
  <c r="D518" i="3"/>
  <c r="I518" i="3"/>
  <c r="J518" i="3" s="1"/>
  <c r="H518" i="3"/>
  <c r="M518" i="3"/>
  <c r="N518" i="3" s="1"/>
  <c r="L518" i="3"/>
  <c r="Q518" i="3"/>
  <c r="R518" i="3" s="1"/>
  <c r="P518" i="3"/>
  <c r="U518" i="3"/>
  <c r="V518" i="3" s="1"/>
  <c r="T518" i="3"/>
  <c r="Y518" i="3"/>
  <c r="Z518" i="3" s="1"/>
  <c r="X518" i="3"/>
  <c r="AC518" i="3"/>
  <c r="AD518" i="3" s="1"/>
  <c r="AB518" i="3"/>
  <c r="AG518" i="3"/>
  <c r="AH518" i="3" s="1"/>
  <c r="AF518" i="3"/>
  <c r="B520" i="3"/>
  <c r="AE519" i="3"/>
  <c r="AA519" i="3"/>
  <c r="W519" i="3"/>
  <c r="S519" i="3"/>
  <c r="O519" i="3"/>
  <c r="K519" i="3"/>
  <c r="G519" i="3"/>
  <c r="C519" i="3"/>
  <c r="E519" i="3" l="1"/>
  <c r="F519" i="3" s="1"/>
  <c r="D519" i="3"/>
  <c r="I519" i="3"/>
  <c r="J519" i="3" s="1"/>
  <c r="H519" i="3"/>
  <c r="M519" i="3"/>
  <c r="N519" i="3" s="1"/>
  <c r="L519" i="3"/>
  <c r="Q519" i="3"/>
  <c r="R519" i="3" s="1"/>
  <c r="P519" i="3"/>
  <c r="U519" i="3"/>
  <c r="V519" i="3" s="1"/>
  <c r="T519" i="3"/>
  <c r="Y519" i="3"/>
  <c r="Z519" i="3" s="1"/>
  <c r="X519" i="3"/>
  <c r="AC519" i="3"/>
  <c r="AD519" i="3" s="1"/>
  <c r="AB519" i="3"/>
  <c r="AG519" i="3"/>
  <c r="AH519" i="3" s="1"/>
  <c r="AF519" i="3"/>
  <c r="B521" i="3"/>
  <c r="AE520" i="3"/>
  <c r="AA520" i="3"/>
  <c r="W520" i="3"/>
  <c r="S520" i="3"/>
  <c r="O520" i="3"/>
  <c r="K520" i="3"/>
  <c r="G520" i="3"/>
  <c r="C520" i="3"/>
  <c r="E520" i="3" l="1"/>
  <c r="F520" i="3" s="1"/>
  <c r="D520" i="3"/>
  <c r="I520" i="3"/>
  <c r="J520" i="3" s="1"/>
  <c r="H520" i="3"/>
  <c r="M520" i="3"/>
  <c r="N520" i="3" s="1"/>
  <c r="L520" i="3"/>
  <c r="Q520" i="3"/>
  <c r="R520" i="3" s="1"/>
  <c r="P520" i="3"/>
  <c r="U520" i="3"/>
  <c r="V520" i="3" s="1"/>
  <c r="T520" i="3"/>
  <c r="Y520" i="3"/>
  <c r="Z520" i="3" s="1"/>
  <c r="X520" i="3"/>
  <c r="AC520" i="3"/>
  <c r="AD520" i="3" s="1"/>
  <c r="AB520" i="3"/>
  <c r="AG520" i="3"/>
  <c r="AH520" i="3" s="1"/>
  <c r="AF520" i="3"/>
  <c r="B522" i="3"/>
  <c r="AE521" i="3"/>
  <c r="AA521" i="3"/>
  <c r="W521" i="3"/>
  <c r="S521" i="3"/>
  <c r="O521" i="3"/>
  <c r="K521" i="3"/>
  <c r="G521" i="3"/>
  <c r="C521" i="3"/>
  <c r="E521" i="3" l="1"/>
  <c r="F521" i="3" s="1"/>
  <c r="D521" i="3"/>
  <c r="I521" i="3"/>
  <c r="J521" i="3" s="1"/>
  <c r="H521" i="3"/>
  <c r="M521" i="3"/>
  <c r="N521" i="3" s="1"/>
  <c r="L521" i="3"/>
  <c r="Q521" i="3"/>
  <c r="R521" i="3" s="1"/>
  <c r="P521" i="3"/>
  <c r="U521" i="3"/>
  <c r="V521" i="3" s="1"/>
  <c r="T521" i="3"/>
  <c r="Y521" i="3"/>
  <c r="Z521" i="3" s="1"/>
  <c r="X521" i="3"/>
  <c r="AC521" i="3"/>
  <c r="AD521" i="3" s="1"/>
  <c r="AB521" i="3"/>
  <c r="AG521" i="3"/>
  <c r="AH521" i="3" s="1"/>
  <c r="AF521" i="3"/>
  <c r="B523" i="3"/>
  <c r="AE522" i="3"/>
  <c r="AA522" i="3"/>
  <c r="W522" i="3"/>
  <c r="S522" i="3"/>
  <c r="O522" i="3"/>
  <c r="K522" i="3"/>
  <c r="G522" i="3"/>
  <c r="C522" i="3"/>
  <c r="E522" i="3" l="1"/>
  <c r="F522" i="3" s="1"/>
  <c r="D522" i="3"/>
  <c r="I522" i="3"/>
  <c r="J522" i="3" s="1"/>
  <c r="H522" i="3"/>
  <c r="M522" i="3"/>
  <c r="N522" i="3" s="1"/>
  <c r="L522" i="3"/>
  <c r="Q522" i="3"/>
  <c r="R522" i="3" s="1"/>
  <c r="P522" i="3"/>
  <c r="U522" i="3"/>
  <c r="V522" i="3" s="1"/>
  <c r="T522" i="3"/>
  <c r="Y522" i="3"/>
  <c r="Z522" i="3" s="1"/>
  <c r="X522" i="3"/>
  <c r="AC522" i="3"/>
  <c r="AD522" i="3" s="1"/>
  <c r="AB522" i="3"/>
  <c r="AG522" i="3"/>
  <c r="AH522" i="3" s="1"/>
  <c r="AF522" i="3"/>
  <c r="B524" i="3"/>
  <c r="AE523" i="3"/>
  <c r="AA523" i="3"/>
  <c r="W523" i="3"/>
  <c r="S523" i="3"/>
  <c r="O523" i="3"/>
  <c r="K523" i="3"/>
  <c r="G523" i="3"/>
  <c r="C523" i="3"/>
  <c r="E523" i="3" l="1"/>
  <c r="F523" i="3" s="1"/>
  <c r="D523" i="3"/>
  <c r="I523" i="3"/>
  <c r="J523" i="3" s="1"/>
  <c r="H523" i="3"/>
  <c r="M523" i="3"/>
  <c r="N523" i="3" s="1"/>
  <c r="L523" i="3"/>
  <c r="Q523" i="3"/>
  <c r="R523" i="3" s="1"/>
  <c r="P523" i="3"/>
  <c r="U523" i="3"/>
  <c r="V523" i="3" s="1"/>
  <c r="T523" i="3"/>
  <c r="Y523" i="3"/>
  <c r="Z523" i="3" s="1"/>
  <c r="X523" i="3"/>
  <c r="AC523" i="3"/>
  <c r="AD523" i="3" s="1"/>
  <c r="AB523" i="3"/>
  <c r="AG523" i="3"/>
  <c r="AH523" i="3" s="1"/>
  <c r="AF523" i="3"/>
  <c r="B525" i="3"/>
  <c r="AE524" i="3"/>
  <c r="AA524" i="3"/>
  <c r="W524" i="3"/>
  <c r="S524" i="3"/>
  <c r="O524" i="3"/>
  <c r="K524" i="3"/>
  <c r="G524" i="3"/>
  <c r="C524" i="3"/>
  <c r="E524" i="3" l="1"/>
  <c r="F524" i="3" s="1"/>
  <c r="D524" i="3"/>
  <c r="I524" i="3"/>
  <c r="J524" i="3" s="1"/>
  <c r="H524" i="3"/>
  <c r="M524" i="3"/>
  <c r="N524" i="3" s="1"/>
  <c r="L524" i="3"/>
  <c r="Q524" i="3"/>
  <c r="R524" i="3" s="1"/>
  <c r="P524" i="3"/>
  <c r="U524" i="3"/>
  <c r="V524" i="3" s="1"/>
  <c r="T524" i="3"/>
  <c r="Y524" i="3"/>
  <c r="Z524" i="3" s="1"/>
  <c r="X524" i="3"/>
  <c r="AC524" i="3"/>
  <c r="AD524" i="3" s="1"/>
  <c r="AB524" i="3"/>
  <c r="AG524" i="3"/>
  <c r="AH524" i="3" s="1"/>
  <c r="AF524" i="3"/>
  <c r="B526" i="3"/>
  <c r="AE525" i="3"/>
  <c r="AA525" i="3"/>
  <c r="W525" i="3"/>
  <c r="S525" i="3"/>
  <c r="O525" i="3"/>
  <c r="K525" i="3"/>
  <c r="G525" i="3"/>
  <c r="C525" i="3"/>
  <c r="E525" i="3" l="1"/>
  <c r="F525" i="3" s="1"/>
  <c r="D525" i="3"/>
  <c r="I525" i="3"/>
  <c r="J525" i="3" s="1"/>
  <c r="H525" i="3"/>
  <c r="M525" i="3"/>
  <c r="N525" i="3" s="1"/>
  <c r="L525" i="3"/>
  <c r="Q525" i="3"/>
  <c r="R525" i="3" s="1"/>
  <c r="P525" i="3"/>
  <c r="U525" i="3"/>
  <c r="V525" i="3" s="1"/>
  <c r="T525" i="3"/>
  <c r="Y525" i="3"/>
  <c r="Z525" i="3" s="1"/>
  <c r="X525" i="3"/>
  <c r="AC525" i="3"/>
  <c r="AD525" i="3" s="1"/>
  <c r="AB525" i="3"/>
  <c r="AG525" i="3"/>
  <c r="AH525" i="3" s="1"/>
  <c r="AF525" i="3"/>
  <c r="B527" i="3"/>
  <c r="AE526" i="3"/>
  <c r="AA526" i="3"/>
  <c r="W526" i="3"/>
  <c r="S526" i="3"/>
  <c r="O526" i="3"/>
  <c r="K526" i="3"/>
  <c r="G526" i="3"/>
  <c r="C526" i="3"/>
  <c r="E526" i="3" l="1"/>
  <c r="F526" i="3" s="1"/>
  <c r="D526" i="3"/>
  <c r="I526" i="3"/>
  <c r="J526" i="3" s="1"/>
  <c r="H526" i="3"/>
  <c r="M526" i="3"/>
  <c r="N526" i="3" s="1"/>
  <c r="L526" i="3"/>
  <c r="Q526" i="3"/>
  <c r="R526" i="3" s="1"/>
  <c r="P526" i="3"/>
  <c r="U526" i="3"/>
  <c r="V526" i="3" s="1"/>
  <c r="T526" i="3"/>
  <c r="Y526" i="3"/>
  <c r="Z526" i="3" s="1"/>
  <c r="X526" i="3"/>
  <c r="AC526" i="3"/>
  <c r="AD526" i="3" s="1"/>
  <c r="AB526" i="3"/>
  <c r="AG526" i="3"/>
  <c r="AH526" i="3" s="1"/>
  <c r="AF526" i="3"/>
  <c r="B528" i="3"/>
  <c r="AE527" i="3"/>
  <c r="AA527" i="3"/>
  <c r="W527" i="3"/>
  <c r="S527" i="3"/>
  <c r="O527" i="3"/>
  <c r="K527" i="3"/>
  <c r="G527" i="3"/>
  <c r="C527" i="3"/>
  <c r="E527" i="3" l="1"/>
  <c r="F527" i="3" s="1"/>
  <c r="D527" i="3"/>
  <c r="I527" i="3"/>
  <c r="J527" i="3" s="1"/>
  <c r="H527" i="3"/>
  <c r="M527" i="3"/>
  <c r="N527" i="3" s="1"/>
  <c r="L527" i="3"/>
  <c r="Q527" i="3"/>
  <c r="R527" i="3" s="1"/>
  <c r="P527" i="3"/>
  <c r="U527" i="3"/>
  <c r="V527" i="3" s="1"/>
  <c r="T527" i="3"/>
  <c r="Y527" i="3"/>
  <c r="Z527" i="3" s="1"/>
  <c r="X527" i="3"/>
  <c r="AC527" i="3"/>
  <c r="AD527" i="3" s="1"/>
  <c r="AB527" i="3"/>
  <c r="AG527" i="3"/>
  <c r="AH527" i="3" s="1"/>
  <c r="AF527" i="3"/>
  <c r="B529" i="3"/>
  <c r="AE528" i="3"/>
  <c r="AA528" i="3"/>
  <c r="W528" i="3"/>
  <c r="S528" i="3"/>
  <c r="O528" i="3"/>
  <c r="K528" i="3"/>
  <c r="G528" i="3"/>
  <c r="C528" i="3"/>
  <c r="E528" i="3" l="1"/>
  <c r="F528" i="3" s="1"/>
  <c r="D528" i="3"/>
  <c r="I528" i="3"/>
  <c r="J528" i="3" s="1"/>
  <c r="H528" i="3"/>
  <c r="M528" i="3"/>
  <c r="N528" i="3" s="1"/>
  <c r="L528" i="3"/>
  <c r="Q528" i="3"/>
  <c r="R528" i="3" s="1"/>
  <c r="P528" i="3"/>
  <c r="U528" i="3"/>
  <c r="V528" i="3" s="1"/>
  <c r="T528" i="3"/>
  <c r="Y528" i="3"/>
  <c r="Z528" i="3" s="1"/>
  <c r="X528" i="3"/>
  <c r="AC528" i="3"/>
  <c r="AD528" i="3" s="1"/>
  <c r="AB528" i="3"/>
  <c r="AG528" i="3"/>
  <c r="AH528" i="3" s="1"/>
  <c r="AF528" i="3"/>
  <c r="B530" i="3"/>
  <c r="AE529" i="3"/>
  <c r="AA529" i="3"/>
  <c r="W529" i="3"/>
  <c r="S529" i="3"/>
  <c r="O529" i="3"/>
  <c r="K529" i="3"/>
  <c r="G529" i="3"/>
  <c r="C529" i="3"/>
  <c r="E529" i="3" l="1"/>
  <c r="F529" i="3" s="1"/>
  <c r="D529" i="3"/>
  <c r="I529" i="3"/>
  <c r="J529" i="3" s="1"/>
  <c r="H529" i="3"/>
  <c r="M529" i="3"/>
  <c r="N529" i="3" s="1"/>
  <c r="L529" i="3"/>
  <c r="Q529" i="3"/>
  <c r="R529" i="3" s="1"/>
  <c r="P529" i="3"/>
  <c r="U529" i="3"/>
  <c r="V529" i="3" s="1"/>
  <c r="T529" i="3"/>
  <c r="Y529" i="3"/>
  <c r="Z529" i="3" s="1"/>
  <c r="X529" i="3"/>
  <c r="AC529" i="3"/>
  <c r="AD529" i="3" s="1"/>
  <c r="AB529" i="3"/>
  <c r="AG529" i="3"/>
  <c r="AH529" i="3" s="1"/>
  <c r="AF529" i="3"/>
  <c r="B531" i="3"/>
  <c r="AE530" i="3"/>
  <c r="AA530" i="3"/>
  <c r="W530" i="3"/>
  <c r="S530" i="3"/>
  <c r="O530" i="3"/>
  <c r="K530" i="3"/>
  <c r="G530" i="3"/>
  <c r="C530" i="3"/>
  <c r="E530" i="3" l="1"/>
  <c r="F530" i="3" s="1"/>
  <c r="D530" i="3"/>
  <c r="I530" i="3"/>
  <c r="J530" i="3" s="1"/>
  <c r="H530" i="3"/>
  <c r="M530" i="3"/>
  <c r="N530" i="3" s="1"/>
  <c r="L530" i="3"/>
  <c r="Q530" i="3"/>
  <c r="R530" i="3" s="1"/>
  <c r="P530" i="3"/>
  <c r="U530" i="3"/>
  <c r="V530" i="3" s="1"/>
  <c r="T530" i="3"/>
  <c r="Y530" i="3"/>
  <c r="Z530" i="3" s="1"/>
  <c r="X530" i="3"/>
  <c r="AC530" i="3"/>
  <c r="AD530" i="3" s="1"/>
  <c r="AB530" i="3"/>
  <c r="AG530" i="3"/>
  <c r="AH530" i="3" s="1"/>
  <c r="AF530" i="3"/>
  <c r="B532" i="3"/>
  <c r="AE531" i="3"/>
  <c r="AA531" i="3"/>
  <c r="W531" i="3"/>
  <c r="S531" i="3"/>
  <c r="O531" i="3"/>
  <c r="K531" i="3"/>
  <c r="G531" i="3"/>
  <c r="C531" i="3"/>
  <c r="E531" i="3" l="1"/>
  <c r="F531" i="3" s="1"/>
  <c r="D531" i="3"/>
  <c r="I531" i="3"/>
  <c r="J531" i="3" s="1"/>
  <c r="H531" i="3"/>
  <c r="M531" i="3"/>
  <c r="N531" i="3" s="1"/>
  <c r="L531" i="3"/>
  <c r="Q531" i="3"/>
  <c r="R531" i="3" s="1"/>
  <c r="P531" i="3"/>
  <c r="U531" i="3"/>
  <c r="V531" i="3" s="1"/>
  <c r="T531" i="3"/>
  <c r="Y531" i="3"/>
  <c r="Z531" i="3" s="1"/>
  <c r="X531" i="3"/>
  <c r="AC531" i="3"/>
  <c r="AD531" i="3" s="1"/>
  <c r="AB531" i="3"/>
  <c r="AG531" i="3"/>
  <c r="AH531" i="3" s="1"/>
  <c r="AF531" i="3"/>
  <c r="B533" i="3"/>
  <c r="AE532" i="3"/>
  <c r="AA532" i="3"/>
  <c r="W532" i="3"/>
  <c r="S532" i="3"/>
  <c r="O532" i="3"/>
  <c r="K532" i="3"/>
  <c r="G532" i="3"/>
  <c r="C532" i="3"/>
  <c r="E532" i="3" l="1"/>
  <c r="F532" i="3" s="1"/>
  <c r="D532" i="3"/>
  <c r="I532" i="3"/>
  <c r="J532" i="3" s="1"/>
  <c r="H532" i="3"/>
  <c r="M532" i="3"/>
  <c r="N532" i="3" s="1"/>
  <c r="L532" i="3"/>
  <c r="Q532" i="3"/>
  <c r="R532" i="3" s="1"/>
  <c r="P532" i="3"/>
  <c r="U532" i="3"/>
  <c r="V532" i="3" s="1"/>
  <c r="T532" i="3"/>
  <c r="Y532" i="3"/>
  <c r="Z532" i="3" s="1"/>
  <c r="X532" i="3"/>
  <c r="AC532" i="3"/>
  <c r="AD532" i="3" s="1"/>
  <c r="AB532" i="3"/>
  <c r="AG532" i="3"/>
  <c r="AH532" i="3" s="1"/>
  <c r="AF532" i="3"/>
  <c r="B534" i="3"/>
  <c r="AE533" i="3"/>
  <c r="AA533" i="3"/>
  <c r="W533" i="3"/>
  <c r="S533" i="3"/>
  <c r="O533" i="3"/>
  <c r="K533" i="3"/>
  <c r="G533" i="3"/>
  <c r="C533" i="3"/>
  <c r="E533" i="3" l="1"/>
  <c r="F533" i="3" s="1"/>
  <c r="D533" i="3"/>
  <c r="I533" i="3"/>
  <c r="J533" i="3" s="1"/>
  <c r="H533" i="3"/>
  <c r="M533" i="3"/>
  <c r="N533" i="3" s="1"/>
  <c r="L533" i="3"/>
  <c r="Q533" i="3"/>
  <c r="R533" i="3" s="1"/>
  <c r="P533" i="3"/>
  <c r="U533" i="3"/>
  <c r="V533" i="3" s="1"/>
  <c r="T533" i="3"/>
  <c r="Y533" i="3"/>
  <c r="Z533" i="3" s="1"/>
  <c r="X533" i="3"/>
  <c r="AC533" i="3"/>
  <c r="AD533" i="3" s="1"/>
  <c r="AB533" i="3"/>
  <c r="AG533" i="3"/>
  <c r="AH533" i="3" s="1"/>
  <c r="AF533" i="3"/>
  <c r="B535" i="3"/>
  <c r="AE534" i="3"/>
  <c r="AA534" i="3"/>
  <c r="W534" i="3"/>
  <c r="S534" i="3"/>
  <c r="O534" i="3"/>
  <c r="K534" i="3"/>
  <c r="G534" i="3"/>
  <c r="C534" i="3"/>
  <c r="E534" i="3" l="1"/>
  <c r="F534" i="3" s="1"/>
  <c r="D534" i="3"/>
  <c r="I534" i="3"/>
  <c r="J534" i="3" s="1"/>
  <c r="H534" i="3"/>
  <c r="M534" i="3"/>
  <c r="N534" i="3" s="1"/>
  <c r="L534" i="3"/>
  <c r="Q534" i="3"/>
  <c r="R534" i="3" s="1"/>
  <c r="P534" i="3"/>
  <c r="U534" i="3"/>
  <c r="V534" i="3" s="1"/>
  <c r="T534" i="3"/>
  <c r="Y534" i="3"/>
  <c r="Z534" i="3" s="1"/>
  <c r="X534" i="3"/>
  <c r="AC534" i="3"/>
  <c r="AD534" i="3" s="1"/>
  <c r="AB534" i="3"/>
  <c r="AG534" i="3"/>
  <c r="AH534" i="3" s="1"/>
  <c r="AF534" i="3"/>
  <c r="B536" i="3"/>
  <c r="AE535" i="3"/>
  <c r="AA535" i="3"/>
  <c r="W535" i="3"/>
  <c r="S535" i="3"/>
  <c r="O535" i="3"/>
  <c r="K535" i="3"/>
  <c r="G535" i="3"/>
  <c r="C535" i="3"/>
  <c r="E535" i="3" l="1"/>
  <c r="F535" i="3" s="1"/>
  <c r="D535" i="3"/>
  <c r="I535" i="3"/>
  <c r="J535" i="3" s="1"/>
  <c r="H535" i="3"/>
  <c r="M535" i="3"/>
  <c r="N535" i="3" s="1"/>
  <c r="L535" i="3"/>
  <c r="Q535" i="3"/>
  <c r="R535" i="3" s="1"/>
  <c r="P535" i="3"/>
  <c r="U535" i="3"/>
  <c r="V535" i="3" s="1"/>
  <c r="T535" i="3"/>
  <c r="Y535" i="3"/>
  <c r="Z535" i="3" s="1"/>
  <c r="X535" i="3"/>
  <c r="AC535" i="3"/>
  <c r="AD535" i="3" s="1"/>
  <c r="AB535" i="3"/>
  <c r="AG535" i="3"/>
  <c r="AH535" i="3" s="1"/>
  <c r="AF535" i="3"/>
  <c r="B537" i="3"/>
  <c r="AE536" i="3"/>
  <c r="AA536" i="3"/>
  <c r="W536" i="3"/>
  <c r="S536" i="3"/>
  <c r="O536" i="3"/>
  <c r="K536" i="3"/>
  <c r="G536" i="3"/>
  <c r="C536" i="3"/>
  <c r="E536" i="3" l="1"/>
  <c r="F536" i="3" s="1"/>
  <c r="D536" i="3"/>
  <c r="I536" i="3"/>
  <c r="J536" i="3" s="1"/>
  <c r="H536" i="3"/>
  <c r="M536" i="3"/>
  <c r="N536" i="3" s="1"/>
  <c r="L536" i="3"/>
  <c r="Q536" i="3"/>
  <c r="R536" i="3" s="1"/>
  <c r="P536" i="3"/>
  <c r="U536" i="3"/>
  <c r="V536" i="3" s="1"/>
  <c r="T536" i="3"/>
  <c r="Y536" i="3"/>
  <c r="Z536" i="3" s="1"/>
  <c r="X536" i="3"/>
  <c r="AC536" i="3"/>
  <c r="AD536" i="3" s="1"/>
  <c r="AB536" i="3"/>
  <c r="AG536" i="3"/>
  <c r="AH536" i="3" s="1"/>
  <c r="AF536" i="3"/>
  <c r="B538" i="3"/>
  <c r="AE537" i="3"/>
  <c r="AA537" i="3"/>
  <c r="W537" i="3"/>
  <c r="S537" i="3"/>
  <c r="O537" i="3"/>
  <c r="K537" i="3"/>
  <c r="G537" i="3"/>
  <c r="C537" i="3"/>
  <c r="E537" i="3" l="1"/>
  <c r="F537" i="3" s="1"/>
  <c r="D537" i="3"/>
  <c r="I537" i="3"/>
  <c r="J537" i="3" s="1"/>
  <c r="H537" i="3"/>
  <c r="M537" i="3"/>
  <c r="N537" i="3" s="1"/>
  <c r="L537" i="3"/>
  <c r="Q537" i="3"/>
  <c r="R537" i="3" s="1"/>
  <c r="P537" i="3"/>
  <c r="U537" i="3"/>
  <c r="V537" i="3" s="1"/>
  <c r="T537" i="3"/>
  <c r="Y537" i="3"/>
  <c r="Z537" i="3" s="1"/>
  <c r="X537" i="3"/>
  <c r="AC537" i="3"/>
  <c r="AD537" i="3" s="1"/>
  <c r="AB537" i="3"/>
  <c r="AG537" i="3"/>
  <c r="AH537" i="3" s="1"/>
  <c r="AF537" i="3"/>
  <c r="B539" i="3"/>
  <c r="AE538" i="3"/>
  <c r="AA538" i="3"/>
  <c r="W538" i="3"/>
  <c r="S538" i="3"/>
  <c r="O538" i="3"/>
  <c r="K538" i="3"/>
  <c r="G538" i="3"/>
  <c r="C538" i="3"/>
  <c r="E538" i="3" l="1"/>
  <c r="F538" i="3" s="1"/>
  <c r="D538" i="3"/>
  <c r="I538" i="3"/>
  <c r="J538" i="3" s="1"/>
  <c r="H538" i="3"/>
  <c r="M538" i="3"/>
  <c r="N538" i="3" s="1"/>
  <c r="L538" i="3"/>
  <c r="Q538" i="3"/>
  <c r="R538" i="3" s="1"/>
  <c r="P538" i="3"/>
  <c r="U538" i="3"/>
  <c r="V538" i="3" s="1"/>
  <c r="T538" i="3"/>
  <c r="Y538" i="3"/>
  <c r="Z538" i="3" s="1"/>
  <c r="X538" i="3"/>
  <c r="AC538" i="3"/>
  <c r="AD538" i="3" s="1"/>
  <c r="AB538" i="3"/>
  <c r="AG538" i="3"/>
  <c r="AH538" i="3" s="1"/>
  <c r="AF538" i="3"/>
  <c r="B540" i="3"/>
  <c r="AE539" i="3"/>
  <c r="AA539" i="3"/>
  <c r="W539" i="3"/>
  <c r="S539" i="3"/>
  <c r="O539" i="3"/>
  <c r="K539" i="3"/>
  <c r="G539" i="3"/>
  <c r="C539" i="3"/>
  <c r="E539" i="3" l="1"/>
  <c r="F539" i="3" s="1"/>
  <c r="D539" i="3"/>
  <c r="I539" i="3"/>
  <c r="J539" i="3" s="1"/>
  <c r="H539" i="3"/>
  <c r="M539" i="3"/>
  <c r="N539" i="3" s="1"/>
  <c r="L539" i="3"/>
  <c r="Q539" i="3"/>
  <c r="R539" i="3" s="1"/>
  <c r="P539" i="3"/>
  <c r="U539" i="3"/>
  <c r="V539" i="3" s="1"/>
  <c r="T539" i="3"/>
  <c r="Y539" i="3"/>
  <c r="Z539" i="3" s="1"/>
  <c r="X539" i="3"/>
  <c r="AC539" i="3"/>
  <c r="AD539" i="3" s="1"/>
  <c r="AB539" i="3"/>
  <c r="AG539" i="3"/>
  <c r="AH539" i="3" s="1"/>
  <c r="AF539" i="3"/>
  <c r="B541" i="3"/>
  <c r="AE540" i="3"/>
  <c r="AA540" i="3"/>
  <c r="W540" i="3"/>
  <c r="S540" i="3"/>
  <c r="O540" i="3"/>
  <c r="K540" i="3"/>
  <c r="G540" i="3"/>
  <c r="C540" i="3"/>
  <c r="E540" i="3" l="1"/>
  <c r="F540" i="3" s="1"/>
  <c r="D540" i="3"/>
  <c r="I540" i="3"/>
  <c r="J540" i="3" s="1"/>
  <c r="H540" i="3"/>
  <c r="M540" i="3"/>
  <c r="N540" i="3" s="1"/>
  <c r="L540" i="3"/>
  <c r="Q540" i="3"/>
  <c r="R540" i="3" s="1"/>
  <c r="P540" i="3"/>
  <c r="U540" i="3"/>
  <c r="V540" i="3" s="1"/>
  <c r="T540" i="3"/>
  <c r="Y540" i="3"/>
  <c r="Z540" i="3" s="1"/>
  <c r="X540" i="3"/>
  <c r="AC540" i="3"/>
  <c r="AD540" i="3" s="1"/>
  <c r="AB540" i="3"/>
  <c r="AG540" i="3"/>
  <c r="AH540" i="3" s="1"/>
  <c r="AF540" i="3"/>
  <c r="B542" i="3"/>
  <c r="AE541" i="3"/>
  <c r="AA541" i="3"/>
  <c r="W541" i="3"/>
  <c r="S541" i="3"/>
  <c r="O541" i="3"/>
  <c r="K541" i="3"/>
  <c r="G541" i="3"/>
  <c r="C541" i="3"/>
  <c r="E541" i="3" l="1"/>
  <c r="F541" i="3" s="1"/>
  <c r="D541" i="3"/>
  <c r="I541" i="3"/>
  <c r="J541" i="3" s="1"/>
  <c r="H541" i="3"/>
  <c r="M541" i="3"/>
  <c r="N541" i="3" s="1"/>
  <c r="L541" i="3"/>
  <c r="Q541" i="3"/>
  <c r="R541" i="3" s="1"/>
  <c r="P541" i="3"/>
  <c r="U541" i="3"/>
  <c r="V541" i="3" s="1"/>
  <c r="T541" i="3"/>
  <c r="Y541" i="3"/>
  <c r="Z541" i="3" s="1"/>
  <c r="X541" i="3"/>
  <c r="AC541" i="3"/>
  <c r="AD541" i="3" s="1"/>
  <c r="AB541" i="3"/>
  <c r="AG541" i="3"/>
  <c r="AH541" i="3" s="1"/>
  <c r="AF541" i="3"/>
  <c r="B543" i="3"/>
  <c r="AE542" i="3"/>
  <c r="AA542" i="3"/>
  <c r="W542" i="3"/>
  <c r="S542" i="3"/>
  <c r="O542" i="3"/>
  <c r="K542" i="3"/>
  <c r="G542" i="3"/>
  <c r="C542" i="3"/>
  <c r="E542" i="3" l="1"/>
  <c r="F542" i="3" s="1"/>
  <c r="D542" i="3"/>
  <c r="I542" i="3"/>
  <c r="J542" i="3" s="1"/>
  <c r="H542" i="3"/>
  <c r="M542" i="3"/>
  <c r="N542" i="3" s="1"/>
  <c r="L542" i="3"/>
  <c r="Q542" i="3"/>
  <c r="R542" i="3" s="1"/>
  <c r="P542" i="3"/>
  <c r="U542" i="3"/>
  <c r="V542" i="3" s="1"/>
  <c r="T542" i="3"/>
  <c r="Y542" i="3"/>
  <c r="Z542" i="3" s="1"/>
  <c r="X542" i="3"/>
  <c r="AC542" i="3"/>
  <c r="AD542" i="3" s="1"/>
  <c r="AB542" i="3"/>
  <c r="AG542" i="3"/>
  <c r="AH542" i="3" s="1"/>
  <c r="AF542" i="3"/>
  <c r="B544" i="3"/>
  <c r="AE543" i="3"/>
  <c r="AA543" i="3"/>
  <c r="W543" i="3"/>
  <c r="S543" i="3"/>
  <c r="O543" i="3"/>
  <c r="K543" i="3"/>
  <c r="G543" i="3"/>
  <c r="C543" i="3"/>
  <c r="E543" i="3" l="1"/>
  <c r="F543" i="3" s="1"/>
  <c r="D543" i="3"/>
  <c r="I543" i="3"/>
  <c r="J543" i="3" s="1"/>
  <c r="H543" i="3"/>
  <c r="M543" i="3"/>
  <c r="N543" i="3" s="1"/>
  <c r="L543" i="3"/>
  <c r="Q543" i="3"/>
  <c r="R543" i="3" s="1"/>
  <c r="P543" i="3"/>
  <c r="U543" i="3"/>
  <c r="V543" i="3" s="1"/>
  <c r="T543" i="3"/>
  <c r="Y543" i="3"/>
  <c r="Z543" i="3" s="1"/>
  <c r="X543" i="3"/>
  <c r="AC543" i="3"/>
  <c r="AD543" i="3" s="1"/>
  <c r="AB543" i="3"/>
  <c r="AG543" i="3"/>
  <c r="AH543" i="3" s="1"/>
  <c r="AF543" i="3"/>
  <c r="B545" i="3"/>
  <c r="AE544" i="3"/>
  <c r="AA544" i="3"/>
  <c r="W544" i="3"/>
  <c r="S544" i="3"/>
  <c r="O544" i="3"/>
  <c r="K544" i="3"/>
  <c r="G544" i="3"/>
  <c r="C544" i="3"/>
  <c r="E544" i="3" l="1"/>
  <c r="F544" i="3" s="1"/>
  <c r="D544" i="3"/>
  <c r="I544" i="3"/>
  <c r="J544" i="3" s="1"/>
  <c r="H544" i="3"/>
  <c r="M544" i="3"/>
  <c r="N544" i="3" s="1"/>
  <c r="L544" i="3"/>
  <c r="Q544" i="3"/>
  <c r="R544" i="3" s="1"/>
  <c r="P544" i="3"/>
  <c r="U544" i="3"/>
  <c r="V544" i="3" s="1"/>
  <c r="T544" i="3"/>
  <c r="Y544" i="3"/>
  <c r="Z544" i="3" s="1"/>
  <c r="X544" i="3"/>
  <c r="AC544" i="3"/>
  <c r="AD544" i="3" s="1"/>
  <c r="AB544" i="3"/>
  <c r="AG544" i="3"/>
  <c r="AH544" i="3" s="1"/>
  <c r="AF544" i="3"/>
  <c r="B546" i="3"/>
  <c r="AE545" i="3"/>
  <c r="AA545" i="3"/>
  <c r="W545" i="3"/>
  <c r="S545" i="3"/>
  <c r="O545" i="3"/>
  <c r="K545" i="3"/>
  <c r="G545" i="3"/>
  <c r="C545" i="3"/>
  <c r="E545" i="3" l="1"/>
  <c r="F545" i="3" s="1"/>
  <c r="D545" i="3"/>
  <c r="I545" i="3"/>
  <c r="J545" i="3" s="1"/>
  <c r="H545" i="3"/>
  <c r="M545" i="3"/>
  <c r="N545" i="3" s="1"/>
  <c r="L545" i="3"/>
  <c r="Q545" i="3"/>
  <c r="R545" i="3" s="1"/>
  <c r="P545" i="3"/>
  <c r="U545" i="3"/>
  <c r="V545" i="3" s="1"/>
  <c r="T545" i="3"/>
  <c r="Y545" i="3"/>
  <c r="Z545" i="3" s="1"/>
  <c r="X545" i="3"/>
  <c r="AC545" i="3"/>
  <c r="AD545" i="3" s="1"/>
  <c r="AB545" i="3"/>
  <c r="AG545" i="3"/>
  <c r="AH545" i="3" s="1"/>
  <c r="AF545" i="3"/>
  <c r="B547" i="3"/>
  <c r="AE546" i="3"/>
  <c r="AA546" i="3"/>
  <c r="W546" i="3"/>
  <c r="S546" i="3"/>
  <c r="O546" i="3"/>
  <c r="K546" i="3"/>
  <c r="G546" i="3"/>
  <c r="C546" i="3"/>
  <c r="E546" i="3" l="1"/>
  <c r="F546" i="3" s="1"/>
  <c r="D546" i="3"/>
  <c r="I546" i="3"/>
  <c r="J546" i="3" s="1"/>
  <c r="H546" i="3"/>
  <c r="M546" i="3"/>
  <c r="N546" i="3" s="1"/>
  <c r="L546" i="3"/>
  <c r="Q546" i="3"/>
  <c r="R546" i="3" s="1"/>
  <c r="P546" i="3"/>
  <c r="U546" i="3"/>
  <c r="V546" i="3" s="1"/>
  <c r="T546" i="3"/>
  <c r="Y546" i="3"/>
  <c r="Z546" i="3" s="1"/>
  <c r="X546" i="3"/>
  <c r="AC546" i="3"/>
  <c r="AD546" i="3" s="1"/>
  <c r="AB546" i="3"/>
  <c r="AG546" i="3"/>
  <c r="AH546" i="3" s="1"/>
  <c r="AF546" i="3"/>
  <c r="B548" i="3"/>
  <c r="AE547" i="3"/>
  <c r="AA547" i="3"/>
  <c r="W547" i="3"/>
  <c r="S547" i="3"/>
  <c r="O547" i="3"/>
  <c r="K547" i="3"/>
  <c r="G547" i="3"/>
  <c r="C547" i="3"/>
  <c r="E547" i="3" l="1"/>
  <c r="F547" i="3" s="1"/>
  <c r="D547" i="3"/>
  <c r="I547" i="3"/>
  <c r="J547" i="3" s="1"/>
  <c r="H547" i="3"/>
  <c r="M547" i="3"/>
  <c r="N547" i="3" s="1"/>
  <c r="L547" i="3"/>
  <c r="Q547" i="3"/>
  <c r="R547" i="3" s="1"/>
  <c r="P547" i="3"/>
  <c r="U547" i="3"/>
  <c r="V547" i="3" s="1"/>
  <c r="T547" i="3"/>
  <c r="Y547" i="3"/>
  <c r="Z547" i="3" s="1"/>
  <c r="X547" i="3"/>
  <c r="AC547" i="3"/>
  <c r="AD547" i="3" s="1"/>
  <c r="AB547" i="3"/>
  <c r="AG547" i="3"/>
  <c r="AH547" i="3" s="1"/>
  <c r="AF547" i="3"/>
  <c r="B549" i="3"/>
  <c r="AE548" i="3"/>
  <c r="AA548" i="3"/>
  <c r="W548" i="3"/>
  <c r="S548" i="3"/>
  <c r="O548" i="3"/>
  <c r="K548" i="3"/>
  <c r="G548" i="3"/>
  <c r="C548" i="3"/>
  <c r="E548" i="3" l="1"/>
  <c r="F548" i="3" s="1"/>
  <c r="D548" i="3"/>
  <c r="I548" i="3"/>
  <c r="J548" i="3" s="1"/>
  <c r="H548" i="3"/>
  <c r="M548" i="3"/>
  <c r="N548" i="3" s="1"/>
  <c r="L548" i="3"/>
  <c r="Q548" i="3"/>
  <c r="R548" i="3" s="1"/>
  <c r="P548" i="3"/>
  <c r="U548" i="3"/>
  <c r="V548" i="3" s="1"/>
  <c r="T548" i="3"/>
  <c r="Y548" i="3"/>
  <c r="Z548" i="3" s="1"/>
  <c r="X548" i="3"/>
  <c r="AC548" i="3"/>
  <c r="AD548" i="3" s="1"/>
  <c r="AB548" i="3"/>
  <c r="AG548" i="3"/>
  <c r="AH548" i="3" s="1"/>
  <c r="AF548" i="3"/>
  <c r="B550" i="3"/>
  <c r="AE549" i="3"/>
  <c r="AA549" i="3"/>
  <c r="W549" i="3"/>
  <c r="S549" i="3"/>
  <c r="O549" i="3"/>
  <c r="K549" i="3"/>
  <c r="G549" i="3"/>
  <c r="C549" i="3"/>
  <c r="E549" i="3" l="1"/>
  <c r="F549" i="3" s="1"/>
  <c r="D549" i="3"/>
  <c r="I549" i="3"/>
  <c r="J549" i="3" s="1"/>
  <c r="H549" i="3"/>
  <c r="M549" i="3"/>
  <c r="N549" i="3" s="1"/>
  <c r="L549" i="3"/>
  <c r="Q549" i="3"/>
  <c r="R549" i="3" s="1"/>
  <c r="P549" i="3"/>
  <c r="U549" i="3"/>
  <c r="V549" i="3" s="1"/>
  <c r="T549" i="3"/>
  <c r="Y549" i="3"/>
  <c r="Z549" i="3" s="1"/>
  <c r="X549" i="3"/>
  <c r="AC549" i="3"/>
  <c r="AD549" i="3" s="1"/>
  <c r="AB549" i="3"/>
  <c r="AG549" i="3"/>
  <c r="AH549" i="3" s="1"/>
  <c r="AF549" i="3"/>
  <c r="B551" i="3"/>
  <c r="AE550" i="3"/>
  <c r="AA550" i="3"/>
  <c r="W550" i="3"/>
  <c r="S550" i="3"/>
  <c r="O550" i="3"/>
  <c r="K550" i="3"/>
  <c r="G550" i="3"/>
  <c r="C550" i="3"/>
  <c r="E550" i="3" l="1"/>
  <c r="F550" i="3" s="1"/>
  <c r="D550" i="3"/>
  <c r="I550" i="3"/>
  <c r="J550" i="3" s="1"/>
  <c r="H550" i="3"/>
  <c r="M550" i="3"/>
  <c r="N550" i="3" s="1"/>
  <c r="L550" i="3"/>
  <c r="Q550" i="3"/>
  <c r="R550" i="3" s="1"/>
  <c r="P550" i="3"/>
  <c r="U550" i="3"/>
  <c r="V550" i="3" s="1"/>
  <c r="T550" i="3"/>
  <c r="Y550" i="3"/>
  <c r="Z550" i="3" s="1"/>
  <c r="X550" i="3"/>
  <c r="AC550" i="3"/>
  <c r="AD550" i="3" s="1"/>
  <c r="AB550" i="3"/>
  <c r="AG550" i="3"/>
  <c r="AH550" i="3" s="1"/>
  <c r="AF550" i="3"/>
  <c r="B552" i="3"/>
  <c r="AE551" i="3"/>
  <c r="AA551" i="3"/>
  <c r="W551" i="3"/>
  <c r="S551" i="3"/>
  <c r="O551" i="3"/>
  <c r="K551" i="3"/>
  <c r="G551" i="3"/>
  <c r="C551" i="3"/>
  <c r="E551" i="3" l="1"/>
  <c r="F551" i="3" s="1"/>
  <c r="D551" i="3"/>
  <c r="I551" i="3"/>
  <c r="J551" i="3" s="1"/>
  <c r="H551" i="3"/>
  <c r="M551" i="3"/>
  <c r="N551" i="3" s="1"/>
  <c r="L551" i="3"/>
  <c r="Q551" i="3"/>
  <c r="R551" i="3" s="1"/>
  <c r="P551" i="3"/>
  <c r="U551" i="3"/>
  <c r="V551" i="3" s="1"/>
  <c r="T551" i="3"/>
  <c r="Y551" i="3"/>
  <c r="Z551" i="3" s="1"/>
  <c r="X551" i="3"/>
  <c r="AC551" i="3"/>
  <c r="AD551" i="3" s="1"/>
  <c r="AB551" i="3"/>
  <c r="AG551" i="3"/>
  <c r="AH551" i="3" s="1"/>
  <c r="AF551" i="3"/>
  <c r="B553" i="3"/>
  <c r="AE552" i="3"/>
  <c r="AA552" i="3"/>
  <c r="W552" i="3"/>
  <c r="S552" i="3"/>
  <c r="O552" i="3"/>
  <c r="K552" i="3"/>
  <c r="G552" i="3"/>
  <c r="C552" i="3"/>
  <c r="E552" i="3" l="1"/>
  <c r="F552" i="3" s="1"/>
  <c r="D552" i="3"/>
  <c r="I552" i="3"/>
  <c r="J552" i="3" s="1"/>
  <c r="H552" i="3"/>
  <c r="M552" i="3"/>
  <c r="N552" i="3" s="1"/>
  <c r="L552" i="3"/>
  <c r="Q552" i="3"/>
  <c r="R552" i="3" s="1"/>
  <c r="P552" i="3"/>
  <c r="U552" i="3"/>
  <c r="V552" i="3" s="1"/>
  <c r="T552" i="3"/>
  <c r="Y552" i="3"/>
  <c r="Z552" i="3" s="1"/>
  <c r="X552" i="3"/>
  <c r="AC552" i="3"/>
  <c r="AD552" i="3" s="1"/>
  <c r="AB552" i="3"/>
  <c r="AG552" i="3"/>
  <c r="AH552" i="3" s="1"/>
  <c r="AF552" i="3"/>
  <c r="B554" i="3"/>
  <c r="AE553" i="3"/>
  <c r="AA553" i="3"/>
  <c r="W553" i="3"/>
  <c r="S553" i="3"/>
  <c r="O553" i="3"/>
  <c r="K553" i="3"/>
  <c r="G553" i="3"/>
  <c r="C553" i="3"/>
  <c r="E553" i="3" l="1"/>
  <c r="F553" i="3" s="1"/>
  <c r="D553" i="3"/>
  <c r="I553" i="3"/>
  <c r="J553" i="3" s="1"/>
  <c r="H553" i="3"/>
  <c r="M553" i="3"/>
  <c r="N553" i="3" s="1"/>
  <c r="L553" i="3"/>
  <c r="Q553" i="3"/>
  <c r="R553" i="3" s="1"/>
  <c r="P553" i="3"/>
  <c r="U553" i="3"/>
  <c r="V553" i="3" s="1"/>
  <c r="T553" i="3"/>
  <c r="Y553" i="3"/>
  <c r="Z553" i="3" s="1"/>
  <c r="X553" i="3"/>
  <c r="AC553" i="3"/>
  <c r="AD553" i="3" s="1"/>
  <c r="AB553" i="3"/>
  <c r="AG553" i="3"/>
  <c r="AH553" i="3" s="1"/>
  <c r="AF553" i="3"/>
  <c r="B555" i="3"/>
  <c r="AE554" i="3"/>
  <c r="AA554" i="3"/>
  <c r="W554" i="3"/>
  <c r="S554" i="3"/>
  <c r="O554" i="3"/>
  <c r="K554" i="3"/>
  <c r="G554" i="3"/>
  <c r="C554" i="3"/>
  <c r="E554" i="3" l="1"/>
  <c r="F554" i="3" s="1"/>
  <c r="D554" i="3"/>
  <c r="I554" i="3"/>
  <c r="J554" i="3" s="1"/>
  <c r="H554" i="3"/>
  <c r="M554" i="3"/>
  <c r="N554" i="3" s="1"/>
  <c r="L554" i="3"/>
  <c r="Q554" i="3"/>
  <c r="R554" i="3" s="1"/>
  <c r="P554" i="3"/>
  <c r="U554" i="3"/>
  <c r="V554" i="3" s="1"/>
  <c r="T554" i="3"/>
  <c r="Y554" i="3"/>
  <c r="Z554" i="3" s="1"/>
  <c r="X554" i="3"/>
  <c r="AC554" i="3"/>
  <c r="AD554" i="3" s="1"/>
  <c r="AB554" i="3"/>
  <c r="AG554" i="3"/>
  <c r="AH554" i="3" s="1"/>
  <c r="AF554" i="3"/>
  <c r="B556" i="3"/>
  <c r="AE555" i="3"/>
  <c r="AA555" i="3"/>
  <c r="W555" i="3"/>
  <c r="S555" i="3"/>
  <c r="O555" i="3"/>
  <c r="K555" i="3"/>
  <c r="G555" i="3"/>
  <c r="C555" i="3"/>
  <c r="E555" i="3" l="1"/>
  <c r="F555" i="3" s="1"/>
  <c r="D555" i="3"/>
  <c r="I555" i="3"/>
  <c r="J555" i="3" s="1"/>
  <c r="H555" i="3"/>
  <c r="M555" i="3"/>
  <c r="N555" i="3" s="1"/>
  <c r="L555" i="3"/>
  <c r="Q555" i="3"/>
  <c r="R555" i="3" s="1"/>
  <c r="P555" i="3"/>
  <c r="U555" i="3"/>
  <c r="V555" i="3" s="1"/>
  <c r="T555" i="3"/>
  <c r="Y555" i="3"/>
  <c r="Z555" i="3" s="1"/>
  <c r="X555" i="3"/>
  <c r="AC555" i="3"/>
  <c r="AD555" i="3" s="1"/>
  <c r="AB555" i="3"/>
  <c r="AG555" i="3"/>
  <c r="AH555" i="3" s="1"/>
  <c r="AF555" i="3"/>
  <c r="B557" i="3"/>
  <c r="AE556" i="3"/>
  <c r="AA556" i="3"/>
  <c r="W556" i="3"/>
  <c r="S556" i="3"/>
  <c r="O556" i="3"/>
  <c r="K556" i="3"/>
  <c r="G556" i="3"/>
  <c r="C556" i="3"/>
  <c r="E556" i="3" l="1"/>
  <c r="F556" i="3" s="1"/>
  <c r="D556" i="3"/>
  <c r="I556" i="3"/>
  <c r="J556" i="3" s="1"/>
  <c r="H556" i="3"/>
  <c r="M556" i="3"/>
  <c r="N556" i="3" s="1"/>
  <c r="L556" i="3"/>
  <c r="Q556" i="3"/>
  <c r="R556" i="3" s="1"/>
  <c r="P556" i="3"/>
  <c r="U556" i="3"/>
  <c r="V556" i="3" s="1"/>
  <c r="T556" i="3"/>
  <c r="Y556" i="3"/>
  <c r="Z556" i="3" s="1"/>
  <c r="X556" i="3"/>
  <c r="AC556" i="3"/>
  <c r="AD556" i="3" s="1"/>
  <c r="AB556" i="3"/>
  <c r="AG556" i="3"/>
  <c r="AH556" i="3" s="1"/>
  <c r="AF556" i="3"/>
  <c r="B558" i="3"/>
  <c r="AE557" i="3"/>
  <c r="AA557" i="3"/>
  <c r="W557" i="3"/>
  <c r="S557" i="3"/>
  <c r="O557" i="3"/>
  <c r="K557" i="3"/>
  <c r="G557" i="3"/>
  <c r="C557" i="3"/>
  <c r="E557" i="3" l="1"/>
  <c r="F557" i="3" s="1"/>
  <c r="D557" i="3"/>
  <c r="I557" i="3"/>
  <c r="J557" i="3" s="1"/>
  <c r="H557" i="3"/>
  <c r="M557" i="3"/>
  <c r="N557" i="3" s="1"/>
  <c r="L557" i="3"/>
  <c r="Q557" i="3"/>
  <c r="R557" i="3" s="1"/>
  <c r="P557" i="3"/>
  <c r="U557" i="3"/>
  <c r="V557" i="3" s="1"/>
  <c r="T557" i="3"/>
  <c r="Y557" i="3"/>
  <c r="Z557" i="3" s="1"/>
  <c r="X557" i="3"/>
  <c r="AC557" i="3"/>
  <c r="AD557" i="3" s="1"/>
  <c r="AB557" i="3"/>
  <c r="AG557" i="3"/>
  <c r="AH557" i="3" s="1"/>
  <c r="AF557" i="3"/>
  <c r="B559" i="3"/>
  <c r="AE558" i="3"/>
  <c r="AA558" i="3"/>
  <c r="W558" i="3"/>
  <c r="S558" i="3"/>
  <c r="O558" i="3"/>
  <c r="K558" i="3"/>
  <c r="G558" i="3"/>
  <c r="C558" i="3"/>
  <c r="E558" i="3" l="1"/>
  <c r="F558" i="3" s="1"/>
  <c r="D558" i="3"/>
  <c r="I558" i="3"/>
  <c r="J558" i="3" s="1"/>
  <c r="H558" i="3"/>
  <c r="M558" i="3"/>
  <c r="N558" i="3" s="1"/>
  <c r="L558" i="3"/>
  <c r="Q558" i="3"/>
  <c r="R558" i="3" s="1"/>
  <c r="P558" i="3"/>
  <c r="U558" i="3"/>
  <c r="V558" i="3" s="1"/>
  <c r="T558" i="3"/>
  <c r="Y558" i="3"/>
  <c r="Z558" i="3" s="1"/>
  <c r="X558" i="3"/>
  <c r="AC558" i="3"/>
  <c r="AD558" i="3" s="1"/>
  <c r="AB558" i="3"/>
  <c r="AG558" i="3"/>
  <c r="AH558" i="3" s="1"/>
  <c r="AF558" i="3"/>
  <c r="B560" i="3"/>
  <c r="AE559" i="3"/>
  <c r="AA559" i="3"/>
  <c r="W559" i="3"/>
  <c r="S559" i="3"/>
  <c r="O559" i="3"/>
  <c r="K559" i="3"/>
  <c r="G559" i="3"/>
  <c r="C559" i="3"/>
  <c r="E559" i="3" l="1"/>
  <c r="F559" i="3" s="1"/>
  <c r="D559" i="3"/>
  <c r="I559" i="3"/>
  <c r="J559" i="3" s="1"/>
  <c r="H559" i="3"/>
  <c r="M559" i="3"/>
  <c r="N559" i="3" s="1"/>
  <c r="L559" i="3"/>
  <c r="Q559" i="3"/>
  <c r="R559" i="3" s="1"/>
  <c r="P559" i="3"/>
  <c r="U559" i="3"/>
  <c r="V559" i="3" s="1"/>
  <c r="T559" i="3"/>
  <c r="Y559" i="3"/>
  <c r="Z559" i="3" s="1"/>
  <c r="X559" i="3"/>
  <c r="AC559" i="3"/>
  <c r="AD559" i="3" s="1"/>
  <c r="AB559" i="3"/>
  <c r="AG559" i="3"/>
  <c r="AH559" i="3" s="1"/>
  <c r="AF559" i="3"/>
  <c r="B561" i="3"/>
  <c r="AE560" i="3"/>
  <c r="AA560" i="3"/>
  <c r="W560" i="3"/>
  <c r="S560" i="3"/>
  <c r="O560" i="3"/>
  <c r="K560" i="3"/>
  <c r="G560" i="3"/>
  <c r="C560" i="3"/>
  <c r="E560" i="3" l="1"/>
  <c r="F560" i="3" s="1"/>
  <c r="D560" i="3"/>
  <c r="I560" i="3"/>
  <c r="J560" i="3" s="1"/>
  <c r="H560" i="3"/>
  <c r="M560" i="3"/>
  <c r="N560" i="3" s="1"/>
  <c r="L560" i="3"/>
  <c r="Q560" i="3"/>
  <c r="R560" i="3" s="1"/>
  <c r="P560" i="3"/>
  <c r="U560" i="3"/>
  <c r="V560" i="3" s="1"/>
  <c r="T560" i="3"/>
  <c r="Y560" i="3"/>
  <c r="Z560" i="3" s="1"/>
  <c r="X560" i="3"/>
  <c r="AC560" i="3"/>
  <c r="AD560" i="3" s="1"/>
  <c r="AB560" i="3"/>
  <c r="AG560" i="3"/>
  <c r="AH560" i="3" s="1"/>
  <c r="AF560" i="3"/>
  <c r="B562" i="3"/>
  <c r="AE561" i="3"/>
  <c r="AA561" i="3"/>
  <c r="W561" i="3"/>
  <c r="S561" i="3"/>
  <c r="O561" i="3"/>
  <c r="K561" i="3"/>
  <c r="G561" i="3"/>
  <c r="C561" i="3"/>
  <c r="E561" i="3" l="1"/>
  <c r="F561" i="3" s="1"/>
  <c r="D561" i="3"/>
  <c r="I561" i="3"/>
  <c r="J561" i="3" s="1"/>
  <c r="H561" i="3"/>
  <c r="M561" i="3"/>
  <c r="N561" i="3" s="1"/>
  <c r="L561" i="3"/>
  <c r="Q561" i="3"/>
  <c r="R561" i="3" s="1"/>
  <c r="P561" i="3"/>
  <c r="U561" i="3"/>
  <c r="V561" i="3" s="1"/>
  <c r="T561" i="3"/>
  <c r="Y561" i="3"/>
  <c r="Z561" i="3" s="1"/>
  <c r="X561" i="3"/>
  <c r="AC561" i="3"/>
  <c r="AD561" i="3" s="1"/>
  <c r="AB561" i="3"/>
  <c r="AG561" i="3"/>
  <c r="AH561" i="3" s="1"/>
  <c r="AF561" i="3"/>
  <c r="B563" i="3"/>
  <c r="AE562" i="3"/>
  <c r="AA562" i="3"/>
  <c r="W562" i="3"/>
  <c r="S562" i="3"/>
  <c r="O562" i="3"/>
  <c r="K562" i="3"/>
  <c r="G562" i="3"/>
  <c r="C562" i="3"/>
  <c r="E562" i="3" l="1"/>
  <c r="F562" i="3" s="1"/>
  <c r="D562" i="3"/>
  <c r="I562" i="3"/>
  <c r="J562" i="3" s="1"/>
  <c r="H562" i="3"/>
  <c r="M562" i="3"/>
  <c r="N562" i="3" s="1"/>
  <c r="L562" i="3"/>
  <c r="Q562" i="3"/>
  <c r="R562" i="3" s="1"/>
  <c r="P562" i="3"/>
  <c r="U562" i="3"/>
  <c r="V562" i="3" s="1"/>
  <c r="T562" i="3"/>
  <c r="Y562" i="3"/>
  <c r="Z562" i="3" s="1"/>
  <c r="X562" i="3"/>
  <c r="AC562" i="3"/>
  <c r="AD562" i="3" s="1"/>
  <c r="AB562" i="3"/>
  <c r="AG562" i="3"/>
  <c r="AH562" i="3" s="1"/>
  <c r="AF562" i="3"/>
  <c r="B564" i="3"/>
  <c r="AE563" i="3"/>
  <c r="AA563" i="3"/>
  <c r="W563" i="3"/>
  <c r="S563" i="3"/>
  <c r="O563" i="3"/>
  <c r="K563" i="3"/>
  <c r="G563" i="3"/>
  <c r="C563" i="3"/>
  <c r="E563" i="3" l="1"/>
  <c r="F563" i="3" s="1"/>
  <c r="D563" i="3"/>
  <c r="I563" i="3"/>
  <c r="J563" i="3" s="1"/>
  <c r="H563" i="3"/>
  <c r="M563" i="3"/>
  <c r="N563" i="3" s="1"/>
  <c r="L563" i="3"/>
  <c r="Q563" i="3"/>
  <c r="R563" i="3" s="1"/>
  <c r="P563" i="3"/>
  <c r="U563" i="3"/>
  <c r="V563" i="3" s="1"/>
  <c r="T563" i="3"/>
  <c r="Y563" i="3"/>
  <c r="Z563" i="3" s="1"/>
  <c r="X563" i="3"/>
  <c r="AC563" i="3"/>
  <c r="AD563" i="3" s="1"/>
  <c r="AB563" i="3"/>
  <c r="AG563" i="3"/>
  <c r="AH563" i="3" s="1"/>
  <c r="AF563" i="3"/>
  <c r="B565" i="3"/>
  <c r="AE564" i="3"/>
  <c r="AA564" i="3"/>
  <c r="W564" i="3"/>
  <c r="S564" i="3"/>
  <c r="O564" i="3"/>
  <c r="K564" i="3"/>
  <c r="G564" i="3"/>
  <c r="C564" i="3"/>
  <c r="E564" i="3" l="1"/>
  <c r="F564" i="3" s="1"/>
  <c r="D564" i="3"/>
  <c r="I564" i="3"/>
  <c r="J564" i="3" s="1"/>
  <c r="H564" i="3"/>
  <c r="M564" i="3"/>
  <c r="N564" i="3" s="1"/>
  <c r="L564" i="3"/>
  <c r="Q564" i="3"/>
  <c r="R564" i="3" s="1"/>
  <c r="P564" i="3"/>
  <c r="U564" i="3"/>
  <c r="V564" i="3" s="1"/>
  <c r="T564" i="3"/>
  <c r="Y564" i="3"/>
  <c r="Z564" i="3" s="1"/>
  <c r="X564" i="3"/>
  <c r="AC564" i="3"/>
  <c r="AD564" i="3" s="1"/>
  <c r="AB564" i="3"/>
  <c r="AG564" i="3"/>
  <c r="AH564" i="3" s="1"/>
  <c r="AF564" i="3"/>
  <c r="B566" i="3"/>
  <c r="AE565" i="3"/>
  <c r="AA565" i="3"/>
  <c r="W565" i="3"/>
  <c r="S565" i="3"/>
  <c r="O565" i="3"/>
  <c r="K565" i="3"/>
  <c r="G565" i="3"/>
  <c r="C565" i="3"/>
  <c r="E565" i="3" l="1"/>
  <c r="F565" i="3" s="1"/>
  <c r="D565" i="3"/>
  <c r="I565" i="3"/>
  <c r="J565" i="3" s="1"/>
  <c r="H565" i="3"/>
  <c r="M565" i="3"/>
  <c r="N565" i="3" s="1"/>
  <c r="L565" i="3"/>
  <c r="Q565" i="3"/>
  <c r="R565" i="3" s="1"/>
  <c r="P565" i="3"/>
  <c r="U565" i="3"/>
  <c r="V565" i="3" s="1"/>
  <c r="T565" i="3"/>
  <c r="Y565" i="3"/>
  <c r="Z565" i="3" s="1"/>
  <c r="X565" i="3"/>
  <c r="AC565" i="3"/>
  <c r="AD565" i="3" s="1"/>
  <c r="AB565" i="3"/>
  <c r="AG565" i="3"/>
  <c r="AH565" i="3" s="1"/>
  <c r="AF565" i="3"/>
  <c r="B567" i="3"/>
  <c r="AE566" i="3"/>
  <c r="AA566" i="3"/>
  <c r="W566" i="3"/>
  <c r="S566" i="3"/>
  <c r="O566" i="3"/>
  <c r="K566" i="3"/>
  <c r="G566" i="3"/>
  <c r="C566" i="3"/>
  <c r="E566" i="3" l="1"/>
  <c r="F566" i="3" s="1"/>
  <c r="D566" i="3"/>
  <c r="I566" i="3"/>
  <c r="J566" i="3" s="1"/>
  <c r="H566" i="3"/>
  <c r="M566" i="3"/>
  <c r="N566" i="3" s="1"/>
  <c r="L566" i="3"/>
  <c r="Q566" i="3"/>
  <c r="R566" i="3" s="1"/>
  <c r="P566" i="3"/>
  <c r="U566" i="3"/>
  <c r="V566" i="3" s="1"/>
  <c r="T566" i="3"/>
  <c r="Y566" i="3"/>
  <c r="Z566" i="3" s="1"/>
  <c r="X566" i="3"/>
  <c r="AC566" i="3"/>
  <c r="AD566" i="3" s="1"/>
  <c r="AB566" i="3"/>
  <c r="AG566" i="3"/>
  <c r="AH566" i="3" s="1"/>
  <c r="AF566" i="3"/>
  <c r="B568" i="3"/>
  <c r="AE567" i="3"/>
  <c r="AA567" i="3"/>
  <c r="W567" i="3"/>
  <c r="S567" i="3"/>
  <c r="O567" i="3"/>
  <c r="K567" i="3"/>
  <c r="G567" i="3"/>
  <c r="C567" i="3"/>
  <c r="E567" i="3" l="1"/>
  <c r="F567" i="3" s="1"/>
  <c r="D567" i="3"/>
  <c r="I567" i="3"/>
  <c r="J567" i="3" s="1"/>
  <c r="H567" i="3"/>
  <c r="M567" i="3"/>
  <c r="N567" i="3" s="1"/>
  <c r="L567" i="3"/>
  <c r="Q567" i="3"/>
  <c r="R567" i="3" s="1"/>
  <c r="P567" i="3"/>
  <c r="U567" i="3"/>
  <c r="V567" i="3" s="1"/>
  <c r="T567" i="3"/>
  <c r="Y567" i="3"/>
  <c r="Z567" i="3" s="1"/>
  <c r="X567" i="3"/>
  <c r="AC567" i="3"/>
  <c r="AD567" i="3" s="1"/>
  <c r="AB567" i="3"/>
  <c r="AG567" i="3"/>
  <c r="AH567" i="3" s="1"/>
  <c r="AF567" i="3"/>
  <c r="B569" i="3"/>
  <c r="AE568" i="3"/>
  <c r="AA568" i="3"/>
  <c r="W568" i="3"/>
  <c r="S568" i="3"/>
  <c r="O568" i="3"/>
  <c r="K568" i="3"/>
  <c r="G568" i="3"/>
  <c r="C568" i="3"/>
  <c r="E568" i="3" l="1"/>
  <c r="F568" i="3" s="1"/>
  <c r="D568" i="3"/>
  <c r="I568" i="3"/>
  <c r="J568" i="3" s="1"/>
  <c r="H568" i="3"/>
  <c r="M568" i="3"/>
  <c r="N568" i="3" s="1"/>
  <c r="L568" i="3"/>
  <c r="Q568" i="3"/>
  <c r="R568" i="3" s="1"/>
  <c r="P568" i="3"/>
  <c r="U568" i="3"/>
  <c r="V568" i="3" s="1"/>
  <c r="T568" i="3"/>
  <c r="Y568" i="3"/>
  <c r="Z568" i="3" s="1"/>
  <c r="X568" i="3"/>
  <c r="AC568" i="3"/>
  <c r="AD568" i="3" s="1"/>
  <c r="AB568" i="3"/>
  <c r="AG568" i="3"/>
  <c r="AH568" i="3" s="1"/>
  <c r="AF568" i="3"/>
  <c r="B570" i="3"/>
  <c r="AE569" i="3"/>
  <c r="AA569" i="3"/>
  <c r="W569" i="3"/>
  <c r="S569" i="3"/>
  <c r="O569" i="3"/>
  <c r="K569" i="3"/>
  <c r="G569" i="3"/>
  <c r="C569" i="3"/>
  <c r="E569" i="3" l="1"/>
  <c r="F569" i="3" s="1"/>
  <c r="D569" i="3"/>
  <c r="I569" i="3"/>
  <c r="J569" i="3" s="1"/>
  <c r="H569" i="3"/>
  <c r="M569" i="3"/>
  <c r="N569" i="3" s="1"/>
  <c r="L569" i="3"/>
  <c r="Q569" i="3"/>
  <c r="R569" i="3" s="1"/>
  <c r="P569" i="3"/>
  <c r="U569" i="3"/>
  <c r="V569" i="3" s="1"/>
  <c r="T569" i="3"/>
  <c r="Y569" i="3"/>
  <c r="Z569" i="3" s="1"/>
  <c r="X569" i="3"/>
  <c r="AC569" i="3"/>
  <c r="AD569" i="3" s="1"/>
  <c r="AB569" i="3"/>
  <c r="AG569" i="3"/>
  <c r="AH569" i="3" s="1"/>
  <c r="AF569" i="3"/>
  <c r="B571" i="3"/>
  <c r="AE570" i="3"/>
  <c r="AA570" i="3"/>
  <c r="W570" i="3"/>
  <c r="S570" i="3"/>
  <c r="O570" i="3"/>
  <c r="K570" i="3"/>
  <c r="G570" i="3"/>
  <c r="C570" i="3"/>
  <c r="E570" i="3" l="1"/>
  <c r="F570" i="3" s="1"/>
  <c r="D570" i="3"/>
  <c r="I570" i="3"/>
  <c r="J570" i="3" s="1"/>
  <c r="H570" i="3"/>
  <c r="M570" i="3"/>
  <c r="N570" i="3" s="1"/>
  <c r="L570" i="3"/>
  <c r="Q570" i="3"/>
  <c r="R570" i="3" s="1"/>
  <c r="P570" i="3"/>
  <c r="U570" i="3"/>
  <c r="V570" i="3" s="1"/>
  <c r="T570" i="3"/>
  <c r="Y570" i="3"/>
  <c r="Z570" i="3" s="1"/>
  <c r="X570" i="3"/>
  <c r="AC570" i="3"/>
  <c r="AD570" i="3" s="1"/>
  <c r="AB570" i="3"/>
  <c r="AG570" i="3"/>
  <c r="AH570" i="3" s="1"/>
  <c r="AF570" i="3"/>
  <c r="B572" i="3"/>
  <c r="AE571" i="3"/>
  <c r="AA571" i="3"/>
  <c r="W571" i="3"/>
  <c r="S571" i="3"/>
  <c r="O571" i="3"/>
  <c r="K571" i="3"/>
  <c r="G571" i="3"/>
  <c r="C571" i="3"/>
  <c r="E571" i="3" l="1"/>
  <c r="F571" i="3" s="1"/>
  <c r="D571" i="3"/>
  <c r="I571" i="3"/>
  <c r="J571" i="3" s="1"/>
  <c r="H571" i="3"/>
  <c r="M571" i="3"/>
  <c r="N571" i="3" s="1"/>
  <c r="L571" i="3"/>
  <c r="Q571" i="3"/>
  <c r="R571" i="3" s="1"/>
  <c r="P571" i="3"/>
  <c r="U571" i="3"/>
  <c r="V571" i="3" s="1"/>
  <c r="T571" i="3"/>
  <c r="Y571" i="3"/>
  <c r="Z571" i="3" s="1"/>
  <c r="X571" i="3"/>
  <c r="AC571" i="3"/>
  <c r="AD571" i="3" s="1"/>
  <c r="AB571" i="3"/>
  <c r="AG571" i="3"/>
  <c r="AH571" i="3" s="1"/>
  <c r="AF571" i="3"/>
  <c r="B573" i="3"/>
  <c r="AE572" i="3"/>
  <c r="AA572" i="3"/>
  <c r="W572" i="3"/>
  <c r="S572" i="3"/>
  <c r="O572" i="3"/>
  <c r="K572" i="3"/>
  <c r="G572" i="3"/>
  <c r="C572" i="3"/>
  <c r="E572" i="3" l="1"/>
  <c r="F572" i="3" s="1"/>
  <c r="D572" i="3"/>
  <c r="I572" i="3"/>
  <c r="J572" i="3" s="1"/>
  <c r="H572" i="3"/>
  <c r="M572" i="3"/>
  <c r="N572" i="3" s="1"/>
  <c r="L572" i="3"/>
  <c r="Q572" i="3"/>
  <c r="R572" i="3" s="1"/>
  <c r="P572" i="3"/>
  <c r="U572" i="3"/>
  <c r="V572" i="3" s="1"/>
  <c r="T572" i="3"/>
  <c r="Y572" i="3"/>
  <c r="Z572" i="3" s="1"/>
  <c r="X572" i="3"/>
  <c r="AC572" i="3"/>
  <c r="AD572" i="3" s="1"/>
  <c r="AB572" i="3"/>
  <c r="AG572" i="3"/>
  <c r="AH572" i="3" s="1"/>
  <c r="AF572" i="3"/>
  <c r="B574" i="3"/>
  <c r="AE573" i="3"/>
  <c r="AA573" i="3"/>
  <c r="W573" i="3"/>
  <c r="S573" i="3"/>
  <c r="O573" i="3"/>
  <c r="K573" i="3"/>
  <c r="G573" i="3"/>
  <c r="C573" i="3"/>
  <c r="E573" i="3" l="1"/>
  <c r="F573" i="3" s="1"/>
  <c r="D573" i="3"/>
  <c r="I573" i="3"/>
  <c r="J573" i="3" s="1"/>
  <c r="H573" i="3"/>
  <c r="M573" i="3"/>
  <c r="N573" i="3" s="1"/>
  <c r="L573" i="3"/>
  <c r="Q573" i="3"/>
  <c r="R573" i="3" s="1"/>
  <c r="P573" i="3"/>
  <c r="U573" i="3"/>
  <c r="V573" i="3" s="1"/>
  <c r="T573" i="3"/>
  <c r="Y573" i="3"/>
  <c r="Z573" i="3" s="1"/>
  <c r="X573" i="3"/>
  <c r="AC573" i="3"/>
  <c r="AD573" i="3" s="1"/>
  <c r="AB573" i="3"/>
  <c r="AG573" i="3"/>
  <c r="AH573" i="3" s="1"/>
  <c r="AF573" i="3"/>
  <c r="B575" i="3"/>
  <c r="AE574" i="3"/>
  <c r="AA574" i="3"/>
  <c r="W574" i="3"/>
  <c r="S574" i="3"/>
  <c r="O574" i="3"/>
  <c r="K574" i="3"/>
  <c r="G574" i="3"/>
  <c r="C574" i="3"/>
  <c r="E574" i="3" l="1"/>
  <c r="F574" i="3" s="1"/>
  <c r="D574" i="3"/>
  <c r="I574" i="3"/>
  <c r="J574" i="3" s="1"/>
  <c r="H574" i="3"/>
  <c r="M574" i="3"/>
  <c r="N574" i="3" s="1"/>
  <c r="L574" i="3"/>
  <c r="Q574" i="3"/>
  <c r="R574" i="3" s="1"/>
  <c r="P574" i="3"/>
  <c r="U574" i="3"/>
  <c r="V574" i="3" s="1"/>
  <c r="T574" i="3"/>
  <c r="Y574" i="3"/>
  <c r="Z574" i="3" s="1"/>
  <c r="X574" i="3"/>
  <c r="AC574" i="3"/>
  <c r="AD574" i="3" s="1"/>
  <c r="AB574" i="3"/>
  <c r="AG574" i="3"/>
  <c r="AH574" i="3" s="1"/>
  <c r="AF574" i="3"/>
  <c r="B576" i="3"/>
  <c r="AE575" i="3"/>
  <c r="AA575" i="3"/>
  <c r="W575" i="3"/>
  <c r="S575" i="3"/>
  <c r="O575" i="3"/>
  <c r="K575" i="3"/>
  <c r="G575" i="3"/>
  <c r="C575" i="3"/>
  <c r="E575" i="3" l="1"/>
  <c r="F575" i="3" s="1"/>
  <c r="D575" i="3"/>
  <c r="I575" i="3"/>
  <c r="J575" i="3" s="1"/>
  <c r="H575" i="3"/>
  <c r="M575" i="3"/>
  <c r="N575" i="3" s="1"/>
  <c r="L575" i="3"/>
  <c r="Q575" i="3"/>
  <c r="R575" i="3" s="1"/>
  <c r="P575" i="3"/>
  <c r="U575" i="3"/>
  <c r="V575" i="3" s="1"/>
  <c r="T575" i="3"/>
  <c r="Y575" i="3"/>
  <c r="Z575" i="3" s="1"/>
  <c r="X575" i="3"/>
  <c r="AC575" i="3"/>
  <c r="AD575" i="3" s="1"/>
  <c r="AB575" i="3"/>
  <c r="AG575" i="3"/>
  <c r="AH575" i="3" s="1"/>
  <c r="AF575" i="3"/>
  <c r="B577" i="3"/>
  <c r="AE576" i="3"/>
  <c r="AA576" i="3"/>
  <c r="W576" i="3"/>
  <c r="S576" i="3"/>
  <c r="O576" i="3"/>
  <c r="K576" i="3"/>
  <c r="G576" i="3"/>
  <c r="C576" i="3"/>
  <c r="E576" i="3" l="1"/>
  <c r="F576" i="3" s="1"/>
  <c r="D576" i="3"/>
  <c r="I576" i="3"/>
  <c r="J576" i="3" s="1"/>
  <c r="H576" i="3"/>
  <c r="M576" i="3"/>
  <c r="N576" i="3" s="1"/>
  <c r="L576" i="3"/>
  <c r="Q576" i="3"/>
  <c r="R576" i="3" s="1"/>
  <c r="P576" i="3"/>
  <c r="U576" i="3"/>
  <c r="V576" i="3" s="1"/>
  <c r="T576" i="3"/>
  <c r="Y576" i="3"/>
  <c r="Z576" i="3" s="1"/>
  <c r="X576" i="3"/>
  <c r="AC576" i="3"/>
  <c r="AD576" i="3" s="1"/>
  <c r="AB576" i="3"/>
  <c r="AG576" i="3"/>
  <c r="AH576" i="3" s="1"/>
  <c r="AF576" i="3"/>
  <c r="B578" i="3"/>
  <c r="AE577" i="3"/>
  <c r="AA577" i="3"/>
  <c r="W577" i="3"/>
  <c r="S577" i="3"/>
  <c r="O577" i="3"/>
  <c r="K577" i="3"/>
  <c r="G577" i="3"/>
  <c r="C577" i="3"/>
  <c r="E577" i="3" l="1"/>
  <c r="F577" i="3" s="1"/>
  <c r="D577" i="3"/>
  <c r="I577" i="3"/>
  <c r="J577" i="3" s="1"/>
  <c r="H577" i="3"/>
  <c r="M577" i="3"/>
  <c r="N577" i="3" s="1"/>
  <c r="L577" i="3"/>
  <c r="Q577" i="3"/>
  <c r="R577" i="3" s="1"/>
  <c r="P577" i="3"/>
  <c r="U577" i="3"/>
  <c r="V577" i="3" s="1"/>
  <c r="T577" i="3"/>
  <c r="Y577" i="3"/>
  <c r="Z577" i="3" s="1"/>
  <c r="X577" i="3"/>
  <c r="AC577" i="3"/>
  <c r="AD577" i="3" s="1"/>
  <c r="AB577" i="3"/>
  <c r="AG577" i="3"/>
  <c r="AH577" i="3" s="1"/>
  <c r="AF577" i="3"/>
  <c r="B579" i="3"/>
  <c r="AE578" i="3"/>
  <c r="AA578" i="3"/>
  <c r="W578" i="3"/>
  <c r="S578" i="3"/>
  <c r="O578" i="3"/>
  <c r="K578" i="3"/>
  <c r="G578" i="3"/>
  <c r="C578" i="3"/>
  <c r="E578" i="3" l="1"/>
  <c r="F578" i="3" s="1"/>
  <c r="D578" i="3"/>
  <c r="I578" i="3"/>
  <c r="J578" i="3" s="1"/>
  <c r="H578" i="3"/>
  <c r="M578" i="3"/>
  <c r="N578" i="3" s="1"/>
  <c r="L578" i="3"/>
  <c r="Q578" i="3"/>
  <c r="R578" i="3" s="1"/>
  <c r="P578" i="3"/>
  <c r="U578" i="3"/>
  <c r="V578" i="3" s="1"/>
  <c r="T578" i="3"/>
  <c r="Y578" i="3"/>
  <c r="Z578" i="3" s="1"/>
  <c r="X578" i="3"/>
  <c r="AC578" i="3"/>
  <c r="AD578" i="3" s="1"/>
  <c r="AB578" i="3"/>
  <c r="AG578" i="3"/>
  <c r="AH578" i="3" s="1"/>
  <c r="AF578" i="3"/>
  <c r="B580" i="3"/>
  <c r="AE579" i="3"/>
  <c r="AA579" i="3"/>
  <c r="W579" i="3"/>
  <c r="S579" i="3"/>
  <c r="O579" i="3"/>
  <c r="K579" i="3"/>
  <c r="G579" i="3"/>
  <c r="C579" i="3"/>
  <c r="E579" i="3" l="1"/>
  <c r="F579" i="3" s="1"/>
  <c r="D579" i="3"/>
  <c r="I579" i="3"/>
  <c r="J579" i="3" s="1"/>
  <c r="H579" i="3"/>
  <c r="M579" i="3"/>
  <c r="N579" i="3" s="1"/>
  <c r="L579" i="3"/>
  <c r="Q579" i="3"/>
  <c r="R579" i="3" s="1"/>
  <c r="P579" i="3"/>
  <c r="U579" i="3"/>
  <c r="V579" i="3" s="1"/>
  <c r="T579" i="3"/>
  <c r="Y579" i="3"/>
  <c r="Z579" i="3" s="1"/>
  <c r="X579" i="3"/>
  <c r="AC579" i="3"/>
  <c r="AD579" i="3" s="1"/>
  <c r="AB579" i="3"/>
  <c r="AG579" i="3"/>
  <c r="AH579" i="3" s="1"/>
  <c r="AF579" i="3"/>
  <c r="B581" i="3"/>
  <c r="AE580" i="3"/>
  <c r="AA580" i="3"/>
  <c r="W580" i="3"/>
  <c r="S580" i="3"/>
  <c r="O580" i="3"/>
  <c r="K580" i="3"/>
  <c r="G580" i="3"/>
  <c r="C580" i="3"/>
  <c r="E580" i="3" l="1"/>
  <c r="F580" i="3" s="1"/>
  <c r="D580" i="3"/>
  <c r="I580" i="3"/>
  <c r="J580" i="3" s="1"/>
  <c r="H580" i="3"/>
  <c r="M580" i="3"/>
  <c r="N580" i="3" s="1"/>
  <c r="L580" i="3"/>
  <c r="Q580" i="3"/>
  <c r="R580" i="3" s="1"/>
  <c r="P580" i="3"/>
  <c r="U580" i="3"/>
  <c r="V580" i="3" s="1"/>
  <c r="T580" i="3"/>
  <c r="Y580" i="3"/>
  <c r="Z580" i="3" s="1"/>
  <c r="X580" i="3"/>
  <c r="AC580" i="3"/>
  <c r="AD580" i="3" s="1"/>
  <c r="AB580" i="3"/>
  <c r="AG580" i="3"/>
  <c r="AH580" i="3" s="1"/>
  <c r="AF580" i="3"/>
  <c r="B582" i="3"/>
  <c r="AE581" i="3"/>
  <c r="AA581" i="3"/>
  <c r="W581" i="3"/>
  <c r="S581" i="3"/>
  <c r="O581" i="3"/>
  <c r="K581" i="3"/>
  <c r="G581" i="3"/>
  <c r="C581" i="3"/>
  <c r="E581" i="3" l="1"/>
  <c r="F581" i="3" s="1"/>
  <c r="D581" i="3"/>
  <c r="I581" i="3"/>
  <c r="J581" i="3" s="1"/>
  <c r="H581" i="3"/>
  <c r="M581" i="3"/>
  <c r="N581" i="3" s="1"/>
  <c r="L581" i="3"/>
  <c r="Q581" i="3"/>
  <c r="R581" i="3" s="1"/>
  <c r="P581" i="3"/>
  <c r="U581" i="3"/>
  <c r="V581" i="3" s="1"/>
  <c r="T581" i="3"/>
  <c r="Y581" i="3"/>
  <c r="Z581" i="3" s="1"/>
  <c r="X581" i="3"/>
  <c r="AC581" i="3"/>
  <c r="AD581" i="3" s="1"/>
  <c r="AB581" i="3"/>
  <c r="AG581" i="3"/>
  <c r="AH581" i="3" s="1"/>
  <c r="AF581" i="3"/>
  <c r="B583" i="3"/>
  <c r="AE582" i="3"/>
  <c r="AA582" i="3"/>
  <c r="W582" i="3"/>
  <c r="S582" i="3"/>
  <c r="O582" i="3"/>
  <c r="K582" i="3"/>
  <c r="G582" i="3"/>
  <c r="C582" i="3"/>
  <c r="E582" i="3" l="1"/>
  <c r="F582" i="3" s="1"/>
  <c r="D582" i="3"/>
  <c r="I582" i="3"/>
  <c r="J582" i="3" s="1"/>
  <c r="H582" i="3"/>
  <c r="M582" i="3"/>
  <c r="N582" i="3" s="1"/>
  <c r="L582" i="3"/>
  <c r="Q582" i="3"/>
  <c r="R582" i="3" s="1"/>
  <c r="P582" i="3"/>
  <c r="U582" i="3"/>
  <c r="V582" i="3" s="1"/>
  <c r="T582" i="3"/>
  <c r="Y582" i="3"/>
  <c r="Z582" i="3" s="1"/>
  <c r="X582" i="3"/>
  <c r="AC582" i="3"/>
  <c r="AD582" i="3" s="1"/>
  <c r="AB582" i="3"/>
  <c r="AG582" i="3"/>
  <c r="AH582" i="3" s="1"/>
  <c r="AF582" i="3"/>
  <c r="B584" i="3"/>
  <c r="AE583" i="3"/>
  <c r="AA583" i="3"/>
  <c r="W583" i="3"/>
  <c r="S583" i="3"/>
  <c r="O583" i="3"/>
  <c r="K583" i="3"/>
  <c r="G583" i="3"/>
  <c r="C583" i="3"/>
  <c r="E583" i="3" l="1"/>
  <c r="F583" i="3" s="1"/>
  <c r="D583" i="3"/>
  <c r="I583" i="3"/>
  <c r="J583" i="3" s="1"/>
  <c r="H583" i="3"/>
  <c r="M583" i="3"/>
  <c r="N583" i="3" s="1"/>
  <c r="L583" i="3"/>
  <c r="Q583" i="3"/>
  <c r="R583" i="3" s="1"/>
  <c r="P583" i="3"/>
  <c r="U583" i="3"/>
  <c r="V583" i="3" s="1"/>
  <c r="T583" i="3"/>
  <c r="Y583" i="3"/>
  <c r="Z583" i="3" s="1"/>
  <c r="X583" i="3"/>
  <c r="AC583" i="3"/>
  <c r="AD583" i="3" s="1"/>
  <c r="AB583" i="3"/>
  <c r="AG583" i="3"/>
  <c r="AH583" i="3" s="1"/>
  <c r="AF583" i="3"/>
  <c r="B585" i="3"/>
  <c r="AE584" i="3"/>
  <c r="AA584" i="3"/>
  <c r="W584" i="3"/>
  <c r="S584" i="3"/>
  <c r="O584" i="3"/>
  <c r="K584" i="3"/>
  <c r="G584" i="3"/>
  <c r="C584" i="3"/>
  <c r="E584" i="3" l="1"/>
  <c r="F584" i="3" s="1"/>
  <c r="D584" i="3"/>
  <c r="I584" i="3"/>
  <c r="J584" i="3" s="1"/>
  <c r="H584" i="3"/>
  <c r="M584" i="3"/>
  <c r="N584" i="3" s="1"/>
  <c r="L584" i="3"/>
  <c r="Q584" i="3"/>
  <c r="R584" i="3" s="1"/>
  <c r="P584" i="3"/>
  <c r="U584" i="3"/>
  <c r="V584" i="3" s="1"/>
  <c r="T584" i="3"/>
  <c r="Y584" i="3"/>
  <c r="Z584" i="3" s="1"/>
  <c r="X584" i="3"/>
  <c r="AC584" i="3"/>
  <c r="AD584" i="3" s="1"/>
  <c r="AB584" i="3"/>
  <c r="AG584" i="3"/>
  <c r="AH584" i="3" s="1"/>
  <c r="AF584" i="3"/>
  <c r="B586" i="3"/>
  <c r="AE585" i="3"/>
  <c r="AA585" i="3"/>
  <c r="W585" i="3"/>
  <c r="S585" i="3"/>
  <c r="O585" i="3"/>
  <c r="K585" i="3"/>
  <c r="G585" i="3"/>
  <c r="C585" i="3"/>
  <c r="E585" i="3" l="1"/>
  <c r="F585" i="3" s="1"/>
  <c r="D585" i="3"/>
  <c r="I585" i="3"/>
  <c r="J585" i="3" s="1"/>
  <c r="H585" i="3"/>
  <c r="M585" i="3"/>
  <c r="N585" i="3" s="1"/>
  <c r="L585" i="3"/>
  <c r="Q585" i="3"/>
  <c r="R585" i="3" s="1"/>
  <c r="P585" i="3"/>
  <c r="U585" i="3"/>
  <c r="V585" i="3" s="1"/>
  <c r="T585" i="3"/>
  <c r="Y585" i="3"/>
  <c r="Z585" i="3" s="1"/>
  <c r="X585" i="3"/>
  <c r="AC585" i="3"/>
  <c r="AD585" i="3" s="1"/>
  <c r="AB585" i="3"/>
  <c r="AG585" i="3"/>
  <c r="AH585" i="3" s="1"/>
  <c r="AF585" i="3"/>
  <c r="B587" i="3"/>
  <c r="AE586" i="3"/>
  <c r="AA586" i="3"/>
  <c r="W586" i="3"/>
  <c r="S586" i="3"/>
  <c r="O586" i="3"/>
  <c r="K586" i="3"/>
  <c r="G586" i="3"/>
  <c r="C586" i="3"/>
  <c r="E586" i="3" l="1"/>
  <c r="F586" i="3" s="1"/>
  <c r="D586" i="3"/>
  <c r="I586" i="3"/>
  <c r="J586" i="3" s="1"/>
  <c r="H586" i="3"/>
  <c r="M586" i="3"/>
  <c r="N586" i="3" s="1"/>
  <c r="L586" i="3"/>
  <c r="Q586" i="3"/>
  <c r="R586" i="3" s="1"/>
  <c r="P586" i="3"/>
  <c r="U586" i="3"/>
  <c r="V586" i="3" s="1"/>
  <c r="T586" i="3"/>
  <c r="Y586" i="3"/>
  <c r="Z586" i="3" s="1"/>
  <c r="X586" i="3"/>
  <c r="AC586" i="3"/>
  <c r="AD586" i="3" s="1"/>
  <c r="AB586" i="3"/>
  <c r="AG586" i="3"/>
  <c r="AH586" i="3" s="1"/>
  <c r="AF586" i="3"/>
  <c r="B588" i="3"/>
  <c r="AE587" i="3"/>
  <c r="AA587" i="3"/>
  <c r="W587" i="3"/>
  <c r="S587" i="3"/>
  <c r="O587" i="3"/>
  <c r="K587" i="3"/>
  <c r="G587" i="3"/>
  <c r="C587" i="3"/>
  <c r="E587" i="3" l="1"/>
  <c r="F587" i="3" s="1"/>
  <c r="D587" i="3"/>
  <c r="I587" i="3"/>
  <c r="J587" i="3" s="1"/>
  <c r="H587" i="3"/>
  <c r="M587" i="3"/>
  <c r="N587" i="3" s="1"/>
  <c r="L587" i="3"/>
  <c r="Q587" i="3"/>
  <c r="R587" i="3" s="1"/>
  <c r="P587" i="3"/>
  <c r="U587" i="3"/>
  <c r="V587" i="3" s="1"/>
  <c r="T587" i="3"/>
  <c r="Y587" i="3"/>
  <c r="Z587" i="3" s="1"/>
  <c r="X587" i="3"/>
  <c r="AC587" i="3"/>
  <c r="AD587" i="3" s="1"/>
  <c r="AB587" i="3"/>
  <c r="AG587" i="3"/>
  <c r="AH587" i="3" s="1"/>
  <c r="AF587" i="3"/>
  <c r="B589" i="3"/>
  <c r="AE588" i="3"/>
  <c r="AA588" i="3"/>
  <c r="W588" i="3"/>
  <c r="S588" i="3"/>
  <c r="O588" i="3"/>
  <c r="K588" i="3"/>
  <c r="G588" i="3"/>
  <c r="C588" i="3"/>
  <c r="E588" i="3" l="1"/>
  <c r="F588" i="3" s="1"/>
  <c r="D588" i="3"/>
  <c r="I588" i="3"/>
  <c r="J588" i="3" s="1"/>
  <c r="H588" i="3"/>
  <c r="M588" i="3"/>
  <c r="N588" i="3" s="1"/>
  <c r="L588" i="3"/>
  <c r="Q588" i="3"/>
  <c r="R588" i="3" s="1"/>
  <c r="P588" i="3"/>
  <c r="U588" i="3"/>
  <c r="V588" i="3" s="1"/>
  <c r="T588" i="3"/>
  <c r="Y588" i="3"/>
  <c r="Z588" i="3" s="1"/>
  <c r="X588" i="3"/>
  <c r="AC588" i="3"/>
  <c r="AD588" i="3" s="1"/>
  <c r="AB588" i="3"/>
  <c r="AG588" i="3"/>
  <c r="AH588" i="3" s="1"/>
  <c r="AF588" i="3"/>
  <c r="B590" i="3"/>
  <c r="AE589" i="3"/>
  <c r="AA589" i="3"/>
  <c r="W589" i="3"/>
  <c r="S589" i="3"/>
  <c r="O589" i="3"/>
  <c r="K589" i="3"/>
  <c r="G589" i="3"/>
  <c r="C589" i="3"/>
  <c r="E589" i="3" l="1"/>
  <c r="F589" i="3" s="1"/>
  <c r="D589" i="3"/>
  <c r="I589" i="3"/>
  <c r="J589" i="3" s="1"/>
  <c r="H589" i="3"/>
  <c r="M589" i="3"/>
  <c r="N589" i="3" s="1"/>
  <c r="L589" i="3"/>
  <c r="Q589" i="3"/>
  <c r="R589" i="3" s="1"/>
  <c r="P589" i="3"/>
  <c r="U589" i="3"/>
  <c r="V589" i="3" s="1"/>
  <c r="T589" i="3"/>
  <c r="Y589" i="3"/>
  <c r="Z589" i="3" s="1"/>
  <c r="X589" i="3"/>
  <c r="AC589" i="3"/>
  <c r="AD589" i="3" s="1"/>
  <c r="AB589" i="3"/>
  <c r="AG589" i="3"/>
  <c r="AH589" i="3" s="1"/>
  <c r="AF589" i="3"/>
  <c r="B591" i="3"/>
  <c r="AE590" i="3"/>
  <c r="AA590" i="3"/>
  <c r="W590" i="3"/>
  <c r="S590" i="3"/>
  <c r="O590" i="3"/>
  <c r="K590" i="3"/>
  <c r="G590" i="3"/>
  <c r="C590" i="3"/>
  <c r="E590" i="3" l="1"/>
  <c r="F590" i="3" s="1"/>
  <c r="D590" i="3"/>
  <c r="I590" i="3"/>
  <c r="J590" i="3" s="1"/>
  <c r="H590" i="3"/>
  <c r="M590" i="3"/>
  <c r="N590" i="3" s="1"/>
  <c r="L590" i="3"/>
  <c r="Q590" i="3"/>
  <c r="R590" i="3" s="1"/>
  <c r="P590" i="3"/>
  <c r="U590" i="3"/>
  <c r="V590" i="3" s="1"/>
  <c r="T590" i="3"/>
  <c r="Y590" i="3"/>
  <c r="Z590" i="3" s="1"/>
  <c r="X590" i="3"/>
  <c r="AC590" i="3"/>
  <c r="AD590" i="3" s="1"/>
  <c r="AB590" i="3"/>
  <c r="AG590" i="3"/>
  <c r="AH590" i="3" s="1"/>
  <c r="AF590" i="3"/>
  <c r="B592" i="3"/>
  <c r="AE591" i="3"/>
  <c r="AA591" i="3"/>
  <c r="W591" i="3"/>
  <c r="S591" i="3"/>
  <c r="O591" i="3"/>
  <c r="K591" i="3"/>
  <c r="G591" i="3"/>
  <c r="C591" i="3"/>
  <c r="E591" i="3" l="1"/>
  <c r="F591" i="3" s="1"/>
  <c r="D591" i="3"/>
  <c r="I591" i="3"/>
  <c r="J591" i="3" s="1"/>
  <c r="H591" i="3"/>
  <c r="M591" i="3"/>
  <c r="N591" i="3" s="1"/>
  <c r="L591" i="3"/>
  <c r="Q591" i="3"/>
  <c r="R591" i="3" s="1"/>
  <c r="P591" i="3"/>
  <c r="U591" i="3"/>
  <c r="V591" i="3" s="1"/>
  <c r="T591" i="3"/>
  <c r="Y591" i="3"/>
  <c r="Z591" i="3" s="1"/>
  <c r="X591" i="3"/>
  <c r="AC591" i="3"/>
  <c r="AD591" i="3" s="1"/>
  <c r="AB591" i="3"/>
  <c r="AG591" i="3"/>
  <c r="AH591" i="3" s="1"/>
  <c r="AF591" i="3"/>
  <c r="B593" i="3"/>
  <c r="AE592" i="3"/>
  <c r="AA592" i="3"/>
  <c r="W592" i="3"/>
  <c r="S592" i="3"/>
  <c r="O592" i="3"/>
  <c r="K592" i="3"/>
  <c r="G592" i="3"/>
  <c r="C592" i="3"/>
  <c r="E592" i="3" l="1"/>
  <c r="F592" i="3" s="1"/>
  <c r="D592" i="3"/>
  <c r="I592" i="3"/>
  <c r="J592" i="3" s="1"/>
  <c r="H592" i="3"/>
  <c r="M592" i="3"/>
  <c r="N592" i="3" s="1"/>
  <c r="L592" i="3"/>
  <c r="Q592" i="3"/>
  <c r="R592" i="3" s="1"/>
  <c r="P592" i="3"/>
  <c r="U592" i="3"/>
  <c r="V592" i="3" s="1"/>
  <c r="T592" i="3"/>
  <c r="Y592" i="3"/>
  <c r="Z592" i="3" s="1"/>
  <c r="X592" i="3"/>
  <c r="AC592" i="3"/>
  <c r="AD592" i="3" s="1"/>
  <c r="AB592" i="3"/>
  <c r="AG592" i="3"/>
  <c r="AH592" i="3" s="1"/>
  <c r="AF592" i="3"/>
  <c r="B594" i="3"/>
  <c r="AE593" i="3"/>
  <c r="AA593" i="3"/>
  <c r="W593" i="3"/>
  <c r="S593" i="3"/>
  <c r="O593" i="3"/>
  <c r="K593" i="3"/>
  <c r="G593" i="3"/>
  <c r="C593" i="3"/>
  <c r="E593" i="3" l="1"/>
  <c r="F593" i="3" s="1"/>
  <c r="D593" i="3"/>
  <c r="I593" i="3"/>
  <c r="J593" i="3" s="1"/>
  <c r="H593" i="3"/>
  <c r="M593" i="3"/>
  <c r="N593" i="3" s="1"/>
  <c r="L593" i="3"/>
  <c r="Q593" i="3"/>
  <c r="R593" i="3" s="1"/>
  <c r="P593" i="3"/>
  <c r="U593" i="3"/>
  <c r="V593" i="3" s="1"/>
  <c r="T593" i="3"/>
  <c r="Y593" i="3"/>
  <c r="Z593" i="3" s="1"/>
  <c r="X593" i="3"/>
  <c r="AC593" i="3"/>
  <c r="AD593" i="3" s="1"/>
  <c r="AB593" i="3"/>
  <c r="AG593" i="3"/>
  <c r="AH593" i="3" s="1"/>
  <c r="AF593" i="3"/>
  <c r="B595" i="3"/>
  <c r="AE594" i="3"/>
  <c r="AA594" i="3"/>
  <c r="W594" i="3"/>
  <c r="S594" i="3"/>
  <c r="O594" i="3"/>
  <c r="K594" i="3"/>
  <c r="G594" i="3"/>
  <c r="C594" i="3"/>
  <c r="E594" i="3" l="1"/>
  <c r="F594" i="3" s="1"/>
  <c r="D594" i="3"/>
  <c r="I594" i="3"/>
  <c r="J594" i="3" s="1"/>
  <c r="H594" i="3"/>
  <c r="M594" i="3"/>
  <c r="N594" i="3" s="1"/>
  <c r="L594" i="3"/>
  <c r="Q594" i="3"/>
  <c r="R594" i="3" s="1"/>
  <c r="P594" i="3"/>
  <c r="U594" i="3"/>
  <c r="V594" i="3" s="1"/>
  <c r="T594" i="3"/>
  <c r="Y594" i="3"/>
  <c r="Z594" i="3" s="1"/>
  <c r="X594" i="3"/>
  <c r="AC594" i="3"/>
  <c r="AD594" i="3" s="1"/>
  <c r="AB594" i="3"/>
  <c r="AG594" i="3"/>
  <c r="AH594" i="3" s="1"/>
  <c r="AF594" i="3"/>
  <c r="B596" i="3"/>
  <c r="AE595" i="3"/>
  <c r="AA595" i="3"/>
  <c r="W595" i="3"/>
  <c r="S595" i="3"/>
  <c r="O595" i="3"/>
  <c r="K595" i="3"/>
  <c r="G595" i="3"/>
  <c r="C595" i="3"/>
  <c r="E595" i="3" l="1"/>
  <c r="F595" i="3" s="1"/>
  <c r="D595" i="3"/>
  <c r="I595" i="3"/>
  <c r="J595" i="3" s="1"/>
  <c r="H595" i="3"/>
  <c r="M595" i="3"/>
  <c r="N595" i="3" s="1"/>
  <c r="L595" i="3"/>
  <c r="Q595" i="3"/>
  <c r="R595" i="3" s="1"/>
  <c r="P595" i="3"/>
  <c r="U595" i="3"/>
  <c r="V595" i="3" s="1"/>
  <c r="T595" i="3"/>
  <c r="Y595" i="3"/>
  <c r="Z595" i="3" s="1"/>
  <c r="X595" i="3"/>
  <c r="AC595" i="3"/>
  <c r="AD595" i="3" s="1"/>
  <c r="AB595" i="3"/>
  <c r="AG595" i="3"/>
  <c r="AH595" i="3" s="1"/>
  <c r="AF595" i="3"/>
  <c r="B597" i="3"/>
  <c r="AE596" i="3"/>
  <c r="AA596" i="3"/>
  <c r="W596" i="3"/>
  <c r="S596" i="3"/>
  <c r="O596" i="3"/>
  <c r="K596" i="3"/>
  <c r="G596" i="3"/>
  <c r="C596" i="3"/>
  <c r="E596" i="3" l="1"/>
  <c r="F596" i="3" s="1"/>
  <c r="D596" i="3"/>
  <c r="I596" i="3"/>
  <c r="J596" i="3" s="1"/>
  <c r="H596" i="3"/>
  <c r="M596" i="3"/>
  <c r="N596" i="3" s="1"/>
  <c r="L596" i="3"/>
  <c r="Q596" i="3"/>
  <c r="R596" i="3" s="1"/>
  <c r="P596" i="3"/>
  <c r="U596" i="3"/>
  <c r="V596" i="3" s="1"/>
  <c r="T596" i="3"/>
  <c r="Y596" i="3"/>
  <c r="Z596" i="3" s="1"/>
  <c r="X596" i="3"/>
  <c r="AC596" i="3"/>
  <c r="AD596" i="3" s="1"/>
  <c r="AB596" i="3"/>
  <c r="AG596" i="3"/>
  <c r="AH596" i="3" s="1"/>
  <c r="AF596" i="3"/>
  <c r="B598" i="3"/>
  <c r="AE597" i="3"/>
  <c r="AA597" i="3"/>
  <c r="W597" i="3"/>
  <c r="S597" i="3"/>
  <c r="O597" i="3"/>
  <c r="K597" i="3"/>
  <c r="G597" i="3"/>
  <c r="C597" i="3"/>
  <c r="E597" i="3" l="1"/>
  <c r="F597" i="3" s="1"/>
  <c r="D597" i="3"/>
  <c r="I597" i="3"/>
  <c r="J597" i="3" s="1"/>
  <c r="H597" i="3"/>
  <c r="M597" i="3"/>
  <c r="N597" i="3" s="1"/>
  <c r="L597" i="3"/>
  <c r="Q597" i="3"/>
  <c r="R597" i="3" s="1"/>
  <c r="P597" i="3"/>
  <c r="U597" i="3"/>
  <c r="V597" i="3" s="1"/>
  <c r="T597" i="3"/>
  <c r="Y597" i="3"/>
  <c r="Z597" i="3" s="1"/>
  <c r="X597" i="3"/>
  <c r="AC597" i="3"/>
  <c r="AD597" i="3" s="1"/>
  <c r="AB597" i="3"/>
  <c r="AG597" i="3"/>
  <c r="AH597" i="3" s="1"/>
  <c r="AF597" i="3"/>
  <c r="B599" i="3"/>
  <c r="AE598" i="3"/>
  <c r="AA598" i="3"/>
  <c r="W598" i="3"/>
  <c r="S598" i="3"/>
  <c r="O598" i="3"/>
  <c r="K598" i="3"/>
  <c r="G598" i="3"/>
  <c r="C598" i="3"/>
  <c r="E598" i="3" l="1"/>
  <c r="F598" i="3" s="1"/>
  <c r="D598" i="3"/>
  <c r="I598" i="3"/>
  <c r="J598" i="3" s="1"/>
  <c r="H598" i="3"/>
  <c r="M598" i="3"/>
  <c r="N598" i="3" s="1"/>
  <c r="L598" i="3"/>
  <c r="Q598" i="3"/>
  <c r="R598" i="3" s="1"/>
  <c r="P598" i="3"/>
  <c r="U598" i="3"/>
  <c r="V598" i="3" s="1"/>
  <c r="T598" i="3"/>
  <c r="Y598" i="3"/>
  <c r="Z598" i="3" s="1"/>
  <c r="X598" i="3"/>
  <c r="AC598" i="3"/>
  <c r="AD598" i="3" s="1"/>
  <c r="AB598" i="3"/>
  <c r="AG598" i="3"/>
  <c r="AH598" i="3" s="1"/>
  <c r="AF598" i="3"/>
  <c r="B600" i="3"/>
  <c r="AE599" i="3"/>
  <c r="AA599" i="3"/>
  <c r="W599" i="3"/>
  <c r="S599" i="3"/>
  <c r="O599" i="3"/>
  <c r="K599" i="3"/>
  <c r="G599" i="3"/>
  <c r="C599" i="3"/>
  <c r="E599" i="3" l="1"/>
  <c r="F599" i="3" s="1"/>
  <c r="D599" i="3"/>
  <c r="I599" i="3"/>
  <c r="J599" i="3" s="1"/>
  <c r="H599" i="3"/>
  <c r="M599" i="3"/>
  <c r="N599" i="3" s="1"/>
  <c r="L599" i="3"/>
  <c r="Q599" i="3"/>
  <c r="R599" i="3" s="1"/>
  <c r="P599" i="3"/>
  <c r="U599" i="3"/>
  <c r="V599" i="3" s="1"/>
  <c r="T599" i="3"/>
  <c r="Y599" i="3"/>
  <c r="Z599" i="3" s="1"/>
  <c r="X599" i="3"/>
  <c r="AC599" i="3"/>
  <c r="AD599" i="3" s="1"/>
  <c r="AB599" i="3"/>
  <c r="AG599" i="3"/>
  <c r="AH599" i="3" s="1"/>
  <c r="AF599" i="3"/>
  <c r="B601" i="3"/>
  <c r="AE600" i="3"/>
  <c r="AA600" i="3"/>
  <c r="W600" i="3"/>
  <c r="S600" i="3"/>
  <c r="O600" i="3"/>
  <c r="K600" i="3"/>
  <c r="G600" i="3"/>
  <c r="C600" i="3"/>
  <c r="E600" i="3" l="1"/>
  <c r="F600" i="3" s="1"/>
  <c r="D600" i="3"/>
  <c r="I600" i="3"/>
  <c r="J600" i="3" s="1"/>
  <c r="H600" i="3"/>
  <c r="M600" i="3"/>
  <c r="N600" i="3" s="1"/>
  <c r="L600" i="3"/>
  <c r="Q600" i="3"/>
  <c r="R600" i="3" s="1"/>
  <c r="P600" i="3"/>
  <c r="U600" i="3"/>
  <c r="V600" i="3" s="1"/>
  <c r="T600" i="3"/>
  <c r="Y600" i="3"/>
  <c r="Z600" i="3" s="1"/>
  <c r="X600" i="3"/>
  <c r="AC600" i="3"/>
  <c r="AD600" i="3" s="1"/>
  <c r="AB600" i="3"/>
  <c r="AG600" i="3"/>
  <c r="AH600" i="3" s="1"/>
  <c r="AF600" i="3"/>
  <c r="B602" i="3"/>
  <c r="AE601" i="3"/>
  <c r="AA601" i="3"/>
  <c r="W601" i="3"/>
  <c r="S601" i="3"/>
  <c r="O601" i="3"/>
  <c r="K601" i="3"/>
  <c r="G601" i="3"/>
  <c r="C601" i="3"/>
  <c r="E601" i="3" l="1"/>
  <c r="F601" i="3" s="1"/>
  <c r="D601" i="3"/>
  <c r="I601" i="3"/>
  <c r="J601" i="3" s="1"/>
  <c r="H601" i="3"/>
  <c r="M601" i="3"/>
  <c r="N601" i="3" s="1"/>
  <c r="L601" i="3"/>
  <c r="Q601" i="3"/>
  <c r="R601" i="3" s="1"/>
  <c r="P601" i="3"/>
  <c r="U601" i="3"/>
  <c r="V601" i="3" s="1"/>
  <c r="T601" i="3"/>
  <c r="Y601" i="3"/>
  <c r="Z601" i="3" s="1"/>
  <c r="X601" i="3"/>
  <c r="AC601" i="3"/>
  <c r="AD601" i="3" s="1"/>
  <c r="AB601" i="3"/>
  <c r="AG601" i="3"/>
  <c r="AH601" i="3" s="1"/>
  <c r="AF601" i="3"/>
  <c r="B603" i="3"/>
  <c r="AE602" i="3"/>
  <c r="AA602" i="3"/>
  <c r="W602" i="3"/>
  <c r="S602" i="3"/>
  <c r="O602" i="3"/>
  <c r="K602" i="3"/>
  <c r="G602" i="3"/>
  <c r="C602" i="3"/>
  <c r="E602" i="3" l="1"/>
  <c r="F602" i="3" s="1"/>
  <c r="D602" i="3"/>
  <c r="I602" i="3"/>
  <c r="J602" i="3" s="1"/>
  <c r="H602" i="3"/>
  <c r="M602" i="3"/>
  <c r="N602" i="3" s="1"/>
  <c r="L602" i="3"/>
  <c r="Q602" i="3"/>
  <c r="R602" i="3" s="1"/>
  <c r="P602" i="3"/>
  <c r="U602" i="3"/>
  <c r="V602" i="3" s="1"/>
  <c r="T602" i="3"/>
  <c r="Y602" i="3"/>
  <c r="Z602" i="3" s="1"/>
  <c r="X602" i="3"/>
  <c r="AC602" i="3"/>
  <c r="AD602" i="3" s="1"/>
  <c r="AB602" i="3"/>
  <c r="AG602" i="3"/>
  <c r="AH602" i="3" s="1"/>
  <c r="AF602" i="3"/>
  <c r="B604" i="3"/>
  <c r="AE603" i="3"/>
  <c r="AA603" i="3"/>
  <c r="W603" i="3"/>
  <c r="S603" i="3"/>
  <c r="O603" i="3"/>
  <c r="K603" i="3"/>
  <c r="G603" i="3"/>
  <c r="C603" i="3"/>
  <c r="E603" i="3" l="1"/>
  <c r="F603" i="3" s="1"/>
  <c r="D603" i="3"/>
  <c r="I603" i="3"/>
  <c r="J603" i="3" s="1"/>
  <c r="H603" i="3"/>
  <c r="M603" i="3"/>
  <c r="N603" i="3" s="1"/>
  <c r="L603" i="3"/>
  <c r="Q603" i="3"/>
  <c r="R603" i="3" s="1"/>
  <c r="P603" i="3"/>
  <c r="U603" i="3"/>
  <c r="V603" i="3" s="1"/>
  <c r="T603" i="3"/>
  <c r="Y603" i="3"/>
  <c r="Z603" i="3" s="1"/>
  <c r="X603" i="3"/>
  <c r="AC603" i="3"/>
  <c r="AD603" i="3" s="1"/>
  <c r="AB603" i="3"/>
  <c r="AG603" i="3"/>
  <c r="AH603" i="3" s="1"/>
  <c r="AF603" i="3"/>
  <c r="B605" i="3"/>
  <c r="AE604" i="3"/>
  <c r="AA604" i="3"/>
  <c r="W604" i="3"/>
  <c r="S604" i="3"/>
  <c r="O604" i="3"/>
  <c r="K604" i="3"/>
  <c r="G604" i="3"/>
  <c r="C604" i="3"/>
  <c r="E604" i="3" l="1"/>
  <c r="F604" i="3" s="1"/>
  <c r="D8" i="2" s="1"/>
  <c r="E8" i="2" s="1"/>
  <c r="D604" i="3"/>
  <c r="C8" i="2" s="1"/>
  <c r="I604" i="3"/>
  <c r="J604" i="3" s="1"/>
  <c r="D9" i="2" s="1"/>
  <c r="E9" i="2" s="1"/>
  <c r="H604" i="3"/>
  <c r="C9" i="2" s="1"/>
  <c r="M604" i="3"/>
  <c r="N604" i="3" s="1"/>
  <c r="D10" i="2" s="1"/>
  <c r="E10" i="2" s="1"/>
  <c r="L604" i="3"/>
  <c r="C10" i="2" s="1"/>
  <c r="Q604" i="3"/>
  <c r="R604" i="3" s="1"/>
  <c r="D11" i="2" s="1"/>
  <c r="E11" i="2" s="1"/>
  <c r="P604" i="3"/>
  <c r="C11" i="2" s="1"/>
  <c r="U604" i="3"/>
  <c r="V604" i="3" s="1"/>
  <c r="D12" i="2" s="1"/>
  <c r="E12" i="2" s="1"/>
  <c r="T604" i="3"/>
  <c r="C12" i="2" s="1"/>
  <c r="Y604" i="3"/>
  <c r="Z604" i="3" s="1"/>
  <c r="D13" i="2" s="1"/>
  <c r="E13" i="2" s="1"/>
  <c r="X604" i="3"/>
  <c r="C13" i="2" s="1"/>
  <c r="AC604" i="3"/>
  <c r="AD604" i="3" s="1"/>
  <c r="D14" i="2" s="1"/>
  <c r="E14" i="2" s="1"/>
  <c r="AB604" i="3"/>
  <c r="C14" i="2" s="1"/>
  <c r="AG604" i="3"/>
  <c r="AH604" i="3" s="1"/>
  <c r="D15" i="2" s="1"/>
  <c r="E15" i="2" s="1"/>
  <c r="AF604" i="3"/>
  <c r="C15" i="2" s="1"/>
  <c r="B606" i="3"/>
  <c r="AE605" i="3"/>
  <c r="AA605" i="3"/>
  <c r="W605" i="3"/>
  <c r="S605" i="3"/>
  <c r="O605" i="3"/>
  <c r="K605" i="3"/>
  <c r="G605" i="3"/>
  <c r="C605" i="3"/>
  <c r="E605" i="3" l="1"/>
  <c r="F605" i="3" s="1"/>
  <c r="D605" i="3"/>
  <c r="I605" i="3"/>
  <c r="J605" i="3" s="1"/>
  <c r="H605" i="3"/>
  <c r="M605" i="3"/>
  <c r="N605" i="3" s="1"/>
  <c r="L605" i="3"/>
  <c r="Q605" i="3"/>
  <c r="R605" i="3" s="1"/>
  <c r="P605" i="3"/>
  <c r="U605" i="3"/>
  <c r="V605" i="3" s="1"/>
  <c r="T605" i="3"/>
  <c r="Y605" i="3"/>
  <c r="Z605" i="3" s="1"/>
  <c r="X605" i="3"/>
  <c r="AC605" i="3"/>
  <c r="AD605" i="3" s="1"/>
  <c r="AB605" i="3"/>
  <c r="AG605" i="3"/>
  <c r="AH605" i="3" s="1"/>
  <c r="AF605" i="3"/>
  <c r="B607" i="3"/>
  <c r="AE606" i="3"/>
  <c r="AA606" i="3"/>
  <c r="W606" i="3"/>
  <c r="S606" i="3"/>
  <c r="O606" i="3"/>
  <c r="K606" i="3"/>
  <c r="G606" i="3"/>
  <c r="C606" i="3"/>
  <c r="E606" i="3" l="1"/>
  <c r="F606" i="3" s="1"/>
  <c r="D606" i="3"/>
  <c r="I606" i="3"/>
  <c r="J606" i="3" s="1"/>
  <c r="H606" i="3"/>
  <c r="M606" i="3"/>
  <c r="N606" i="3" s="1"/>
  <c r="L606" i="3"/>
  <c r="Q606" i="3"/>
  <c r="R606" i="3" s="1"/>
  <c r="P606" i="3"/>
  <c r="U606" i="3"/>
  <c r="V606" i="3" s="1"/>
  <c r="T606" i="3"/>
  <c r="Y606" i="3"/>
  <c r="Z606" i="3" s="1"/>
  <c r="X606" i="3"/>
  <c r="AC606" i="3"/>
  <c r="AD606" i="3" s="1"/>
  <c r="AB606" i="3"/>
  <c r="AG606" i="3"/>
  <c r="AH606" i="3" s="1"/>
  <c r="AF606" i="3"/>
  <c r="B608" i="3"/>
  <c r="AE607" i="3"/>
  <c r="AA607" i="3"/>
  <c r="W607" i="3"/>
  <c r="S607" i="3"/>
  <c r="O607" i="3"/>
  <c r="K607" i="3"/>
  <c r="G607" i="3"/>
  <c r="C607" i="3"/>
  <c r="E607" i="3" l="1"/>
  <c r="F607" i="3" s="1"/>
  <c r="D607" i="3"/>
  <c r="I607" i="3"/>
  <c r="J607" i="3" s="1"/>
  <c r="H607" i="3"/>
  <c r="M607" i="3"/>
  <c r="N607" i="3" s="1"/>
  <c r="L607" i="3"/>
  <c r="Q607" i="3"/>
  <c r="R607" i="3" s="1"/>
  <c r="P607" i="3"/>
  <c r="U607" i="3"/>
  <c r="V607" i="3" s="1"/>
  <c r="T607" i="3"/>
  <c r="Y607" i="3"/>
  <c r="Z607" i="3" s="1"/>
  <c r="X607" i="3"/>
  <c r="AC607" i="3"/>
  <c r="AD607" i="3" s="1"/>
  <c r="AB607" i="3"/>
  <c r="AG607" i="3"/>
  <c r="AH607" i="3" s="1"/>
  <c r="AF607" i="3"/>
  <c r="B609" i="3"/>
  <c r="AE608" i="3"/>
  <c r="AA608" i="3"/>
  <c r="W608" i="3"/>
  <c r="S608" i="3"/>
  <c r="O608" i="3"/>
  <c r="K608" i="3"/>
  <c r="G608" i="3"/>
  <c r="C608" i="3"/>
  <c r="E608" i="3" l="1"/>
  <c r="F608" i="3" s="1"/>
  <c r="D608" i="3"/>
  <c r="I608" i="3"/>
  <c r="J608" i="3" s="1"/>
  <c r="H608" i="3"/>
  <c r="M608" i="3"/>
  <c r="N608" i="3" s="1"/>
  <c r="L608" i="3"/>
  <c r="Q608" i="3"/>
  <c r="R608" i="3" s="1"/>
  <c r="P608" i="3"/>
  <c r="U608" i="3"/>
  <c r="V608" i="3" s="1"/>
  <c r="T608" i="3"/>
  <c r="Y608" i="3"/>
  <c r="Z608" i="3" s="1"/>
  <c r="X608" i="3"/>
  <c r="AC608" i="3"/>
  <c r="AD608" i="3" s="1"/>
  <c r="AB608" i="3"/>
  <c r="AG608" i="3"/>
  <c r="AH608" i="3" s="1"/>
  <c r="AF608" i="3"/>
  <c r="B610" i="3"/>
  <c r="AE609" i="3"/>
  <c r="AA609" i="3"/>
  <c r="W609" i="3"/>
  <c r="S609" i="3"/>
  <c r="O609" i="3"/>
  <c r="K609" i="3"/>
  <c r="G609" i="3"/>
  <c r="C609" i="3"/>
  <c r="E609" i="3" l="1"/>
  <c r="F609" i="3" s="1"/>
  <c r="D609" i="3"/>
  <c r="I609" i="3"/>
  <c r="J609" i="3" s="1"/>
  <c r="H609" i="3"/>
  <c r="M609" i="3"/>
  <c r="N609" i="3" s="1"/>
  <c r="L609" i="3"/>
  <c r="Q609" i="3"/>
  <c r="R609" i="3" s="1"/>
  <c r="P609" i="3"/>
  <c r="U609" i="3"/>
  <c r="V609" i="3" s="1"/>
  <c r="T609" i="3"/>
  <c r="Y609" i="3"/>
  <c r="Z609" i="3" s="1"/>
  <c r="X609" i="3"/>
  <c r="AC609" i="3"/>
  <c r="AD609" i="3" s="1"/>
  <c r="AB609" i="3"/>
  <c r="AG609" i="3"/>
  <c r="AH609" i="3" s="1"/>
  <c r="AF609" i="3"/>
  <c r="B611" i="3"/>
  <c r="AE610" i="3"/>
  <c r="AA610" i="3"/>
  <c r="W610" i="3"/>
  <c r="S610" i="3"/>
  <c r="O610" i="3"/>
  <c r="K610" i="3"/>
  <c r="G610" i="3"/>
  <c r="C610" i="3"/>
  <c r="E610" i="3" l="1"/>
  <c r="F610" i="3" s="1"/>
  <c r="D610" i="3"/>
  <c r="I610" i="3"/>
  <c r="J610" i="3" s="1"/>
  <c r="H610" i="3"/>
  <c r="M610" i="3"/>
  <c r="N610" i="3" s="1"/>
  <c r="L610" i="3"/>
  <c r="Q610" i="3"/>
  <c r="R610" i="3" s="1"/>
  <c r="P610" i="3"/>
  <c r="U610" i="3"/>
  <c r="V610" i="3" s="1"/>
  <c r="T610" i="3"/>
  <c r="Y610" i="3"/>
  <c r="Z610" i="3" s="1"/>
  <c r="X610" i="3"/>
  <c r="AC610" i="3"/>
  <c r="AD610" i="3" s="1"/>
  <c r="AB610" i="3"/>
  <c r="AG610" i="3"/>
  <c r="AH610" i="3" s="1"/>
  <c r="AF610" i="3"/>
  <c r="B612" i="3"/>
  <c r="AE611" i="3"/>
  <c r="AA611" i="3"/>
  <c r="W611" i="3"/>
  <c r="S611" i="3"/>
  <c r="O611" i="3"/>
  <c r="K611" i="3"/>
  <c r="G611" i="3"/>
  <c r="C611" i="3"/>
  <c r="E611" i="3" l="1"/>
  <c r="F611" i="3" s="1"/>
  <c r="D611" i="3"/>
  <c r="I611" i="3"/>
  <c r="J611" i="3" s="1"/>
  <c r="H611" i="3"/>
  <c r="M611" i="3"/>
  <c r="N611" i="3" s="1"/>
  <c r="L611" i="3"/>
  <c r="Q611" i="3"/>
  <c r="R611" i="3" s="1"/>
  <c r="P611" i="3"/>
  <c r="U611" i="3"/>
  <c r="V611" i="3" s="1"/>
  <c r="T611" i="3"/>
  <c r="Y611" i="3"/>
  <c r="Z611" i="3" s="1"/>
  <c r="X611" i="3"/>
  <c r="AC611" i="3"/>
  <c r="AD611" i="3" s="1"/>
  <c r="AB611" i="3"/>
  <c r="AG611" i="3"/>
  <c r="AH611" i="3" s="1"/>
  <c r="AF611" i="3"/>
  <c r="B613" i="3"/>
  <c r="AE612" i="3"/>
  <c r="AA612" i="3"/>
  <c r="W612" i="3"/>
  <c r="S612" i="3"/>
  <c r="O612" i="3"/>
  <c r="K612" i="3"/>
  <c r="G612" i="3"/>
  <c r="C612" i="3"/>
  <c r="E612" i="3" l="1"/>
  <c r="F612" i="3" s="1"/>
  <c r="D612" i="3"/>
  <c r="I612" i="3"/>
  <c r="J612" i="3" s="1"/>
  <c r="H612" i="3"/>
  <c r="M612" i="3"/>
  <c r="N612" i="3" s="1"/>
  <c r="L612" i="3"/>
  <c r="Q612" i="3"/>
  <c r="R612" i="3" s="1"/>
  <c r="P612" i="3"/>
  <c r="U612" i="3"/>
  <c r="V612" i="3" s="1"/>
  <c r="T612" i="3"/>
  <c r="Y612" i="3"/>
  <c r="Z612" i="3" s="1"/>
  <c r="X612" i="3"/>
  <c r="AC612" i="3"/>
  <c r="AD612" i="3" s="1"/>
  <c r="AB612" i="3"/>
  <c r="AG612" i="3"/>
  <c r="AH612" i="3" s="1"/>
  <c r="AF612" i="3"/>
  <c r="B614" i="3"/>
  <c r="AE613" i="3"/>
  <c r="AA613" i="3"/>
  <c r="W613" i="3"/>
  <c r="S613" i="3"/>
  <c r="O613" i="3"/>
  <c r="K613" i="3"/>
  <c r="G613" i="3"/>
  <c r="C613" i="3"/>
  <c r="E613" i="3" l="1"/>
  <c r="F613" i="3" s="1"/>
  <c r="D613" i="3"/>
  <c r="I613" i="3"/>
  <c r="J613" i="3" s="1"/>
  <c r="H613" i="3"/>
  <c r="M613" i="3"/>
  <c r="N613" i="3" s="1"/>
  <c r="L613" i="3"/>
  <c r="Q613" i="3"/>
  <c r="R613" i="3" s="1"/>
  <c r="P613" i="3"/>
  <c r="U613" i="3"/>
  <c r="V613" i="3" s="1"/>
  <c r="T613" i="3"/>
  <c r="Y613" i="3"/>
  <c r="Z613" i="3" s="1"/>
  <c r="X613" i="3"/>
  <c r="AC613" i="3"/>
  <c r="AD613" i="3" s="1"/>
  <c r="AB613" i="3"/>
  <c r="AG613" i="3"/>
  <c r="AH613" i="3" s="1"/>
  <c r="AF613" i="3"/>
  <c r="B615" i="3"/>
  <c r="AE614" i="3"/>
  <c r="AA614" i="3"/>
  <c r="W614" i="3"/>
  <c r="S614" i="3"/>
  <c r="O614" i="3"/>
  <c r="K614" i="3"/>
  <c r="G614" i="3"/>
  <c r="C614" i="3"/>
  <c r="E614" i="3" l="1"/>
  <c r="F614" i="3" s="1"/>
  <c r="D614" i="3"/>
  <c r="I614" i="3"/>
  <c r="J614" i="3" s="1"/>
  <c r="H614" i="3"/>
  <c r="M614" i="3"/>
  <c r="N614" i="3" s="1"/>
  <c r="L614" i="3"/>
  <c r="Q614" i="3"/>
  <c r="R614" i="3" s="1"/>
  <c r="P614" i="3"/>
  <c r="U614" i="3"/>
  <c r="V614" i="3" s="1"/>
  <c r="T614" i="3"/>
  <c r="Y614" i="3"/>
  <c r="Z614" i="3" s="1"/>
  <c r="X614" i="3"/>
  <c r="AC614" i="3"/>
  <c r="AD614" i="3" s="1"/>
  <c r="AB614" i="3"/>
  <c r="AG614" i="3"/>
  <c r="AH614" i="3" s="1"/>
  <c r="AF614" i="3"/>
  <c r="B616" i="3"/>
  <c r="AE615" i="3"/>
  <c r="AA615" i="3"/>
  <c r="W615" i="3"/>
  <c r="S615" i="3"/>
  <c r="O615" i="3"/>
  <c r="K615" i="3"/>
  <c r="G615" i="3"/>
  <c r="C615" i="3"/>
  <c r="E615" i="3" l="1"/>
  <c r="F615" i="3" s="1"/>
  <c r="D615" i="3"/>
  <c r="I615" i="3"/>
  <c r="J615" i="3" s="1"/>
  <c r="H615" i="3"/>
  <c r="M615" i="3"/>
  <c r="N615" i="3" s="1"/>
  <c r="L615" i="3"/>
  <c r="Q615" i="3"/>
  <c r="R615" i="3" s="1"/>
  <c r="P615" i="3"/>
  <c r="U615" i="3"/>
  <c r="V615" i="3" s="1"/>
  <c r="T615" i="3"/>
  <c r="Y615" i="3"/>
  <c r="Z615" i="3" s="1"/>
  <c r="X615" i="3"/>
  <c r="AC615" i="3"/>
  <c r="AD615" i="3" s="1"/>
  <c r="AB615" i="3"/>
  <c r="AG615" i="3"/>
  <c r="AH615" i="3" s="1"/>
  <c r="AF615" i="3"/>
  <c r="B617" i="3"/>
  <c r="AE616" i="3"/>
  <c r="AA616" i="3"/>
  <c r="W616" i="3"/>
  <c r="S616" i="3"/>
  <c r="O616" i="3"/>
  <c r="K616" i="3"/>
  <c r="G616" i="3"/>
  <c r="C616" i="3"/>
  <c r="E616" i="3" l="1"/>
  <c r="F616" i="3" s="1"/>
  <c r="D616" i="3"/>
  <c r="I616" i="3"/>
  <c r="J616" i="3" s="1"/>
  <c r="H616" i="3"/>
  <c r="M616" i="3"/>
  <c r="N616" i="3" s="1"/>
  <c r="L616" i="3"/>
  <c r="Q616" i="3"/>
  <c r="R616" i="3" s="1"/>
  <c r="P616" i="3"/>
  <c r="U616" i="3"/>
  <c r="V616" i="3" s="1"/>
  <c r="T616" i="3"/>
  <c r="Y616" i="3"/>
  <c r="Z616" i="3" s="1"/>
  <c r="X616" i="3"/>
  <c r="AC616" i="3"/>
  <c r="AD616" i="3" s="1"/>
  <c r="AB616" i="3"/>
  <c r="AG616" i="3"/>
  <c r="AH616" i="3" s="1"/>
  <c r="AF616" i="3"/>
  <c r="B618" i="3"/>
  <c r="AE617" i="3"/>
  <c r="AA617" i="3"/>
  <c r="W617" i="3"/>
  <c r="S617" i="3"/>
  <c r="O617" i="3"/>
  <c r="K617" i="3"/>
  <c r="G617" i="3"/>
  <c r="C617" i="3"/>
  <c r="E617" i="3" l="1"/>
  <c r="F617" i="3" s="1"/>
  <c r="D617" i="3"/>
  <c r="I617" i="3"/>
  <c r="J617" i="3" s="1"/>
  <c r="H617" i="3"/>
  <c r="M617" i="3"/>
  <c r="N617" i="3" s="1"/>
  <c r="L617" i="3"/>
  <c r="Q617" i="3"/>
  <c r="R617" i="3" s="1"/>
  <c r="P617" i="3"/>
  <c r="U617" i="3"/>
  <c r="V617" i="3" s="1"/>
  <c r="T617" i="3"/>
  <c r="Y617" i="3"/>
  <c r="Z617" i="3" s="1"/>
  <c r="X617" i="3"/>
  <c r="AC617" i="3"/>
  <c r="AD617" i="3" s="1"/>
  <c r="AB617" i="3"/>
  <c r="AG617" i="3"/>
  <c r="AH617" i="3" s="1"/>
  <c r="AF617" i="3"/>
  <c r="B619" i="3"/>
  <c r="AE618" i="3"/>
  <c r="AA618" i="3"/>
  <c r="W618" i="3"/>
  <c r="S618" i="3"/>
  <c r="O618" i="3"/>
  <c r="K618" i="3"/>
  <c r="G618" i="3"/>
  <c r="C618" i="3"/>
  <c r="E618" i="3" l="1"/>
  <c r="F618" i="3" s="1"/>
  <c r="D618" i="3"/>
  <c r="I618" i="3"/>
  <c r="J618" i="3" s="1"/>
  <c r="H618" i="3"/>
  <c r="M618" i="3"/>
  <c r="N618" i="3" s="1"/>
  <c r="L618" i="3"/>
  <c r="Q618" i="3"/>
  <c r="R618" i="3" s="1"/>
  <c r="P618" i="3"/>
  <c r="U618" i="3"/>
  <c r="V618" i="3" s="1"/>
  <c r="T618" i="3"/>
  <c r="Y618" i="3"/>
  <c r="Z618" i="3" s="1"/>
  <c r="X618" i="3"/>
  <c r="AC618" i="3"/>
  <c r="AD618" i="3" s="1"/>
  <c r="AB618" i="3"/>
  <c r="AG618" i="3"/>
  <c r="AH618" i="3" s="1"/>
  <c r="AF618" i="3"/>
  <c r="B620" i="3"/>
  <c r="AE619" i="3"/>
  <c r="AA619" i="3"/>
  <c r="W619" i="3"/>
  <c r="S619" i="3"/>
  <c r="O619" i="3"/>
  <c r="K619" i="3"/>
  <c r="G619" i="3"/>
  <c r="C619" i="3"/>
  <c r="E619" i="3" l="1"/>
  <c r="F619" i="3" s="1"/>
  <c r="D619" i="3"/>
  <c r="I619" i="3"/>
  <c r="J619" i="3" s="1"/>
  <c r="H619" i="3"/>
  <c r="M619" i="3"/>
  <c r="N619" i="3" s="1"/>
  <c r="L619" i="3"/>
  <c r="Q619" i="3"/>
  <c r="R619" i="3" s="1"/>
  <c r="P619" i="3"/>
  <c r="U619" i="3"/>
  <c r="V619" i="3" s="1"/>
  <c r="T619" i="3"/>
  <c r="Y619" i="3"/>
  <c r="Z619" i="3" s="1"/>
  <c r="X619" i="3"/>
  <c r="AC619" i="3"/>
  <c r="AD619" i="3" s="1"/>
  <c r="AB619" i="3"/>
  <c r="AG619" i="3"/>
  <c r="AH619" i="3" s="1"/>
  <c r="AF619" i="3"/>
  <c r="B621" i="3"/>
  <c r="AE620" i="3"/>
  <c r="AA620" i="3"/>
  <c r="W620" i="3"/>
  <c r="S620" i="3"/>
  <c r="O620" i="3"/>
  <c r="K620" i="3"/>
  <c r="G620" i="3"/>
  <c r="C620" i="3"/>
  <c r="E620" i="3" l="1"/>
  <c r="F620" i="3" s="1"/>
  <c r="D620" i="3"/>
  <c r="I620" i="3"/>
  <c r="J620" i="3" s="1"/>
  <c r="H620" i="3"/>
  <c r="M620" i="3"/>
  <c r="N620" i="3" s="1"/>
  <c r="L620" i="3"/>
  <c r="Q620" i="3"/>
  <c r="R620" i="3" s="1"/>
  <c r="P620" i="3"/>
  <c r="U620" i="3"/>
  <c r="V620" i="3" s="1"/>
  <c r="T620" i="3"/>
  <c r="Y620" i="3"/>
  <c r="Z620" i="3" s="1"/>
  <c r="X620" i="3"/>
  <c r="AC620" i="3"/>
  <c r="AD620" i="3" s="1"/>
  <c r="AB620" i="3"/>
  <c r="AG620" i="3"/>
  <c r="AH620" i="3" s="1"/>
  <c r="AF620" i="3"/>
  <c r="B622" i="3"/>
  <c r="AE621" i="3"/>
  <c r="AA621" i="3"/>
  <c r="W621" i="3"/>
  <c r="S621" i="3"/>
  <c r="O621" i="3"/>
  <c r="K621" i="3"/>
  <c r="G621" i="3"/>
  <c r="C621" i="3"/>
  <c r="E621" i="3" l="1"/>
  <c r="F621" i="3" s="1"/>
  <c r="D621" i="3"/>
  <c r="I621" i="3"/>
  <c r="J621" i="3" s="1"/>
  <c r="H621" i="3"/>
  <c r="M621" i="3"/>
  <c r="N621" i="3" s="1"/>
  <c r="L621" i="3"/>
  <c r="Q621" i="3"/>
  <c r="R621" i="3" s="1"/>
  <c r="P621" i="3"/>
  <c r="U621" i="3"/>
  <c r="V621" i="3" s="1"/>
  <c r="T621" i="3"/>
  <c r="Y621" i="3"/>
  <c r="Z621" i="3" s="1"/>
  <c r="X621" i="3"/>
  <c r="AC621" i="3"/>
  <c r="AD621" i="3" s="1"/>
  <c r="AB621" i="3"/>
  <c r="AG621" i="3"/>
  <c r="AH621" i="3" s="1"/>
  <c r="AF621" i="3"/>
  <c r="B623" i="3"/>
  <c r="AE622" i="3"/>
  <c r="AA622" i="3"/>
  <c r="W622" i="3"/>
  <c r="S622" i="3"/>
  <c r="O622" i="3"/>
  <c r="K622" i="3"/>
  <c r="G622" i="3"/>
  <c r="C622" i="3"/>
  <c r="E622" i="3" l="1"/>
  <c r="F622" i="3" s="1"/>
  <c r="D622" i="3"/>
  <c r="I622" i="3"/>
  <c r="J622" i="3" s="1"/>
  <c r="H622" i="3"/>
  <c r="M622" i="3"/>
  <c r="N622" i="3" s="1"/>
  <c r="L622" i="3"/>
  <c r="Q622" i="3"/>
  <c r="R622" i="3" s="1"/>
  <c r="P622" i="3"/>
  <c r="U622" i="3"/>
  <c r="V622" i="3" s="1"/>
  <c r="T622" i="3"/>
  <c r="Y622" i="3"/>
  <c r="Z622" i="3" s="1"/>
  <c r="X622" i="3"/>
  <c r="AC622" i="3"/>
  <c r="AD622" i="3" s="1"/>
  <c r="AB622" i="3"/>
  <c r="AG622" i="3"/>
  <c r="AH622" i="3" s="1"/>
  <c r="AF622" i="3"/>
  <c r="B624" i="3"/>
  <c r="AE623" i="3"/>
  <c r="AA623" i="3"/>
  <c r="W623" i="3"/>
  <c r="S623" i="3"/>
  <c r="O623" i="3"/>
  <c r="K623" i="3"/>
  <c r="G623" i="3"/>
  <c r="C623" i="3"/>
  <c r="E623" i="3" l="1"/>
  <c r="F623" i="3" s="1"/>
  <c r="D623" i="3"/>
  <c r="I623" i="3"/>
  <c r="J623" i="3" s="1"/>
  <c r="H623" i="3"/>
  <c r="M623" i="3"/>
  <c r="N623" i="3" s="1"/>
  <c r="L623" i="3"/>
  <c r="Q623" i="3"/>
  <c r="R623" i="3" s="1"/>
  <c r="P623" i="3"/>
  <c r="U623" i="3"/>
  <c r="V623" i="3" s="1"/>
  <c r="T623" i="3"/>
  <c r="Y623" i="3"/>
  <c r="Z623" i="3" s="1"/>
  <c r="X623" i="3"/>
  <c r="AC623" i="3"/>
  <c r="AD623" i="3" s="1"/>
  <c r="AB623" i="3"/>
  <c r="AG623" i="3"/>
  <c r="AH623" i="3" s="1"/>
  <c r="AF623" i="3"/>
  <c r="B625" i="3"/>
  <c r="AE624" i="3"/>
  <c r="AA624" i="3"/>
  <c r="W624" i="3"/>
  <c r="S624" i="3"/>
  <c r="O624" i="3"/>
  <c r="K624" i="3"/>
  <c r="G624" i="3"/>
  <c r="C624" i="3"/>
  <c r="E624" i="3" l="1"/>
  <c r="F624" i="3" s="1"/>
  <c r="D624" i="3"/>
  <c r="I624" i="3"/>
  <c r="J624" i="3" s="1"/>
  <c r="H624" i="3"/>
  <c r="M624" i="3"/>
  <c r="N624" i="3" s="1"/>
  <c r="L624" i="3"/>
  <c r="Q624" i="3"/>
  <c r="R624" i="3" s="1"/>
  <c r="P624" i="3"/>
  <c r="U624" i="3"/>
  <c r="V624" i="3" s="1"/>
  <c r="T624" i="3"/>
  <c r="Y624" i="3"/>
  <c r="Z624" i="3" s="1"/>
  <c r="X624" i="3"/>
  <c r="AC624" i="3"/>
  <c r="AD624" i="3" s="1"/>
  <c r="AB624" i="3"/>
  <c r="AG624" i="3"/>
  <c r="AH624" i="3" s="1"/>
  <c r="AF624" i="3"/>
  <c r="B626" i="3"/>
  <c r="AE625" i="3"/>
  <c r="AA625" i="3"/>
  <c r="W625" i="3"/>
  <c r="S625" i="3"/>
  <c r="O625" i="3"/>
  <c r="K625" i="3"/>
  <c r="G625" i="3"/>
  <c r="C625" i="3"/>
  <c r="E625" i="3" l="1"/>
  <c r="F625" i="3" s="1"/>
  <c r="D625" i="3"/>
  <c r="I625" i="3"/>
  <c r="J625" i="3" s="1"/>
  <c r="H625" i="3"/>
  <c r="M625" i="3"/>
  <c r="N625" i="3" s="1"/>
  <c r="L625" i="3"/>
  <c r="Q625" i="3"/>
  <c r="R625" i="3" s="1"/>
  <c r="P625" i="3"/>
  <c r="U625" i="3"/>
  <c r="V625" i="3" s="1"/>
  <c r="T625" i="3"/>
  <c r="Y625" i="3"/>
  <c r="Z625" i="3" s="1"/>
  <c r="X625" i="3"/>
  <c r="AC625" i="3"/>
  <c r="AD625" i="3" s="1"/>
  <c r="AB625" i="3"/>
  <c r="AG625" i="3"/>
  <c r="AH625" i="3" s="1"/>
  <c r="AF625" i="3"/>
  <c r="B627" i="3"/>
  <c r="AE626" i="3"/>
  <c r="AA626" i="3"/>
  <c r="W626" i="3"/>
  <c r="S626" i="3"/>
  <c r="O626" i="3"/>
  <c r="K626" i="3"/>
  <c r="G626" i="3"/>
  <c r="C626" i="3"/>
  <c r="E626" i="3" l="1"/>
  <c r="F626" i="3" s="1"/>
  <c r="D626" i="3"/>
  <c r="I626" i="3"/>
  <c r="J626" i="3" s="1"/>
  <c r="H626" i="3"/>
  <c r="M626" i="3"/>
  <c r="N626" i="3" s="1"/>
  <c r="L626" i="3"/>
  <c r="Q626" i="3"/>
  <c r="R626" i="3" s="1"/>
  <c r="P626" i="3"/>
  <c r="U626" i="3"/>
  <c r="V626" i="3" s="1"/>
  <c r="T626" i="3"/>
  <c r="Y626" i="3"/>
  <c r="Z626" i="3" s="1"/>
  <c r="X626" i="3"/>
  <c r="AC626" i="3"/>
  <c r="AD626" i="3" s="1"/>
  <c r="AB626" i="3"/>
  <c r="AG626" i="3"/>
  <c r="AH626" i="3" s="1"/>
  <c r="AF626" i="3"/>
  <c r="B628" i="3"/>
  <c r="AE627" i="3"/>
  <c r="AA627" i="3"/>
  <c r="W627" i="3"/>
  <c r="S627" i="3"/>
  <c r="O627" i="3"/>
  <c r="K627" i="3"/>
  <c r="G627" i="3"/>
  <c r="C627" i="3"/>
  <c r="E627" i="3" l="1"/>
  <c r="F627" i="3" s="1"/>
  <c r="D627" i="3"/>
  <c r="I627" i="3"/>
  <c r="J627" i="3" s="1"/>
  <c r="H627" i="3"/>
  <c r="M627" i="3"/>
  <c r="N627" i="3" s="1"/>
  <c r="L627" i="3"/>
  <c r="Q627" i="3"/>
  <c r="R627" i="3" s="1"/>
  <c r="P627" i="3"/>
  <c r="U627" i="3"/>
  <c r="V627" i="3" s="1"/>
  <c r="T627" i="3"/>
  <c r="Y627" i="3"/>
  <c r="Z627" i="3" s="1"/>
  <c r="X627" i="3"/>
  <c r="AC627" i="3"/>
  <c r="AD627" i="3" s="1"/>
  <c r="AB627" i="3"/>
  <c r="AG627" i="3"/>
  <c r="AH627" i="3" s="1"/>
  <c r="AF627" i="3"/>
  <c r="B629" i="3"/>
  <c r="AE628" i="3"/>
  <c r="AA628" i="3"/>
  <c r="W628" i="3"/>
  <c r="S628" i="3"/>
  <c r="O628" i="3"/>
  <c r="K628" i="3"/>
  <c r="G628" i="3"/>
  <c r="C628" i="3"/>
  <c r="E628" i="3" l="1"/>
  <c r="F628" i="3" s="1"/>
  <c r="D628" i="3"/>
  <c r="I628" i="3"/>
  <c r="J628" i="3" s="1"/>
  <c r="H628" i="3"/>
  <c r="M628" i="3"/>
  <c r="N628" i="3" s="1"/>
  <c r="L628" i="3"/>
  <c r="Q628" i="3"/>
  <c r="R628" i="3" s="1"/>
  <c r="P628" i="3"/>
  <c r="U628" i="3"/>
  <c r="V628" i="3" s="1"/>
  <c r="T628" i="3"/>
  <c r="Y628" i="3"/>
  <c r="Z628" i="3" s="1"/>
  <c r="X628" i="3"/>
  <c r="AC628" i="3"/>
  <c r="AD628" i="3" s="1"/>
  <c r="AB628" i="3"/>
  <c r="AG628" i="3"/>
  <c r="AH628" i="3" s="1"/>
  <c r="AF628" i="3"/>
  <c r="B630" i="3"/>
  <c r="AE629" i="3"/>
  <c r="AA629" i="3"/>
  <c r="W629" i="3"/>
  <c r="S629" i="3"/>
  <c r="O629" i="3"/>
  <c r="K629" i="3"/>
  <c r="G629" i="3"/>
  <c r="C629" i="3"/>
  <c r="E629" i="3" l="1"/>
  <c r="F629" i="3" s="1"/>
  <c r="D629" i="3"/>
  <c r="I629" i="3"/>
  <c r="J629" i="3" s="1"/>
  <c r="H629" i="3"/>
  <c r="M629" i="3"/>
  <c r="N629" i="3" s="1"/>
  <c r="L629" i="3"/>
  <c r="Q629" i="3"/>
  <c r="R629" i="3" s="1"/>
  <c r="P629" i="3"/>
  <c r="U629" i="3"/>
  <c r="V629" i="3" s="1"/>
  <c r="T629" i="3"/>
  <c r="Y629" i="3"/>
  <c r="Z629" i="3" s="1"/>
  <c r="X629" i="3"/>
  <c r="AC629" i="3"/>
  <c r="AD629" i="3" s="1"/>
  <c r="AB629" i="3"/>
  <c r="AG629" i="3"/>
  <c r="AH629" i="3" s="1"/>
  <c r="AF629" i="3"/>
  <c r="B631" i="3"/>
  <c r="AE630" i="3"/>
  <c r="AA630" i="3"/>
  <c r="W630" i="3"/>
  <c r="S630" i="3"/>
  <c r="O630" i="3"/>
  <c r="K630" i="3"/>
  <c r="G630" i="3"/>
  <c r="C630" i="3"/>
  <c r="E630" i="3" l="1"/>
  <c r="F630" i="3" s="1"/>
  <c r="D630" i="3"/>
  <c r="I630" i="3"/>
  <c r="J630" i="3" s="1"/>
  <c r="H630" i="3"/>
  <c r="M630" i="3"/>
  <c r="N630" i="3" s="1"/>
  <c r="L630" i="3"/>
  <c r="Q630" i="3"/>
  <c r="R630" i="3" s="1"/>
  <c r="P630" i="3"/>
  <c r="U630" i="3"/>
  <c r="V630" i="3" s="1"/>
  <c r="T630" i="3"/>
  <c r="Y630" i="3"/>
  <c r="Z630" i="3" s="1"/>
  <c r="X630" i="3"/>
  <c r="AC630" i="3"/>
  <c r="AD630" i="3" s="1"/>
  <c r="AB630" i="3"/>
  <c r="AG630" i="3"/>
  <c r="AH630" i="3" s="1"/>
  <c r="AF630" i="3"/>
  <c r="B632" i="3"/>
  <c r="AE631" i="3"/>
  <c r="AA631" i="3"/>
  <c r="W631" i="3"/>
  <c r="S631" i="3"/>
  <c r="O631" i="3"/>
  <c r="K631" i="3"/>
  <c r="G631" i="3"/>
  <c r="C631" i="3"/>
  <c r="E631" i="3" l="1"/>
  <c r="F631" i="3" s="1"/>
  <c r="D631" i="3"/>
  <c r="I631" i="3"/>
  <c r="J631" i="3" s="1"/>
  <c r="H631" i="3"/>
  <c r="M631" i="3"/>
  <c r="N631" i="3" s="1"/>
  <c r="L631" i="3"/>
  <c r="Q631" i="3"/>
  <c r="R631" i="3" s="1"/>
  <c r="P631" i="3"/>
  <c r="U631" i="3"/>
  <c r="V631" i="3" s="1"/>
  <c r="T631" i="3"/>
  <c r="Y631" i="3"/>
  <c r="Z631" i="3" s="1"/>
  <c r="X631" i="3"/>
  <c r="AC631" i="3"/>
  <c r="AD631" i="3" s="1"/>
  <c r="AB631" i="3"/>
  <c r="AG631" i="3"/>
  <c r="AH631" i="3" s="1"/>
  <c r="AF631" i="3"/>
  <c r="B633" i="3"/>
  <c r="AE632" i="3"/>
  <c r="AA632" i="3"/>
  <c r="W632" i="3"/>
  <c r="S632" i="3"/>
  <c r="O632" i="3"/>
  <c r="K632" i="3"/>
  <c r="G632" i="3"/>
  <c r="C632" i="3"/>
  <c r="E632" i="3" l="1"/>
  <c r="F632" i="3" s="1"/>
  <c r="D632" i="3"/>
  <c r="I632" i="3"/>
  <c r="J632" i="3" s="1"/>
  <c r="H632" i="3"/>
  <c r="M632" i="3"/>
  <c r="N632" i="3" s="1"/>
  <c r="L632" i="3"/>
  <c r="Q632" i="3"/>
  <c r="R632" i="3" s="1"/>
  <c r="P632" i="3"/>
  <c r="U632" i="3"/>
  <c r="V632" i="3" s="1"/>
  <c r="T632" i="3"/>
  <c r="Y632" i="3"/>
  <c r="Z632" i="3" s="1"/>
  <c r="X632" i="3"/>
  <c r="AC632" i="3"/>
  <c r="AD632" i="3" s="1"/>
  <c r="AB632" i="3"/>
  <c r="AG632" i="3"/>
  <c r="AH632" i="3" s="1"/>
  <c r="AF632" i="3"/>
  <c r="B634" i="3"/>
  <c r="AE633" i="3"/>
  <c r="AA633" i="3"/>
  <c r="W633" i="3"/>
  <c r="S633" i="3"/>
  <c r="O633" i="3"/>
  <c r="K633" i="3"/>
  <c r="G633" i="3"/>
  <c r="C633" i="3"/>
  <c r="E633" i="3" l="1"/>
  <c r="F633" i="3" s="1"/>
  <c r="D633" i="3"/>
  <c r="I633" i="3"/>
  <c r="J633" i="3" s="1"/>
  <c r="H633" i="3"/>
  <c r="M633" i="3"/>
  <c r="N633" i="3" s="1"/>
  <c r="L633" i="3"/>
  <c r="Q633" i="3"/>
  <c r="R633" i="3" s="1"/>
  <c r="P633" i="3"/>
  <c r="U633" i="3"/>
  <c r="V633" i="3" s="1"/>
  <c r="T633" i="3"/>
  <c r="Y633" i="3"/>
  <c r="Z633" i="3" s="1"/>
  <c r="X633" i="3"/>
  <c r="AC633" i="3"/>
  <c r="AD633" i="3" s="1"/>
  <c r="AB633" i="3"/>
  <c r="AG633" i="3"/>
  <c r="AH633" i="3" s="1"/>
  <c r="AF633" i="3"/>
  <c r="B635" i="3"/>
  <c r="AE634" i="3"/>
  <c r="AA634" i="3"/>
  <c r="W634" i="3"/>
  <c r="S634" i="3"/>
  <c r="O634" i="3"/>
  <c r="K634" i="3"/>
  <c r="G634" i="3"/>
  <c r="C634" i="3"/>
  <c r="E634" i="3" l="1"/>
  <c r="F634" i="3" s="1"/>
  <c r="D634" i="3"/>
  <c r="I634" i="3"/>
  <c r="J634" i="3" s="1"/>
  <c r="H634" i="3"/>
  <c r="M634" i="3"/>
  <c r="N634" i="3" s="1"/>
  <c r="L634" i="3"/>
  <c r="Q634" i="3"/>
  <c r="R634" i="3" s="1"/>
  <c r="P634" i="3"/>
  <c r="U634" i="3"/>
  <c r="V634" i="3" s="1"/>
  <c r="T634" i="3"/>
  <c r="Y634" i="3"/>
  <c r="Z634" i="3" s="1"/>
  <c r="X634" i="3"/>
  <c r="AC634" i="3"/>
  <c r="AD634" i="3" s="1"/>
  <c r="AB634" i="3"/>
  <c r="AG634" i="3"/>
  <c r="AH634" i="3" s="1"/>
  <c r="AF634" i="3"/>
  <c r="B636" i="3"/>
  <c r="AE635" i="3"/>
  <c r="AA635" i="3"/>
  <c r="W635" i="3"/>
  <c r="S635" i="3"/>
  <c r="O635" i="3"/>
  <c r="K635" i="3"/>
  <c r="G635" i="3"/>
  <c r="C635" i="3"/>
  <c r="E635" i="3" l="1"/>
  <c r="F635" i="3" s="1"/>
  <c r="D635" i="3"/>
  <c r="I635" i="3"/>
  <c r="J635" i="3" s="1"/>
  <c r="H635" i="3"/>
  <c r="M635" i="3"/>
  <c r="N635" i="3" s="1"/>
  <c r="L635" i="3"/>
  <c r="Q635" i="3"/>
  <c r="R635" i="3" s="1"/>
  <c r="P635" i="3"/>
  <c r="U635" i="3"/>
  <c r="V635" i="3" s="1"/>
  <c r="T635" i="3"/>
  <c r="Y635" i="3"/>
  <c r="Z635" i="3" s="1"/>
  <c r="X635" i="3"/>
  <c r="AC635" i="3"/>
  <c r="AD635" i="3" s="1"/>
  <c r="AB635" i="3"/>
  <c r="AG635" i="3"/>
  <c r="AH635" i="3" s="1"/>
  <c r="AF635" i="3"/>
  <c r="B637" i="3"/>
  <c r="AE636" i="3"/>
  <c r="AA636" i="3"/>
  <c r="W636" i="3"/>
  <c r="S636" i="3"/>
  <c r="O636" i="3"/>
  <c r="K636" i="3"/>
  <c r="G636" i="3"/>
  <c r="C636" i="3"/>
  <c r="E636" i="3" l="1"/>
  <c r="F636" i="3" s="1"/>
  <c r="D636" i="3"/>
  <c r="I636" i="3"/>
  <c r="J636" i="3" s="1"/>
  <c r="H636" i="3"/>
  <c r="M636" i="3"/>
  <c r="N636" i="3" s="1"/>
  <c r="L636" i="3"/>
  <c r="Q636" i="3"/>
  <c r="R636" i="3" s="1"/>
  <c r="P636" i="3"/>
  <c r="U636" i="3"/>
  <c r="V636" i="3" s="1"/>
  <c r="T636" i="3"/>
  <c r="Y636" i="3"/>
  <c r="Z636" i="3" s="1"/>
  <c r="X636" i="3"/>
  <c r="AC636" i="3"/>
  <c r="AD636" i="3" s="1"/>
  <c r="AB636" i="3"/>
  <c r="AG636" i="3"/>
  <c r="AH636" i="3" s="1"/>
  <c r="AF636" i="3"/>
  <c r="B638" i="3"/>
  <c r="AE637" i="3"/>
  <c r="AA637" i="3"/>
  <c r="W637" i="3"/>
  <c r="S637" i="3"/>
  <c r="O637" i="3"/>
  <c r="K637" i="3"/>
  <c r="G637" i="3"/>
  <c r="C637" i="3"/>
  <c r="E637" i="3" l="1"/>
  <c r="F637" i="3" s="1"/>
  <c r="D637" i="3"/>
  <c r="I637" i="3"/>
  <c r="J637" i="3" s="1"/>
  <c r="H637" i="3"/>
  <c r="M637" i="3"/>
  <c r="N637" i="3" s="1"/>
  <c r="L637" i="3"/>
  <c r="Q637" i="3"/>
  <c r="R637" i="3" s="1"/>
  <c r="P637" i="3"/>
  <c r="U637" i="3"/>
  <c r="V637" i="3" s="1"/>
  <c r="T637" i="3"/>
  <c r="Y637" i="3"/>
  <c r="Z637" i="3" s="1"/>
  <c r="X637" i="3"/>
  <c r="AC637" i="3"/>
  <c r="AD637" i="3" s="1"/>
  <c r="AB637" i="3"/>
  <c r="AG637" i="3"/>
  <c r="AH637" i="3" s="1"/>
  <c r="AF637" i="3"/>
  <c r="B639" i="3"/>
  <c r="AE638" i="3"/>
  <c r="AA638" i="3"/>
  <c r="W638" i="3"/>
  <c r="S638" i="3"/>
  <c r="O638" i="3"/>
  <c r="K638" i="3"/>
  <c r="G638" i="3"/>
  <c r="C638" i="3"/>
  <c r="E638" i="3" l="1"/>
  <c r="F638" i="3" s="1"/>
  <c r="D638" i="3"/>
  <c r="I638" i="3"/>
  <c r="J638" i="3" s="1"/>
  <c r="H638" i="3"/>
  <c r="M638" i="3"/>
  <c r="N638" i="3" s="1"/>
  <c r="L638" i="3"/>
  <c r="Q638" i="3"/>
  <c r="R638" i="3" s="1"/>
  <c r="P638" i="3"/>
  <c r="U638" i="3"/>
  <c r="V638" i="3" s="1"/>
  <c r="T638" i="3"/>
  <c r="Y638" i="3"/>
  <c r="Z638" i="3" s="1"/>
  <c r="X638" i="3"/>
  <c r="AC638" i="3"/>
  <c r="AD638" i="3" s="1"/>
  <c r="AB638" i="3"/>
  <c r="AG638" i="3"/>
  <c r="AH638" i="3" s="1"/>
  <c r="AF638" i="3"/>
  <c r="B640" i="3"/>
  <c r="AE639" i="3"/>
  <c r="AA639" i="3"/>
  <c r="W639" i="3"/>
  <c r="S639" i="3"/>
  <c r="O639" i="3"/>
  <c r="K639" i="3"/>
  <c r="G639" i="3"/>
  <c r="C639" i="3"/>
  <c r="E639" i="3" l="1"/>
  <c r="F639" i="3" s="1"/>
  <c r="D639" i="3"/>
  <c r="I639" i="3"/>
  <c r="J639" i="3" s="1"/>
  <c r="H639" i="3"/>
  <c r="M639" i="3"/>
  <c r="N639" i="3" s="1"/>
  <c r="L639" i="3"/>
  <c r="Q639" i="3"/>
  <c r="R639" i="3" s="1"/>
  <c r="P639" i="3"/>
  <c r="U639" i="3"/>
  <c r="V639" i="3" s="1"/>
  <c r="T639" i="3"/>
  <c r="Y639" i="3"/>
  <c r="Z639" i="3" s="1"/>
  <c r="X639" i="3"/>
  <c r="AC639" i="3"/>
  <c r="AD639" i="3" s="1"/>
  <c r="AB639" i="3"/>
  <c r="AG639" i="3"/>
  <c r="AH639" i="3" s="1"/>
  <c r="AF639" i="3"/>
  <c r="B641" i="3"/>
  <c r="AE640" i="3"/>
  <c r="AA640" i="3"/>
  <c r="W640" i="3"/>
  <c r="S640" i="3"/>
  <c r="O640" i="3"/>
  <c r="K640" i="3"/>
  <c r="G640" i="3"/>
  <c r="C640" i="3"/>
  <c r="E640" i="3" l="1"/>
  <c r="F640" i="3" s="1"/>
  <c r="D640" i="3"/>
  <c r="I640" i="3"/>
  <c r="J640" i="3" s="1"/>
  <c r="H640" i="3"/>
  <c r="M640" i="3"/>
  <c r="N640" i="3" s="1"/>
  <c r="L640" i="3"/>
  <c r="Q640" i="3"/>
  <c r="R640" i="3" s="1"/>
  <c r="P640" i="3"/>
  <c r="U640" i="3"/>
  <c r="V640" i="3" s="1"/>
  <c r="T640" i="3"/>
  <c r="Y640" i="3"/>
  <c r="Z640" i="3" s="1"/>
  <c r="X640" i="3"/>
  <c r="AC640" i="3"/>
  <c r="AD640" i="3" s="1"/>
  <c r="AB640" i="3"/>
  <c r="AG640" i="3"/>
  <c r="AH640" i="3" s="1"/>
  <c r="AF640" i="3"/>
  <c r="B642" i="3"/>
  <c r="AE641" i="3"/>
  <c r="AA641" i="3"/>
  <c r="W641" i="3"/>
  <c r="S641" i="3"/>
  <c r="O641" i="3"/>
  <c r="K641" i="3"/>
  <c r="G641" i="3"/>
  <c r="C641" i="3"/>
  <c r="E641" i="3" l="1"/>
  <c r="F641" i="3" s="1"/>
  <c r="D641" i="3"/>
  <c r="I641" i="3"/>
  <c r="J641" i="3" s="1"/>
  <c r="H641" i="3"/>
  <c r="M641" i="3"/>
  <c r="N641" i="3" s="1"/>
  <c r="L641" i="3"/>
  <c r="Q641" i="3"/>
  <c r="R641" i="3" s="1"/>
  <c r="P641" i="3"/>
  <c r="U641" i="3"/>
  <c r="V641" i="3" s="1"/>
  <c r="T641" i="3"/>
  <c r="Y641" i="3"/>
  <c r="Z641" i="3" s="1"/>
  <c r="X641" i="3"/>
  <c r="AC641" i="3"/>
  <c r="AD641" i="3" s="1"/>
  <c r="AB641" i="3"/>
  <c r="AG641" i="3"/>
  <c r="AH641" i="3" s="1"/>
  <c r="AF641" i="3"/>
  <c r="B643" i="3"/>
  <c r="AE642" i="3"/>
  <c r="AA642" i="3"/>
  <c r="W642" i="3"/>
  <c r="S642" i="3"/>
  <c r="O642" i="3"/>
  <c r="K642" i="3"/>
  <c r="G642" i="3"/>
  <c r="C642" i="3"/>
  <c r="E642" i="3" l="1"/>
  <c r="F642" i="3" s="1"/>
  <c r="D642" i="3"/>
  <c r="I642" i="3"/>
  <c r="J642" i="3" s="1"/>
  <c r="H642" i="3"/>
  <c r="M642" i="3"/>
  <c r="N642" i="3" s="1"/>
  <c r="L642" i="3"/>
  <c r="Q642" i="3"/>
  <c r="R642" i="3" s="1"/>
  <c r="P642" i="3"/>
  <c r="U642" i="3"/>
  <c r="V642" i="3" s="1"/>
  <c r="T642" i="3"/>
  <c r="Y642" i="3"/>
  <c r="Z642" i="3" s="1"/>
  <c r="X642" i="3"/>
  <c r="AC642" i="3"/>
  <c r="AD642" i="3" s="1"/>
  <c r="AB642" i="3"/>
  <c r="AG642" i="3"/>
  <c r="AH642" i="3" s="1"/>
  <c r="AF642" i="3"/>
  <c r="B644" i="3"/>
  <c r="AE643" i="3"/>
  <c r="AA643" i="3"/>
  <c r="W643" i="3"/>
  <c r="S643" i="3"/>
  <c r="O643" i="3"/>
  <c r="K643" i="3"/>
  <c r="G643" i="3"/>
  <c r="C643" i="3"/>
  <c r="E643" i="3" l="1"/>
  <c r="F643" i="3" s="1"/>
  <c r="D643" i="3"/>
  <c r="I643" i="3"/>
  <c r="J643" i="3" s="1"/>
  <c r="H643" i="3"/>
  <c r="M643" i="3"/>
  <c r="N643" i="3" s="1"/>
  <c r="L643" i="3"/>
  <c r="Q643" i="3"/>
  <c r="R643" i="3" s="1"/>
  <c r="P643" i="3"/>
  <c r="U643" i="3"/>
  <c r="V643" i="3" s="1"/>
  <c r="T643" i="3"/>
  <c r="Y643" i="3"/>
  <c r="Z643" i="3" s="1"/>
  <c r="X643" i="3"/>
  <c r="AC643" i="3"/>
  <c r="AD643" i="3" s="1"/>
  <c r="AB643" i="3"/>
  <c r="AG643" i="3"/>
  <c r="AH643" i="3" s="1"/>
  <c r="AF643" i="3"/>
  <c r="B645" i="3"/>
  <c r="AE644" i="3"/>
  <c r="AA644" i="3"/>
  <c r="W644" i="3"/>
  <c r="S644" i="3"/>
  <c r="O644" i="3"/>
  <c r="K644" i="3"/>
  <c r="G644" i="3"/>
  <c r="C644" i="3"/>
  <c r="E644" i="3" l="1"/>
  <c r="F644" i="3" s="1"/>
  <c r="D644" i="3"/>
  <c r="I644" i="3"/>
  <c r="J644" i="3" s="1"/>
  <c r="H644" i="3"/>
  <c r="M644" i="3"/>
  <c r="N644" i="3" s="1"/>
  <c r="L644" i="3"/>
  <c r="Q644" i="3"/>
  <c r="R644" i="3" s="1"/>
  <c r="P644" i="3"/>
  <c r="U644" i="3"/>
  <c r="V644" i="3" s="1"/>
  <c r="T644" i="3"/>
  <c r="Y644" i="3"/>
  <c r="Z644" i="3" s="1"/>
  <c r="X644" i="3"/>
  <c r="AC644" i="3"/>
  <c r="AD644" i="3" s="1"/>
  <c r="AB644" i="3"/>
  <c r="AG644" i="3"/>
  <c r="AH644" i="3" s="1"/>
  <c r="AF644" i="3"/>
  <c r="B646" i="3"/>
  <c r="AE645" i="3"/>
  <c r="AA645" i="3"/>
  <c r="W645" i="3"/>
  <c r="S645" i="3"/>
  <c r="O645" i="3"/>
  <c r="K645" i="3"/>
  <c r="G645" i="3"/>
  <c r="C645" i="3"/>
  <c r="E645" i="3" l="1"/>
  <c r="F645" i="3" s="1"/>
  <c r="D645" i="3"/>
  <c r="I645" i="3"/>
  <c r="J645" i="3" s="1"/>
  <c r="H645" i="3"/>
  <c r="M645" i="3"/>
  <c r="N645" i="3" s="1"/>
  <c r="L645" i="3"/>
  <c r="Q645" i="3"/>
  <c r="R645" i="3" s="1"/>
  <c r="P645" i="3"/>
  <c r="U645" i="3"/>
  <c r="V645" i="3" s="1"/>
  <c r="T645" i="3"/>
  <c r="Y645" i="3"/>
  <c r="Z645" i="3" s="1"/>
  <c r="X645" i="3"/>
  <c r="AC645" i="3"/>
  <c r="AD645" i="3" s="1"/>
  <c r="AB645" i="3"/>
  <c r="AG645" i="3"/>
  <c r="AH645" i="3" s="1"/>
  <c r="AF645" i="3"/>
  <c r="B647" i="3"/>
  <c r="AE646" i="3"/>
  <c r="AA646" i="3"/>
  <c r="W646" i="3"/>
  <c r="S646" i="3"/>
  <c r="O646" i="3"/>
  <c r="K646" i="3"/>
  <c r="G646" i="3"/>
  <c r="C646" i="3"/>
  <c r="E646" i="3" l="1"/>
  <c r="F646" i="3" s="1"/>
  <c r="D646" i="3"/>
  <c r="I646" i="3"/>
  <c r="J646" i="3" s="1"/>
  <c r="H646" i="3"/>
  <c r="M646" i="3"/>
  <c r="N646" i="3" s="1"/>
  <c r="L646" i="3"/>
  <c r="Q646" i="3"/>
  <c r="R646" i="3" s="1"/>
  <c r="P646" i="3"/>
  <c r="U646" i="3"/>
  <c r="V646" i="3" s="1"/>
  <c r="T646" i="3"/>
  <c r="Y646" i="3"/>
  <c r="Z646" i="3" s="1"/>
  <c r="X646" i="3"/>
  <c r="AC646" i="3"/>
  <c r="AD646" i="3" s="1"/>
  <c r="AB646" i="3"/>
  <c r="AG646" i="3"/>
  <c r="AH646" i="3" s="1"/>
  <c r="AF646" i="3"/>
  <c r="B648" i="3"/>
  <c r="AE647" i="3"/>
  <c r="AA647" i="3"/>
  <c r="W647" i="3"/>
  <c r="S647" i="3"/>
  <c r="O647" i="3"/>
  <c r="K647" i="3"/>
  <c r="G647" i="3"/>
  <c r="C647" i="3"/>
  <c r="E647" i="3" l="1"/>
  <c r="F647" i="3" s="1"/>
  <c r="D647" i="3"/>
  <c r="I647" i="3"/>
  <c r="J647" i="3" s="1"/>
  <c r="H647" i="3"/>
  <c r="M647" i="3"/>
  <c r="N647" i="3" s="1"/>
  <c r="L647" i="3"/>
  <c r="Q647" i="3"/>
  <c r="R647" i="3" s="1"/>
  <c r="P647" i="3"/>
  <c r="U647" i="3"/>
  <c r="V647" i="3" s="1"/>
  <c r="T647" i="3"/>
  <c r="Y647" i="3"/>
  <c r="Z647" i="3" s="1"/>
  <c r="X647" i="3"/>
  <c r="AC647" i="3"/>
  <c r="AD647" i="3" s="1"/>
  <c r="AB647" i="3"/>
  <c r="AG647" i="3"/>
  <c r="AH647" i="3" s="1"/>
  <c r="AF647" i="3"/>
  <c r="B649" i="3"/>
  <c r="AE648" i="3"/>
  <c r="AA648" i="3"/>
  <c r="W648" i="3"/>
  <c r="S648" i="3"/>
  <c r="O648" i="3"/>
  <c r="K648" i="3"/>
  <c r="G648" i="3"/>
  <c r="C648" i="3"/>
  <c r="E648" i="3" l="1"/>
  <c r="F648" i="3" s="1"/>
  <c r="D648" i="3"/>
  <c r="I648" i="3"/>
  <c r="J648" i="3" s="1"/>
  <c r="H648" i="3"/>
  <c r="M648" i="3"/>
  <c r="N648" i="3" s="1"/>
  <c r="L648" i="3"/>
  <c r="Q648" i="3"/>
  <c r="R648" i="3" s="1"/>
  <c r="P648" i="3"/>
  <c r="U648" i="3"/>
  <c r="V648" i="3" s="1"/>
  <c r="T648" i="3"/>
  <c r="Y648" i="3"/>
  <c r="Z648" i="3" s="1"/>
  <c r="X648" i="3"/>
  <c r="AC648" i="3"/>
  <c r="AD648" i="3" s="1"/>
  <c r="AB648" i="3"/>
  <c r="AG648" i="3"/>
  <c r="AH648" i="3" s="1"/>
  <c r="AF648" i="3"/>
  <c r="B650" i="3"/>
  <c r="AE649" i="3"/>
  <c r="AA649" i="3"/>
  <c r="W649" i="3"/>
  <c r="S649" i="3"/>
  <c r="O649" i="3"/>
  <c r="K649" i="3"/>
  <c r="G649" i="3"/>
  <c r="C649" i="3"/>
  <c r="E649" i="3" l="1"/>
  <c r="F649" i="3" s="1"/>
  <c r="D649" i="3"/>
  <c r="I649" i="3"/>
  <c r="J649" i="3" s="1"/>
  <c r="H649" i="3"/>
  <c r="M649" i="3"/>
  <c r="N649" i="3" s="1"/>
  <c r="L649" i="3"/>
  <c r="Q649" i="3"/>
  <c r="R649" i="3" s="1"/>
  <c r="P649" i="3"/>
  <c r="U649" i="3"/>
  <c r="V649" i="3" s="1"/>
  <c r="T649" i="3"/>
  <c r="Y649" i="3"/>
  <c r="Z649" i="3" s="1"/>
  <c r="X649" i="3"/>
  <c r="AC649" i="3"/>
  <c r="AD649" i="3" s="1"/>
  <c r="AB649" i="3"/>
  <c r="AG649" i="3"/>
  <c r="AH649" i="3" s="1"/>
  <c r="AF649" i="3"/>
  <c r="B651" i="3"/>
  <c r="AE650" i="3"/>
  <c r="AA650" i="3"/>
  <c r="W650" i="3"/>
  <c r="S650" i="3"/>
  <c r="O650" i="3"/>
  <c r="K650" i="3"/>
  <c r="G650" i="3"/>
  <c r="C650" i="3"/>
  <c r="E650" i="3" l="1"/>
  <c r="F650" i="3" s="1"/>
  <c r="D650" i="3"/>
  <c r="I650" i="3"/>
  <c r="J650" i="3" s="1"/>
  <c r="H650" i="3"/>
  <c r="M650" i="3"/>
  <c r="N650" i="3" s="1"/>
  <c r="L650" i="3"/>
  <c r="Q650" i="3"/>
  <c r="R650" i="3" s="1"/>
  <c r="P650" i="3"/>
  <c r="U650" i="3"/>
  <c r="V650" i="3" s="1"/>
  <c r="T650" i="3"/>
  <c r="Y650" i="3"/>
  <c r="Z650" i="3" s="1"/>
  <c r="X650" i="3"/>
  <c r="AC650" i="3"/>
  <c r="AD650" i="3" s="1"/>
  <c r="AB650" i="3"/>
  <c r="AG650" i="3"/>
  <c r="AH650" i="3" s="1"/>
  <c r="AF650" i="3"/>
  <c r="B652" i="3"/>
  <c r="AE651" i="3"/>
  <c r="AA651" i="3"/>
  <c r="W651" i="3"/>
  <c r="S651" i="3"/>
  <c r="O651" i="3"/>
  <c r="K651" i="3"/>
  <c r="G651" i="3"/>
  <c r="C651" i="3"/>
  <c r="E651" i="3" l="1"/>
  <c r="F651" i="3" s="1"/>
  <c r="D651" i="3"/>
  <c r="I651" i="3"/>
  <c r="J651" i="3" s="1"/>
  <c r="H651" i="3"/>
  <c r="M651" i="3"/>
  <c r="N651" i="3" s="1"/>
  <c r="L651" i="3"/>
  <c r="Q651" i="3"/>
  <c r="R651" i="3" s="1"/>
  <c r="P651" i="3"/>
  <c r="U651" i="3"/>
  <c r="V651" i="3" s="1"/>
  <c r="T651" i="3"/>
  <c r="Y651" i="3"/>
  <c r="Z651" i="3" s="1"/>
  <c r="X651" i="3"/>
  <c r="AC651" i="3"/>
  <c r="AD651" i="3" s="1"/>
  <c r="AB651" i="3"/>
  <c r="AG651" i="3"/>
  <c r="AH651" i="3" s="1"/>
  <c r="AF651" i="3"/>
  <c r="B653" i="3"/>
  <c r="AE652" i="3"/>
  <c r="AA652" i="3"/>
  <c r="W652" i="3"/>
  <c r="S652" i="3"/>
  <c r="O652" i="3"/>
  <c r="K652" i="3"/>
  <c r="G652" i="3"/>
  <c r="C652" i="3"/>
  <c r="E652" i="3" l="1"/>
  <c r="F652" i="3" s="1"/>
  <c r="D652" i="3"/>
  <c r="I652" i="3"/>
  <c r="J652" i="3" s="1"/>
  <c r="H652" i="3"/>
  <c r="M652" i="3"/>
  <c r="N652" i="3" s="1"/>
  <c r="L652" i="3"/>
  <c r="Q652" i="3"/>
  <c r="R652" i="3" s="1"/>
  <c r="P652" i="3"/>
  <c r="U652" i="3"/>
  <c r="V652" i="3" s="1"/>
  <c r="T652" i="3"/>
  <c r="Y652" i="3"/>
  <c r="Z652" i="3" s="1"/>
  <c r="X652" i="3"/>
  <c r="AC652" i="3"/>
  <c r="AD652" i="3" s="1"/>
  <c r="AB652" i="3"/>
  <c r="AG652" i="3"/>
  <c r="AH652" i="3" s="1"/>
  <c r="AF652" i="3"/>
  <c r="B654" i="3"/>
  <c r="AE653" i="3"/>
  <c r="AA653" i="3"/>
  <c r="W653" i="3"/>
  <c r="S653" i="3"/>
  <c r="O653" i="3"/>
  <c r="K653" i="3"/>
  <c r="G653" i="3"/>
  <c r="C653" i="3"/>
  <c r="E653" i="3" l="1"/>
  <c r="F653" i="3" s="1"/>
  <c r="D653" i="3"/>
  <c r="I653" i="3"/>
  <c r="J653" i="3" s="1"/>
  <c r="H653" i="3"/>
  <c r="M653" i="3"/>
  <c r="N653" i="3" s="1"/>
  <c r="L653" i="3"/>
  <c r="Q653" i="3"/>
  <c r="R653" i="3" s="1"/>
  <c r="P653" i="3"/>
  <c r="U653" i="3"/>
  <c r="V653" i="3" s="1"/>
  <c r="T653" i="3"/>
  <c r="Y653" i="3"/>
  <c r="Z653" i="3" s="1"/>
  <c r="X653" i="3"/>
  <c r="AC653" i="3"/>
  <c r="AD653" i="3" s="1"/>
  <c r="AB653" i="3"/>
  <c r="AG653" i="3"/>
  <c r="AH653" i="3" s="1"/>
  <c r="AF653" i="3"/>
  <c r="AE654" i="3"/>
  <c r="AA654" i="3"/>
  <c r="W654" i="3"/>
  <c r="S654" i="3"/>
  <c r="O654" i="3"/>
  <c r="K654" i="3"/>
  <c r="G654" i="3"/>
  <c r="C654" i="3"/>
  <c r="E654" i="3" l="1"/>
  <c r="F654" i="3" s="1"/>
  <c r="D654" i="3"/>
  <c r="I654" i="3"/>
  <c r="J654" i="3" s="1"/>
  <c r="H654" i="3"/>
  <c r="M654" i="3"/>
  <c r="N654" i="3" s="1"/>
  <c r="L654" i="3"/>
  <c r="Q654" i="3"/>
  <c r="R654" i="3" s="1"/>
  <c r="P654" i="3"/>
  <c r="U654" i="3"/>
  <c r="V654" i="3" s="1"/>
  <c r="T654" i="3"/>
  <c r="Y654" i="3"/>
  <c r="Z654" i="3" s="1"/>
  <c r="X654" i="3"/>
  <c r="AC654" i="3"/>
  <c r="AD654" i="3" s="1"/>
  <c r="AB654" i="3"/>
  <c r="AG654" i="3"/>
  <c r="AH654" i="3" s="1"/>
  <c r="AF654" i="3"/>
</calcChain>
</file>

<file path=xl/sharedStrings.xml><?xml version="1.0" encoding="utf-8"?>
<sst xmlns="http://schemas.openxmlformats.org/spreadsheetml/2006/main" count="69" uniqueCount="34">
  <si>
    <t xml:space="preserve">THIS IS A VIEW-ONLY EXCEL SHEET. </t>
  </si>
  <si>
    <t>DOWNLOAD THIS SHEET (FILE -&gt; DOWNLOAD AS XLSX) AND THEN USE IT ON YOUR OWN</t>
  </si>
  <si>
    <t>This sheet has been prepared by Ankur Warikoo, who is NOT a financial advisor :)</t>
  </si>
  <si>
    <t>So use this sheet with your judgement and not like "this is my final decision"</t>
  </si>
  <si>
    <t xml:space="preserve">All cells in green are input cells, which means you have to put in the number </t>
  </si>
  <si>
    <t>All other cells - ideally you should not touch them. But I have kept them open, so that you can see the formula and how it works</t>
  </si>
  <si>
    <t>NOTE:</t>
  </si>
  <si>
    <t>Since I am not a financial advisor, there could be some errors in the sheet. If there are, send me an email and I will fix them. Simple :)</t>
  </si>
  <si>
    <t xml:space="preserve">Hope you find this useful. </t>
  </si>
  <si>
    <t>Current Age</t>
  </si>
  <si>
    <t>Retirement Age</t>
  </si>
  <si>
    <t>Monthly Contributions</t>
  </si>
  <si>
    <t>Yearly increase in contribution</t>
  </si>
  <si>
    <t>Inflation</t>
  </si>
  <si>
    <t>If you make this return</t>
  </si>
  <si>
    <t>Your bank will show this amount</t>
  </si>
  <si>
    <t>But, adjusted for inflation this amount will be equal to?</t>
  </si>
  <si>
    <t>In other words, at the end of your retirement age, you will have</t>
  </si>
  <si>
    <t>5% - FD returns</t>
  </si>
  <si>
    <t>Crores (in today's money) to spend</t>
  </si>
  <si>
    <t>10% - Gold returns</t>
  </si>
  <si>
    <t>15% - Equity returns</t>
  </si>
  <si>
    <t>20% - High risk equity returns</t>
  </si>
  <si>
    <t>25% - very hard to get</t>
  </si>
  <si>
    <t>30% - extremely risky</t>
  </si>
  <si>
    <t>35% - almost impossible</t>
  </si>
  <si>
    <t>40% - forget it :)</t>
  </si>
  <si>
    <t>Period</t>
  </si>
  <si>
    <t>Month</t>
  </si>
  <si>
    <t>Monthly</t>
  </si>
  <si>
    <t>FV</t>
  </si>
  <si>
    <t>Cum FV</t>
  </si>
  <si>
    <t>NPV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</si>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</sst>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0" fillId="4" borderId="1" xfId="0" applyFill="1" applyBorder="1"/>
    <xf numFmtId="0" fontId="0" fillId="4" borderId="2" xfId="0" applyFill="1" applyBorder="1"/>
    <xf numFmtId="0" fontId="0" fillId="5" borderId="3" xfId="0" applyFill="1" applyBorder="1"/>
    <xf numFmtId="0" fontId="0" fillId="4" borderId="4" xfId="0" applyFill="1" applyBorder="1"/>
    <xf numFmtId="164" fontId="0" fillId="5" borderId="3" xfId="0" applyNumberFormat="1" applyFill="1" applyBorder="1"/>
    <xf numFmtId="9" fontId="0" fillId="5" borderId="3" xfId="0" applyNumberFormat="1" applyFill="1" applyBorder="1"/>
    <xf numFmtId="0" fontId="3" fillId="4" borderId="2" xfId="0" applyFont="1" applyFill="1" applyBorder="1" applyAlignment="1">
      <alignment horizontal="right"/>
    </xf>
    <xf numFmtId="0" fontId="3" fillId="4" borderId="2" xfId="0" applyFont="1" applyFill="1" applyBorder="1"/>
    <xf numFmtId="0" fontId="3" fillId="4" borderId="3" xfId="0" applyFont="1" applyFill="1" applyBorder="1"/>
    <xf numFmtId="0" fontId="3" fillId="4" borderId="1" xfId="0" applyFont="1" applyFill="1" applyBorder="1"/>
    <xf numFmtId="9" fontId="0" fillId="4" borderId="2" xfId="0" applyNumberFormat="1" applyFill="1" applyBorder="1" applyAlignment="1">
      <alignment horizontal="right"/>
    </xf>
    <xf numFmtId="164" fontId="0" fillId="4" borderId="2" xfId="0" applyNumberFormat="1" applyFill="1" applyBorder="1"/>
    <xf numFmtId="164" fontId="0" fillId="4" borderId="3" xfId="0" applyNumberFormat="1" applyFill="1" applyBorder="1"/>
    <xf numFmtId="165" fontId="3" fillId="4" borderId="1" xfId="0" applyNumberFormat="1" applyFont="1" applyFill="1" applyBorder="1"/>
    <xf numFmtId="164" fontId="3" fillId="4" borderId="1" xfId="0" applyNumberFormat="1" applyFont="1" applyFill="1" applyBorder="1"/>
    <xf numFmtId="9" fontId="0" fillId="4" borderId="4" xfId="0" applyNumberFormat="1" applyFill="1" applyBorder="1"/>
    <xf numFmtId="43" fontId="0" fillId="4" borderId="4" xfId="0" applyNumberFormat="1" applyFill="1" applyBorder="1"/>
    <xf numFmtId="164" fontId="0" fillId="4" borderId="4" xfId="0" applyNumberFormat="1" applyFill="1" applyBorder="1"/>
    <xf numFmtId="0" fontId="4" fillId="0" borderId="0" xfId="0" applyFont="1"/>
    <xf numFmtId="9" fontId="0" fillId="0" borderId="0" xfId="0" applyNumberFormat="1"/>
    <xf numFmtId="164" fontId="4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3"/>
  <sheetViews>
    <sheetView tabSelected="1" workbookViewId="0"/>
  </sheetViews>
  <sheetFormatPr defaultColWidth="14.42578125" defaultRowHeight="15" customHeight="1"/>
  <sheetData>
    <row r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 t="s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13.42578125" customWidth="1"/>
    <col min="2" max="2" width="14.5703125" customWidth="1"/>
    <col min="3" max="3" width="30.42578125" customWidth="1"/>
    <col min="4" max="4" width="51.28515625" customWidth="1"/>
    <col min="5" max="5" width="17" customWidth="1"/>
    <col min="6" max="6" width="41.140625" customWidth="1"/>
    <col min="7" max="26" width="8.7109375" customWidth="1"/>
  </cols>
  <sheetData>
    <row r="1" spans="1:26">
      <c r="A1" s="4" t="s">
        <v>9</v>
      </c>
      <c r="B1" s="5"/>
      <c r="C1" s="6">
        <v>20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4" t="s">
        <v>10</v>
      </c>
      <c r="B2" s="5"/>
      <c r="C2" s="6">
        <v>60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4" t="s">
        <v>11</v>
      </c>
      <c r="B3" s="5"/>
      <c r="C3" s="8">
        <v>500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4" t="s">
        <v>12</v>
      </c>
      <c r="B4" s="5"/>
      <c r="C4" s="9">
        <v>0.05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4" t="s">
        <v>13</v>
      </c>
      <c r="B5" s="5"/>
      <c r="C5" s="9">
        <v>0.05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4"/>
      <c r="B7" s="10" t="s">
        <v>14</v>
      </c>
      <c r="C7" s="11" t="s">
        <v>15</v>
      </c>
      <c r="D7" s="12" t="s">
        <v>16</v>
      </c>
      <c r="E7" s="13" t="s">
        <v>17</v>
      </c>
      <c r="F7" s="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4"/>
      <c r="B8" s="14" t="s">
        <v>18</v>
      </c>
      <c r="C8" s="15">
        <f>VLOOKUP(Calculations!$B$1*12,Calculations!A4:AH654,4,0)</f>
        <v>1682565.6120756445</v>
      </c>
      <c r="D8" s="16">
        <f>VLOOKUP(Calculations!$B$1*12,Calculations!A4:AH654,6,0)</f>
        <v>724798.64545495738</v>
      </c>
      <c r="E8" s="17">
        <f t="shared" ref="E8:E15" si="0">D8/10000000</f>
        <v>7.2479864545495737E-2</v>
      </c>
      <c r="F8" s="5" t="s">
        <v>19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4"/>
      <c r="B9" s="14" t="s">
        <v>20</v>
      </c>
      <c r="C9" s="15">
        <f>VLOOKUP(Calculations!$B$1*12,Calculations!A5:AH655,8,0)</f>
        <v>5358115.6169606354</v>
      </c>
      <c r="D9" s="16">
        <f>VLOOKUP(Calculations!$B$1*12,Calculations!A5:AH655,10,0)</f>
        <v>1675594.0131177369</v>
      </c>
      <c r="E9" s="17">
        <f t="shared" si="0"/>
        <v>0.16755940131177369</v>
      </c>
      <c r="F9" s="5" t="s">
        <v>19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4"/>
      <c r="B10" s="14" t="s">
        <v>21</v>
      </c>
      <c r="C10" s="15">
        <f>VLOOKUP(Calculations!$B$1*12,Calculations!A6:AH656,12,0)</f>
        <v>22158439.176967219</v>
      </c>
      <c r="D10" s="16">
        <f>VLOOKUP(Calculations!$B$1*12,Calculations!A6:AH656,14,0)</f>
        <v>5300464.3539963076</v>
      </c>
      <c r="E10" s="17">
        <f t="shared" si="0"/>
        <v>0.53004643539963081</v>
      </c>
      <c r="F10" s="5" t="s">
        <v>19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4"/>
      <c r="B11" s="14" t="s">
        <v>22</v>
      </c>
      <c r="C11" s="15">
        <f>VLOOKUP(Calculations!$B$1*12,Calculations!A7:AH657,16,0)</f>
        <v>108161663.76796576</v>
      </c>
      <c r="D11" s="16">
        <f>VLOOKUP(Calculations!$B$1*12,Calculations!A7:AH657,18,0)</f>
        <v>21744086.668671779</v>
      </c>
      <c r="E11" s="17">
        <f t="shared" si="0"/>
        <v>2.174408666867178</v>
      </c>
      <c r="F11" s="5" t="s">
        <v>19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4"/>
      <c r="B12" s="14" t="s">
        <v>23</v>
      </c>
      <c r="C12" s="15">
        <f>VLOOKUP(Calculations!$B$1*12,Calculations!A8:AH658,20,0)</f>
        <v>580184467.0925951</v>
      </c>
      <c r="D12" s="16">
        <f>VLOOKUP(Calculations!$B$1*12,Calculations!A8:AH658,22,0)</f>
        <v>105255927.63942815</v>
      </c>
      <c r="E12" s="18">
        <f t="shared" si="0"/>
        <v>10.525592763942816</v>
      </c>
      <c r="F12" s="5" t="s">
        <v>19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4"/>
      <c r="B13" s="14" t="s">
        <v>24</v>
      </c>
      <c r="C13" s="15">
        <f>VLOOKUP(Calculations!$B$1*12,Calculations!A9:AH659,24,0)</f>
        <v>3284614599.4310513</v>
      </c>
      <c r="D13" s="16">
        <f>VLOOKUP(Calculations!$B$1*12,Calculations!A9:AH659,26,0)</f>
        <v>559951432.37775207</v>
      </c>
      <c r="E13" s="18">
        <f t="shared" si="0"/>
        <v>55.99514323777521</v>
      </c>
      <c r="F13" s="5" t="s">
        <v>19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4"/>
      <c r="B14" s="14" t="s">
        <v>25</v>
      </c>
      <c r="C14" s="15">
        <f>VLOOKUP(Calculations!$B$1*12,Calculations!A10:AH660,28,0)</f>
        <v>19204951011.503723</v>
      </c>
      <c r="D14" s="16">
        <f>VLOOKUP(Calculations!$B$1*12,Calculations!A10:AH660,30,0)</f>
        <v>3144424754.9667482</v>
      </c>
      <c r="E14" s="18">
        <f t="shared" si="0"/>
        <v>314.44247549667483</v>
      </c>
      <c r="F14" s="5" t="s">
        <v>19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4"/>
      <c r="B15" s="14" t="s">
        <v>26</v>
      </c>
      <c r="C15" s="15">
        <f>VLOOKUP(Calculations!$B$1*12,Calculations!A11:AH661,32,0)</f>
        <v>114564929318.33974</v>
      </c>
      <c r="D15" s="16">
        <f>VLOOKUP(Calculations!$B$1*12,Calculations!A11:AH661,34,0)</f>
        <v>18238750679.948349</v>
      </c>
      <c r="E15" s="18">
        <f t="shared" si="0"/>
        <v>1823.8750679948348</v>
      </c>
      <c r="F15" s="5" t="s">
        <v>19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/>
      <c r="B16" s="19"/>
      <c r="C16" s="20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1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19"/>
      <c r="C20" s="7"/>
      <c r="D20" s="7"/>
      <c r="E20" s="7"/>
      <c r="F20" s="21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19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19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19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19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19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19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0"/>
  <sheetViews>
    <sheetView workbookViewId="0"/>
  </sheetViews>
  <sheetFormatPr defaultColWidth="14.42578125" defaultRowHeight="15" customHeight="1"/>
  <cols>
    <col min="1" max="1" width="6.85546875" customWidth="1"/>
    <col min="2" max="2" width="8.42578125" customWidth="1"/>
    <col min="3" max="3" width="8" customWidth="1"/>
    <col min="4" max="4" width="10.5703125" customWidth="1"/>
    <col min="5" max="5" width="7" customWidth="1"/>
    <col min="6" max="6" width="10.5703125" customWidth="1"/>
    <col min="7" max="7" width="9" customWidth="1"/>
    <col min="8" max="8" width="11.5703125" customWidth="1"/>
    <col min="9" max="9" width="9" customWidth="1"/>
    <col min="10" max="10" width="11.5703125" customWidth="1"/>
    <col min="11" max="11" width="9" customWidth="1"/>
    <col min="12" max="12" width="8" customWidth="1"/>
    <col min="13" max="13" width="10.5703125" customWidth="1"/>
    <col min="14" max="14" width="12.5703125" customWidth="1"/>
    <col min="15" max="15" width="10.5703125" customWidth="1"/>
    <col min="16" max="16" width="8" customWidth="1"/>
    <col min="17" max="17" width="11.5703125" customWidth="1"/>
    <col min="18" max="18" width="14.28515625" customWidth="1"/>
    <col min="19" max="19" width="11.5703125" customWidth="1"/>
    <col min="20" max="20" width="8" customWidth="1"/>
    <col min="21" max="21" width="11.5703125" customWidth="1"/>
    <col min="22" max="22" width="15.28515625" customWidth="1"/>
    <col min="23" max="23" width="12.5703125" customWidth="1"/>
    <col min="24" max="24" width="8" customWidth="1"/>
    <col min="25" max="25" width="12.5703125" customWidth="1"/>
    <col min="26" max="26" width="16.28515625" customWidth="1"/>
    <col min="27" max="27" width="14.28515625" customWidth="1"/>
    <col min="28" max="28" width="8" customWidth="1"/>
    <col min="29" max="29" width="14.28515625" customWidth="1"/>
    <col min="30" max="30" width="16.28515625" customWidth="1"/>
    <col min="31" max="31" width="15.28515625" customWidth="1"/>
    <col min="32" max="32" width="16.28515625" customWidth="1"/>
    <col min="33" max="33" width="15.28515625" customWidth="1"/>
    <col min="34" max="34" width="18" customWidth="1"/>
  </cols>
  <sheetData>
    <row r="1" spans="1:34">
      <c r="A1" s="22" t="s">
        <v>27</v>
      </c>
      <c r="B1" s="22">
        <f>'How much will I make'!C2-'How much will I make'!C1</f>
        <v>40</v>
      </c>
    </row>
    <row r="3" spans="1:34">
      <c r="C3" s="23">
        <v>0.05</v>
      </c>
      <c r="D3" s="23"/>
      <c r="E3" s="23"/>
      <c r="F3" s="23"/>
      <c r="G3" s="23">
        <v>0.1</v>
      </c>
      <c r="H3" s="23"/>
      <c r="I3" s="23"/>
      <c r="J3" s="23"/>
      <c r="K3" s="23">
        <v>0.15</v>
      </c>
      <c r="L3" s="23"/>
      <c r="M3" s="23"/>
      <c r="N3" s="23"/>
      <c r="O3" s="23">
        <v>0.2</v>
      </c>
      <c r="P3" s="23"/>
      <c r="Q3" s="23"/>
      <c r="R3" s="23"/>
      <c r="S3" s="23">
        <v>0.25</v>
      </c>
      <c r="T3" s="23"/>
      <c r="U3" s="23"/>
      <c r="V3" s="23"/>
      <c r="W3" s="23">
        <v>0.3</v>
      </c>
      <c r="X3" s="23"/>
      <c r="Y3" s="23"/>
      <c r="Z3" s="23"/>
      <c r="AA3" s="23">
        <v>0.35</v>
      </c>
      <c r="AB3" s="23"/>
      <c r="AC3" s="23"/>
      <c r="AD3" s="23"/>
      <c r="AE3" s="23">
        <v>0.4</v>
      </c>
      <c r="AF3" s="23"/>
      <c r="AG3" s="23"/>
      <c r="AH3" s="23"/>
    </row>
    <row r="4" spans="1:34">
      <c r="A4" s="22" t="s">
        <v>28</v>
      </c>
      <c r="B4" s="22" t="s">
        <v>29</v>
      </c>
      <c r="C4" s="22" t="s">
        <v>30</v>
      </c>
      <c r="D4" s="22" t="s">
        <v>31</v>
      </c>
      <c r="E4" s="22" t="s">
        <v>32</v>
      </c>
      <c r="F4" s="22" t="s">
        <v>33</v>
      </c>
      <c r="G4" s="22" t="s">
        <v>30</v>
      </c>
      <c r="H4" s="22" t="s">
        <v>31</v>
      </c>
      <c r="I4" s="22" t="s">
        <v>32</v>
      </c>
      <c r="J4" s="22" t="s">
        <v>33</v>
      </c>
      <c r="K4" s="22" t="s">
        <v>30</v>
      </c>
      <c r="L4" s="22" t="s">
        <v>31</v>
      </c>
      <c r="M4" s="22" t="s">
        <v>32</v>
      </c>
      <c r="N4" s="22" t="s">
        <v>33</v>
      </c>
      <c r="O4" s="22" t="s">
        <v>30</v>
      </c>
      <c r="P4" s="22" t="s">
        <v>31</v>
      </c>
      <c r="Q4" s="22" t="s">
        <v>32</v>
      </c>
      <c r="R4" s="22" t="s">
        <v>33</v>
      </c>
      <c r="S4" s="22" t="s">
        <v>30</v>
      </c>
      <c r="T4" s="22" t="s">
        <v>31</v>
      </c>
      <c r="U4" s="22" t="s">
        <v>32</v>
      </c>
      <c r="V4" s="22" t="s">
        <v>33</v>
      </c>
      <c r="W4" s="22" t="s">
        <v>30</v>
      </c>
      <c r="X4" s="22" t="s">
        <v>31</v>
      </c>
      <c r="Y4" s="22" t="s">
        <v>32</v>
      </c>
      <c r="Z4" s="22" t="s">
        <v>33</v>
      </c>
      <c r="AA4" s="22" t="s">
        <v>30</v>
      </c>
      <c r="AB4" s="22" t="s">
        <v>31</v>
      </c>
      <c r="AC4" s="22" t="s">
        <v>32</v>
      </c>
      <c r="AD4" s="22" t="s">
        <v>33</v>
      </c>
      <c r="AE4" s="22" t="s">
        <v>30</v>
      </c>
      <c r="AF4" s="22" t="s">
        <v>31</v>
      </c>
      <c r="AG4" s="22" t="s">
        <v>32</v>
      </c>
      <c r="AH4" s="22" t="s">
        <v>33</v>
      </c>
    </row>
    <row r="5" spans="1:34">
      <c r="A5" s="22">
        <v>1</v>
      </c>
      <c r="B5" s="24">
        <f>'How much will I make'!C3</f>
        <v>500</v>
      </c>
      <c r="C5" s="25">
        <f t="shared" ref="C5:C654" si="0">$B5*(1+$C$3/12)^($B$1*12-$A5)</f>
        <v>3663.9422332381309</v>
      </c>
      <c r="D5" s="25">
        <f>C5</f>
        <v>3663.9422332381309</v>
      </c>
      <c r="E5" s="25">
        <f>C$5/((1+'How much will I make'!$C$5/12)^(Calculations!$B$1*12-Calculations!$A5))</f>
        <v>500</v>
      </c>
      <c r="F5" s="25">
        <f>E5</f>
        <v>500</v>
      </c>
      <c r="G5" s="25">
        <f t="shared" ref="G5:G654" si="1">$B5*(1+G$3/12)^($B$1*12-$A5)</f>
        <v>26628.428020328382</v>
      </c>
      <c r="H5" s="25">
        <f>G5</f>
        <v>26628.428020328382</v>
      </c>
      <c r="I5" s="25">
        <f>G5/((1+'How much will I make'!$C$5/12)^(Calculations!$B$1*12-Calculations!$A5))</f>
        <v>3633.8493247469437</v>
      </c>
      <c r="J5" s="25">
        <f>I5</f>
        <v>3633.8493247469437</v>
      </c>
      <c r="K5" s="25">
        <f t="shared" ref="K5:K654" si="2">$B5*(1+K$3/12)^($B$1*12-$A5)</f>
        <v>191950.95539551924</v>
      </c>
      <c r="L5" s="25">
        <f>K5</f>
        <v>191950.95539551924</v>
      </c>
      <c r="M5" s="25">
        <f>K5/((1+'How much will I make'!$C$5/12)^(Calculations!$B$1*12-Calculations!$A5))</f>
        <v>26194.593579314729</v>
      </c>
      <c r="N5" s="25">
        <f>M5</f>
        <v>26194.593579314729</v>
      </c>
      <c r="O5" s="25">
        <f t="shared" ref="O5:O654" si="3">$B5*(1+O$3/12)^($B$1*12-$A5)</f>
        <v>1372499.0127421762</v>
      </c>
      <c r="P5" s="25">
        <f>O5</f>
        <v>1372499.0127421762</v>
      </c>
      <c r="Q5" s="25">
        <f>O5/((1+'How much will I make'!$C$5/12)^(Calculations!$B$1*12-Calculations!$A5))</f>
        <v>187298.12390207697</v>
      </c>
      <c r="R5" s="25">
        <f>Q5</f>
        <v>187298.12390207697</v>
      </c>
      <c r="S5" s="25">
        <f t="shared" ref="S5:S654" si="4">$B5*(1+S$3/12)^($B$1*12-$A5)</f>
        <v>9735082.4727780912</v>
      </c>
      <c r="T5" s="25">
        <f>S5</f>
        <v>9735082.4727780912</v>
      </c>
      <c r="U5" s="25">
        <f>S5/((1+'How much will I make'!$C$5/12)^(Calculations!$B$1*12-Calculations!$A5))</f>
        <v>1328498.3568333155</v>
      </c>
      <c r="V5" s="25">
        <f>U5</f>
        <v>1328498.3568333155</v>
      </c>
      <c r="W5" s="25">
        <f t="shared" ref="W5:W654" si="5">$B5*(1+W$3/12)^($B$1*12-$A5)</f>
        <v>68501728.001265138</v>
      </c>
      <c r="X5" s="25">
        <f>W5</f>
        <v>68501728.001265138</v>
      </c>
      <c r="Y5" s="25">
        <f>W5/((1+'How much will I make'!$C$5/12)^(Calculations!$B$1*12-Calculations!$A5))</f>
        <v>9348090.6139620617</v>
      </c>
      <c r="Z5" s="25">
        <f>Y5</f>
        <v>9348090.6139620617</v>
      </c>
      <c r="AA5" s="25">
        <f t="shared" ref="AA5:AA654" si="6">$B5*(1+AA$3/12)^($B$1*12-$A5)</f>
        <v>478217908.64839655</v>
      </c>
      <c r="AB5" s="25">
        <f>AA5</f>
        <v>478217908.64839655</v>
      </c>
      <c r="AC5" s="25">
        <f>AA5/((1+'How much will I make'!$C$5/12)^(Calculations!$B$1*12-Calculations!$A5))</f>
        <v>65260022.976093091</v>
      </c>
      <c r="AD5" s="25">
        <f>AC5</f>
        <v>65260022.976093091</v>
      </c>
      <c r="AE5" s="25">
        <f t="shared" ref="AE5:AE654" si="7">$B5*(1+AE$3/12)^($B$1*12-$A5)</f>
        <v>3312381422.4932852</v>
      </c>
      <c r="AF5" s="25">
        <f>AE5</f>
        <v>3312381422.4932852</v>
      </c>
      <c r="AG5" s="25">
        <f>AE5/((1+'How much will I make'!$C$5/12)^(Calculations!$B$1*12-Calculations!$A5))</f>
        <v>452024242.14612383</v>
      </c>
      <c r="AH5" s="25">
        <f>AG5</f>
        <v>452024242.14612383</v>
      </c>
    </row>
    <row r="6" spans="1:34">
      <c r="A6" s="22">
        <f t="shared" ref="A6:A654" si="8">A5+1</f>
        <v>2</v>
      </c>
      <c r="B6" s="24">
        <f t="shared" ref="B6:B16" si="9">B5</f>
        <v>500</v>
      </c>
      <c r="C6" s="25">
        <f t="shared" si="0"/>
        <v>3648.7391534321609</v>
      </c>
      <c r="D6" s="25">
        <f t="shared" ref="D6:D654" si="10">C6+D5</f>
        <v>7312.6813866702923</v>
      </c>
      <c r="E6" s="25">
        <f>$C6/((1+'How much will I make'!$C$5/12)^(Calculations!$B$1*12-Calculations!$A6))</f>
        <v>500</v>
      </c>
      <c r="F6" s="25">
        <f t="shared" ref="F6:F654" si="11">E6+F5</f>
        <v>1000</v>
      </c>
      <c r="G6" s="25">
        <f t="shared" si="1"/>
        <v>26408.358367267818</v>
      </c>
      <c r="H6" s="25">
        <f t="shared" ref="H6:H654" si="12">G6+H5</f>
        <v>53036.786387596199</v>
      </c>
      <c r="I6" s="25">
        <f>G6/((1+'How much will I make'!$C$5/12)^(Calculations!$B$1*12-Calculations!$A6))</f>
        <v>3618.8334184463392</v>
      </c>
      <c r="J6" s="25">
        <f t="shared" ref="J6:J654" si="13">I6+J5</f>
        <v>7252.6827431932834</v>
      </c>
      <c r="K6" s="25">
        <f t="shared" si="2"/>
        <v>189581.19051409309</v>
      </c>
      <c r="L6" s="25">
        <f t="shared" ref="L6:L654" si="14">K6+L5</f>
        <v>381532.1459096123</v>
      </c>
      <c r="M6" s="25">
        <f>K6/((1+'How much will I make'!$C$5/12)^(Calculations!$B$1*12-Calculations!$A6))</f>
        <v>25979.000216522036</v>
      </c>
      <c r="N6" s="25">
        <f t="shared" ref="N6:N654" si="15">M6+N5</f>
        <v>52173.593795836765</v>
      </c>
      <c r="O6" s="25">
        <f t="shared" si="3"/>
        <v>1349999.0289267311</v>
      </c>
      <c r="P6" s="25">
        <f t="shared" ref="P6:P654" si="16">O6+P5</f>
        <v>2722498.0416689073</v>
      </c>
      <c r="Q6" s="25">
        <f>O6/((1+'How much will I make'!$C$5/12)^(Calculations!$B$1*12-Calculations!$A6))</f>
        <v>184995.2781163959</v>
      </c>
      <c r="R6" s="25">
        <f t="shared" ref="R6:R654" si="17">Q6+R5</f>
        <v>372293.4020184729</v>
      </c>
      <c r="S6" s="25">
        <f t="shared" si="4"/>
        <v>9536407.3202724159</v>
      </c>
      <c r="T6" s="25">
        <f t="shared" ref="T6:T654" si="18">S6+T5</f>
        <v>19271489.793050505</v>
      </c>
      <c r="U6" s="25">
        <f>S6/((1+'How much will I make'!$C$5/12)^(Calculations!$B$1*12-Calculations!$A6))</f>
        <v>1306808.5877421603</v>
      </c>
      <c r="V6" s="25">
        <f t="shared" ref="V6:V654" si="19">U6+V5</f>
        <v>2635306.9445754755</v>
      </c>
      <c r="W6" s="25">
        <f t="shared" si="5"/>
        <v>66830954.147575729</v>
      </c>
      <c r="X6" s="25">
        <f t="shared" ref="X6:X654" si="20">W6+X5</f>
        <v>135332682.14884087</v>
      </c>
      <c r="Y6" s="25">
        <f>W6/((1+'How much will I make'!$C$5/12)^(Calculations!$B$1*12-Calculations!$A6))</f>
        <v>9158088.772214869</v>
      </c>
      <c r="Z6" s="25">
        <f t="shared" ref="Z6:Z654" si="21">Y6+Z5</f>
        <v>18506179.386176929</v>
      </c>
      <c r="AA6" s="25">
        <f t="shared" si="6"/>
        <v>464665174.39520329</v>
      </c>
      <c r="AB6" s="25">
        <f t="shared" ref="AB6:AB654" si="22">AA6+AB5</f>
        <v>942883083.04359984</v>
      </c>
      <c r="AC6" s="25">
        <f>AA6/((1+'How much will I make'!$C$5/12)^(Calculations!$B$1*12-Calculations!$A6))</f>
        <v>63674759.260074705</v>
      </c>
      <c r="AD6" s="25">
        <f t="shared" ref="AD6:AD654" si="23">AC6+AD5</f>
        <v>128934782.23616779</v>
      </c>
      <c r="AE6" s="25">
        <f t="shared" si="7"/>
        <v>3205530408.8644686</v>
      </c>
      <c r="AF6" s="25">
        <f t="shared" ref="AF6:AF654" si="24">AE6+AF5</f>
        <v>6517911831.3577538</v>
      </c>
      <c r="AG6" s="25">
        <f>AE6/((1+'How much will I make'!$C$5/12)^(Calculations!$B$1*12-Calculations!$A6))</f>
        <v>439265493.37587047</v>
      </c>
      <c r="AH6" s="25">
        <f t="shared" ref="AH6:AH654" si="25">AG6+AH5</f>
        <v>891289735.52199435</v>
      </c>
    </row>
    <row r="7" spans="1:34">
      <c r="A7" s="22">
        <f t="shared" si="8"/>
        <v>3</v>
      </c>
      <c r="B7" s="24">
        <f t="shared" si="9"/>
        <v>500</v>
      </c>
      <c r="C7" s="25">
        <f t="shared" si="0"/>
        <v>3633.5991569448911</v>
      </c>
      <c r="D7" s="25">
        <f t="shared" si="10"/>
        <v>10946.280543615183</v>
      </c>
      <c r="E7" s="25">
        <f>$C7/((1+'How much will I make'!$C$5/12)^(Calculations!$B$1*12-Calculations!$A7))</f>
        <v>500</v>
      </c>
      <c r="F7" s="25">
        <f t="shared" si="11"/>
        <v>1500</v>
      </c>
      <c r="G7" s="25">
        <f t="shared" si="1"/>
        <v>26190.107471670566</v>
      </c>
      <c r="H7" s="25">
        <f t="shared" si="12"/>
        <v>79226.893859266769</v>
      </c>
      <c r="I7" s="25">
        <f>G7/((1+'How much will I make'!$C$5/12)^(Calculations!$B$1*12-Calculations!$A7))</f>
        <v>3603.8795613453212</v>
      </c>
      <c r="J7" s="25">
        <f t="shared" si="13"/>
        <v>10856.562304538606</v>
      </c>
      <c r="K7" s="25">
        <f t="shared" si="2"/>
        <v>187240.68198922771</v>
      </c>
      <c r="L7" s="25">
        <f t="shared" si="14"/>
        <v>568772.82789883995</v>
      </c>
      <c r="M7" s="25">
        <f>K7/((1+'How much will I make'!$C$5/12)^(Calculations!$B$1*12-Calculations!$A7))</f>
        <v>25765.181284698803</v>
      </c>
      <c r="N7" s="25">
        <f t="shared" si="15"/>
        <v>77938.775080535561</v>
      </c>
      <c r="O7" s="25">
        <f t="shared" si="3"/>
        <v>1327867.8973049817</v>
      </c>
      <c r="P7" s="25">
        <f t="shared" si="16"/>
        <v>4050365.9389738888</v>
      </c>
      <c r="Q7" s="25">
        <f>O7/((1+'How much will I make'!$C$5/12)^(Calculations!$B$1*12-Calculations!$A7))</f>
        <v>182720.74600840744</v>
      </c>
      <c r="R7" s="25">
        <f t="shared" si="17"/>
        <v>555014.14802688034</v>
      </c>
      <c r="S7" s="25">
        <f t="shared" si="4"/>
        <v>9341786.762715837</v>
      </c>
      <c r="T7" s="25">
        <f t="shared" si="18"/>
        <v>28613276.555766344</v>
      </c>
      <c r="U7" s="25">
        <f>S7/((1+'How much will I make'!$C$5/12)^(Calculations!$B$1*12-Calculations!$A7))</f>
        <v>1285472.9373300434</v>
      </c>
      <c r="V7" s="25">
        <f t="shared" si="19"/>
        <v>3920779.8819055189</v>
      </c>
      <c r="W7" s="25">
        <f t="shared" si="5"/>
        <v>65200930.875683658</v>
      </c>
      <c r="X7" s="25">
        <f t="shared" si="20"/>
        <v>200533613.02452454</v>
      </c>
      <c r="Y7" s="25">
        <f>W7/((1+'How much will I make'!$C$5/12)^(Calculations!$B$1*12-Calculations!$A7))</f>
        <v>8971948.756519448</v>
      </c>
      <c r="Z7" s="25">
        <f t="shared" si="21"/>
        <v>27478128.142696377</v>
      </c>
      <c r="AA7" s="25">
        <f t="shared" si="6"/>
        <v>451496525.72813272</v>
      </c>
      <c r="AB7" s="25">
        <f t="shared" si="22"/>
        <v>1394379608.7717326</v>
      </c>
      <c r="AC7" s="25">
        <f>AA7/((1+'How much will I make'!$C$5/12)^(Calculations!$B$1*12-Calculations!$A7))</f>
        <v>62128003.974404864</v>
      </c>
      <c r="AD7" s="25">
        <f t="shared" si="23"/>
        <v>191062786.21057266</v>
      </c>
      <c r="AE7" s="25">
        <f t="shared" si="7"/>
        <v>3102126202.1269059</v>
      </c>
      <c r="AF7" s="25">
        <f t="shared" si="24"/>
        <v>9620038033.4846592</v>
      </c>
      <c r="AG7" s="25">
        <f>AE7/((1+'How much will I make'!$C$5/12)^(Calculations!$B$1*12-Calculations!$A7))</f>
        <v>426866870.57897097</v>
      </c>
      <c r="AH7" s="25">
        <f t="shared" si="25"/>
        <v>1318156606.1009653</v>
      </c>
    </row>
    <row r="8" spans="1:34">
      <c r="A8" s="22">
        <f t="shared" si="8"/>
        <v>4</v>
      </c>
      <c r="B8" s="24">
        <f t="shared" si="9"/>
        <v>500</v>
      </c>
      <c r="C8" s="25">
        <f t="shared" si="0"/>
        <v>3618.521982019809</v>
      </c>
      <c r="D8" s="25">
        <f t="shared" si="10"/>
        <v>14564.802525634992</v>
      </c>
      <c r="E8" s="25">
        <f>$C8/((1+'How much will I make'!$C$5/12)^(Calculations!$B$1*12-Calculations!$A8))</f>
        <v>500</v>
      </c>
      <c r="F8" s="25">
        <f t="shared" si="11"/>
        <v>2000</v>
      </c>
      <c r="G8" s="25">
        <f t="shared" si="1"/>
        <v>25973.660302483211</v>
      </c>
      <c r="H8" s="25">
        <f t="shared" si="12"/>
        <v>105200.55416174998</v>
      </c>
      <c r="I8" s="25">
        <f>G8/((1+'How much will I make'!$C$5/12)^(Calculations!$B$1*12-Calculations!$A8))</f>
        <v>3588.9874970422416</v>
      </c>
      <c r="J8" s="25">
        <f t="shared" si="13"/>
        <v>14445.549801580848</v>
      </c>
      <c r="K8" s="25">
        <f t="shared" si="2"/>
        <v>184929.06863133603</v>
      </c>
      <c r="L8" s="25">
        <f t="shared" si="14"/>
        <v>753701.89653017605</v>
      </c>
      <c r="M8" s="25">
        <f>K8/((1+'How much will I make'!$C$5/12)^(Calculations!$B$1*12-Calculations!$A8))</f>
        <v>25553.122179474944</v>
      </c>
      <c r="N8" s="25">
        <f t="shared" si="15"/>
        <v>103491.8972600105</v>
      </c>
      <c r="O8" s="25">
        <f t="shared" si="3"/>
        <v>1306099.5711196538</v>
      </c>
      <c r="P8" s="25">
        <f t="shared" si="16"/>
        <v>5356465.5100935427</v>
      </c>
      <c r="Q8" s="25">
        <f>O8/((1+'How much will I make'!$C$5/12)^(Calculations!$B$1*12-Calculations!$A8))</f>
        <v>180474.17945912367</v>
      </c>
      <c r="R8" s="25">
        <f t="shared" si="17"/>
        <v>735488.32748600398</v>
      </c>
      <c r="S8" s="25">
        <f t="shared" si="4"/>
        <v>9151138.0532726571</v>
      </c>
      <c r="T8" s="25">
        <f t="shared" si="18"/>
        <v>37764414.609039001</v>
      </c>
      <c r="U8" s="25">
        <f>S8/((1+'How much will I make'!$C$5/12)^(Calculations!$B$1*12-Calculations!$A8))</f>
        <v>1264485.6240675121</v>
      </c>
      <c r="V8" s="25">
        <f t="shared" si="19"/>
        <v>5185265.5059730308</v>
      </c>
      <c r="W8" s="25">
        <f t="shared" si="5"/>
        <v>63610664.268959649</v>
      </c>
      <c r="X8" s="25">
        <f t="shared" si="20"/>
        <v>264144277.29348418</v>
      </c>
      <c r="Y8" s="25">
        <f>W8/((1+'How much will I make'!$C$5/12)^(Calculations!$B$1*12-Calculations!$A8))</f>
        <v>8789592.0744763669</v>
      </c>
      <c r="Z8" s="25">
        <f t="shared" si="21"/>
        <v>36267720.217172742</v>
      </c>
      <c r="AA8" s="25">
        <f t="shared" si="6"/>
        <v>438701077.63057435</v>
      </c>
      <c r="AB8" s="25">
        <f t="shared" si="22"/>
        <v>1833080686.402307</v>
      </c>
      <c r="AC8" s="25">
        <f>AA8/((1+'How much will I make'!$C$5/12)^(Calculations!$B$1*12-Calculations!$A8))</f>
        <v>60618821.691625796</v>
      </c>
      <c r="AD8" s="25">
        <f t="shared" si="23"/>
        <v>251681607.90219846</v>
      </c>
      <c r="AE8" s="25">
        <f t="shared" si="7"/>
        <v>3002057614.9615211</v>
      </c>
      <c r="AF8" s="25">
        <f t="shared" si="24"/>
        <v>12622095648.44618</v>
      </c>
      <c r="AG8" s="25">
        <f>AE8/((1+'How much will I make'!$C$5/12)^(Calculations!$B$1*12-Calculations!$A8))</f>
        <v>414818208.90940315</v>
      </c>
      <c r="AH8" s="25">
        <f t="shared" si="25"/>
        <v>1732974815.0103683</v>
      </c>
    </row>
    <row r="9" spans="1:34">
      <c r="A9" s="22">
        <f t="shared" si="8"/>
        <v>5</v>
      </c>
      <c r="B9" s="24">
        <f t="shared" si="9"/>
        <v>500</v>
      </c>
      <c r="C9" s="25">
        <f t="shared" si="0"/>
        <v>3603.5073679865318</v>
      </c>
      <c r="D9" s="25">
        <f t="shared" si="10"/>
        <v>18168.309893621525</v>
      </c>
      <c r="E9" s="25">
        <f>$C9/((1+'How much will I make'!$C$5/12)^(Calculations!$B$1*12-Calculations!$A9))</f>
        <v>500</v>
      </c>
      <c r="F9" s="25">
        <f t="shared" si="11"/>
        <v>2500</v>
      </c>
      <c r="G9" s="25">
        <f t="shared" si="1"/>
        <v>25759.001952875908</v>
      </c>
      <c r="H9" s="25">
        <f t="shared" si="12"/>
        <v>130959.55611462588</v>
      </c>
      <c r="I9" s="25">
        <f>G9/((1+'How much will I make'!$C$5/12)^(Calculations!$B$1*12-Calculations!$A9))</f>
        <v>3574.1569701949588</v>
      </c>
      <c r="J9" s="25">
        <f t="shared" si="13"/>
        <v>18019.706771775807</v>
      </c>
      <c r="K9" s="25">
        <f t="shared" si="2"/>
        <v>182645.99370996148</v>
      </c>
      <c r="L9" s="25">
        <f t="shared" si="14"/>
        <v>936347.89024013747</v>
      </c>
      <c r="M9" s="25">
        <f>K9/((1+'How much will I make'!$C$5/12)^(Calculations!$B$1*12-Calculations!$A9))</f>
        <v>25342.808416680906</v>
      </c>
      <c r="N9" s="25">
        <f t="shared" si="15"/>
        <v>128834.7056766914</v>
      </c>
      <c r="O9" s="25">
        <f t="shared" si="3"/>
        <v>1284688.1027406431</v>
      </c>
      <c r="P9" s="25">
        <f t="shared" si="16"/>
        <v>6641153.6128341854</v>
      </c>
      <c r="Q9" s="25">
        <f>O9/((1+'How much will I make'!$C$5/12)^(Calculations!$B$1*12-Calculations!$A9))</f>
        <v>178255.23462970823</v>
      </c>
      <c r="R9" s="25">
        <f t="shared" si="17"/>
        <v>913743.56211571221</v>
      </c>
      <c r="S9" s="25">
        <f t="shared" si="4"/>
        <v>8964380.1338181142</v>
      </c>
      <c r="T9" s="25">
        <f t="shared" si="18"/>
        <v>46728794.742857113</v>
      </c>
      <c r="U9" s="25">
        <f>S9/((1+'How much will I make'!$C$5/12)^(Calculations!$B$1*12-Calculations!$A9))</f>
        <v>1243840.9608174302</v>
      </c>
      <c r="V9" s="25">
        <f t="shared" si="19"/>
        <v>6429106.466790461</v>
      </c>
      <c r="W9" s="25">
        <f t="shared" si="5"/>
        <v>62059184.652643576</v>
      </c>
      <c r="X9" s="25">
        <f t="shared" si="20"/>
        <v>326203461.94612777</v>
      </c>
      <c r="Y9" s="25">
        <f>W9/((1+'How much will I make'!$C$5/12)^(Calculations!$B$1*12-Calculations!$A9))</f>
        <v>8610941.829060182</v>
      </c>
      <c r="Z9" s="25">
        <f t="shared" si="21"/>
        <v>44878662.046232924</v>
      </c>
      <c r="AA9" s="25">
        <f t="shared" si="6"/>
        <v>426268253.56816953</v>
      </c>
      <c r="AB9" s="25">
        <f t="shared" si="22"/>
        <v>2259348939.9704766</v>
      </c>
      <c r="AC9" s="25">
        <f>AA9/((1+'How much will I make'!$C$5/12)^(Calculations!$B$1*12-Calculations!$A9))</f>
        <v>59146299.707213849</v>
      </c>
      <c r="AD9" s="25">
        <f t="shared" si="23"/>
        <v>310827907.60941231</v>
      </c>
      <c r="AE9" s="25">
        <f t="shared" si="7"/>
        <v>2905217046.7369552</v>
      </c>
      <c r="AF9" s="25">
        <f t="shared" si="24"/>
        <v>15527312695.183136</v>
      </c>
      <c r="AG9" s="25">
        <f>AE9/((1+'How much will I make'!$C$5/12)^(Calculations!$B$1*12-Calculations!$A9))</f>
        <v>403109630.43212146</v>
      </c>
      <c r="AH9" s="25">
        <f t="shared" si="25"/>
        <v>2136084445.4424899</v>
      </c>
    </row>
    <row r="10" spans="1:34">
      <c r="A10" s="22">
        <f t="shared" si="8"/>
        <v>6</v>
      </c>
      <c r="B10" s="24">
        <f t="shared" si="9"/>
        <v>500</v>
      </c>
      <c r="C10" s="25">
        <f t="shared" si="0"/>
        <v>3588.5550552562981</v>
      </c>
      <c r="D10" s="25">
        <f t="shared" si="10"/>
        <v>21756.864948877825</v>
      </c>
      <c r="E10" s="25">
        <f>$C10/((1+'How much will I make'!$C$5/12)^(Calculations!$B$1*12-Calculations!$A10))</f>
        <v>500</v>
      </c>
      <c r="F10" s="25">
        <f t="shared" si="11"/>
        <v>3000</v>
      </c>
      <c r="G10" s="25">
        <f t="shared" si="1"/>
        <v>25546.117639215776</v>
      </c>
      <c r="H10" s="25">
        <f t="shared" si="12"/>
        <v>156505.67375384166</v>
      </c>
      <c r="I10" s="25">
        <f>G10/((1+'How much will I make'!$C$5/12)^(Calculations!$B$1*12-Calculations!$A10))</f>
        <v>3559.3877265164665</v>
      </c>
      <c r="J10" s="25">
        <f t="shared" si="13"/>
        <v>21579.094498292274</v>
      </c>
      <c r="K10" s="25">
        <f t="shared" si="2"/>
        <v>180391.10489872747</v>
      </c>
      <c r="L10" s="25">
        <f t="shared" si="14"/>
        <v>1116738.995138865</v>
      </c>
      <c r="M10" s="25">
        <f>K10/((1+'How much will I make'!$C$5/12)^(Calculations!$B$1*12-Calculations!$A10))</f>
        <v>25134.225631358437</v>
      </c>
      <c r="N10" s="25">
        <f t="shared" si="15"/>
        <v>153968.93130804983</v>
      </c>
      <c r="O10" s="25">
        <f t="shared" si="3"/>
        <v>1263627.6420399768</v>
      </c>
      <c r="P10" s="25">
        <f t="shared" si="16"/>
        <v>7904781.2548741624</v>
      </c>
      <c r="Q10" s="25">
        <f>O10/((1+'How much will I make'!$C$5/12)^(Calculations!$B$1*12-Calculations!$A10))</f>
        <v>176063.5719088511</v>
      </c>
      <c r="R10" s="25">
        <f t="shared" si="17"/>
        <v>1089807.1340245632</v>
      </c>
      <c r="S10" s="25">
        <f t="shared" si="4"/>
        <v>8781433.6004748885</v>
      </c>
      <c r="T10" s="25">
        <f t="shared" si="18"/>
        <v>55510228.343332</v>
      </c>
      <c r="U10" s="25">
        <f>S10/((1+'How much will I make'!$C$5/12)^(Calculations!$B$1*12-Calculations!$A10))</f>
        <v>1223533.3532938804</v>
      </c>
      <c r="V10" s="25">
        <f t="shared" si="19"/>
        <v>7652639.8200843409</v>
      </c>
      <c r="W10" s="25">
        <f t="shared" si="5"/>
        <v>60545546.002579093</v>
      </c>
      <c r="X10" s="25">
        <f t="shared" si="20"/>
        <v>386749007.94870687</v>
      </c>
      <c r="Y10" s="25">
        <f>W10/((1+'How much will I make'!$C$5/12)^(Calculations!$B$1*12-Calculations!$A10))</f>
        <v>8435922.686193103</v>
      </c>
      <c r="Z10" s="25">
        <f t="shared" si="21"/>
        <v>53314584.732426025</v>
      </c>
      <c r="AA10" s="25">
        <f t="shared" si="6"/>
        <v>414187776.74639964</v>
      </c>
      <c r="AB10" s="25">
        <f t="shared" si="22"/>
        <v>2673536716.716876</v>
      </c>
      <c r="AC10" s="25">
        <f>AA10/((1+'How much will I make'!$C$5/12)^(Calculations!$B$1*12-Calculations!$A10))</f>
        <v>57709547.487605415</v>
      </c>
      <c r="AD10" s="25">
        <f t="shared" si="23"/>
        <v>368537455.09701771</v>
      </c>
      <c r="AE10" s="25">
        <f t="shared" si="7"/>
        <v>2811500367.8099566</v>
      </c>
      <c r="AF10" s="25">
        <f t="shared" si="24"/>
        <v>18338813062.993092</v>
      </c>
      <c r="AG10" s="25">
        <f>AE10/((1+'How much will I make'!$C$5/12)^(Calculations!$B$1*12-Calculations!$A10))</f>
        <v>391731536.02476311</v>
      </c>
      <c r="AH10" s="25">
        <f t="shared" si="25"/>
        <v>2527815981.4672527</v>
      </c>
    </row>
    <row r="11" spans="1:34">
      <c r="A11" s="22">
        <f t="shared" si="8"/>
        <v>7</v>
      </c>
      <c r="B11" s="24">
        <f t="shared" si="9"/>
        <v>500</v>
      </c>
      <c r="C11" s="25">
        <f t="shared" si="0"/>
        <v>3573.6647853174741</v>
      </c>
      <c r="D11" s="25">
        <f t="shared" si="10"/>
        <v>25330.529734195297</v>
      </c>
      <c r="E11" s="25">
        <f>$C11/((1+'How much will I make'!$C$5/12)^(Calculations!$B$1*12-Calculations!$A11))</f>
        <v>500</v>
      </c>
      <c r="F11" s="25">
        <f t="shared" si="11"/>
        <v>3500</v>
      </c>
      <c r="G11" s="25">
        <f t="shared" si="1"/>
        <v>25334.992700048704</v>
      </c>
      <c r="H11" s="25">
        <f t="shared" si="12"/>
        <v>181840.66645389036</v>
      </c>
      <c r="I11" s="25">
        <f>G11/((1+'How much will I make'!$C$5/12)^(Calculations!$B$1*12-Calculations!$A11))</f>
        <v>3544.6795127705318</v>
      </c>
      <c r="J11" s="25">
        <f t="shared" si="13"/>
        <v>25123.774011062807</v>
      </c>
      <c r="K11" s="25">
        <f t="shared" si="2"/>
        <v>178164.05422096536</v>
      </c>
      <c r="L11" s="25">
        <f t="shared" si="14"/>
        <v>1294903.0493598303</v>
      </c>
      <c r="M11" s="25">
        <f>K11/((1+'How much will I make'!$C$5/12)^(Calculations!$B$1*12-Calculations!$A11))</f>
        <v>24927.359576779356</v>
      </c>
      <c r="N11" s="25">
        <f t="shared" si="15"/>
        <v>178896.29088482918</v>
      </c>
      <c r="O11" s="25">
        <f t="shared" si="3"/>
        <v>1242912.4347934199</v>
      </c>
      <c r="P11" s="25">
        <f t="shared" si="16"/>
        <v>9147693.6896675825</v>
      </c>
      <c r="Q11" s="25">
        <f>O11/((1+'How much will I make'!$C$5/12)^(Calculations!$B$1*12-Calculations!$A11))</f>
        <v>173898.85586079155</v>
      </c>
      <c r="R11" s="25">
        <f t="shared" si="17"/>
        <v>1263705.9898853549</v>
      </c>
      <c r="S11" s="25">
        <f t="shared" si="4"/>
        <v>8602220.6698529553</v>
      </c>
      <c r="T11" s="25">
        <f t="shared" si="18"/>
        <v>64112449.013184957</v>
      </c>
      <c r="U11" s="25">
        <f>S11/((1+'How much will I make'!$C$5/12)^(Calculations!$B$1*12-Calculations!$A11))</f>
        <v>1203557.298546226</v>
      </c>
      <c r="V11" s="25">
        <f t="shared" si="19"/>
        <v>8856197.1186305676</v>
      </c>
      <c r="W11" s="25">
        <f t="shared" si="5"/>
        <v>59068825.368369848</v>
      </c>
      <c r="X11" s="25">
        <f t="shared" si="20"/>
        <v>445817833.31707668</v>
      </c>
      <c r="Y11" s="25">
        <f>W11/((1+'How much will I make'!$C$5/12)^(Calculations!$B$1*12-Calculations!$A11))</f>
        <v>8264460.8429777976</v>
      </c>
      <c r="Z11" s="25">
        <f t="shared" si="21"/>
        <v>61579045.575403824</v>
      </c>
      <c r="AA11" s="25">
        <f t="shared" si="6"/>
        <v>402449661.61593485</v>
      </c>
      <c r="AB11" s="25">
        <f t="shared" si="22"/>
        <v>3075986378.3328109</v>
      </c>
      <c r="AC11" s="25">
        <f>AA11/((1+'How much will I make'!$C$5/12)^(Calculations!$B$1*12-Calculations!$A11))</f>
        <v>56307696.13163121</v>
      </c>
      <c r="AD11" s="25">
        <f t="shared" si="23"/>
        <v>424845151.2286489</v>
      </c>
      <c r="AE11" s="25">
        <f t="shared" si="7"/>
        <v>2720806807.558023</v>
      </c>
      <c r="AF11" s="25">
        <f t="shared" si="24"/>
        <v>21059619870.551113</v>
      </c>
      <c r="AG11" s="25">
        <f>AE11/((1+'How much will I make'!$C$5/12)^(Calculations!$B$1*12-Calculations!$A11))</f>
        <v>380674597.50793529</v>
      </c>
      <c r="AH11" s="25">
        <f t="shared" si="25"/>
        <v>2908490578.9751883</v>
      </c>
    </row>
    <row r="12" spans="1:34">
      <c r="A12" s="22">
        <f t="shared" si="8"/>
        <v>8</v>
      </c>
      <c r="B12" s="24">
        <f t="shared" si="9"/>
        <v>500</v>
      </c>
      <c r="C12" s="25">
        <f t="shared" si="0"/>
        <v>3558.8363007310954</v>
      </c>
      <c r="D12" s="25">
        <f t="shared" si="10"/>
        <v>28889.366034926392</v>
      </c>
      <c r="E12" s="25">
        <f>$C12/((1+'How much will I make'!$C$5/12)^(Calculations!$B$1*12-Calculations!$A12))</f>
        <v>500</v>
      </c>
      <c r="F12" s="25">
        <f t="shared" si="11"/>
        <v>4000</v>
      </c>
      <c r="G12" s="25">
        <f t="shared" si="1"/>
        <v>25125.612595089624</v>
      </c>
      <c r="H12" s="25">
        <f t="shared" si="12"/>
        <v>206966.27904897998</v>
      </c>
      <c r="I12" s="25">
        <f>G12/((1+'How much will I make'!$C$5/12)^(Calculations!$B$1*12-Calculations!$A12))</f>
        <v>3530.032076767347</v>
      </c>
      <c r="J12" s="25">
        <f t="shared" si="13"/>
        <v>28653.806087830155</v>
      </c>
      <c r="K12" s="25">
        <f t="shared" si="2"/>
        <v>175964.49799601518</v>
      </c>
      <c r="L12" s="25">
        <f t="shared" si="14"/>
        <v>1470867.5473558456</v>
      </c>
      <c r="M12" s="25">
        <f>K12/((1+'How much will I make'!$C$5/12)^(Calculations!$B$1*12-Calculations!$A12))</f>
        <v>24722.196123472524</v>
      </c>
      <c r="N12" s="25">
        <f t="shared" si="15"/>
        <v>203618.48700830172</v>
      </c>
      <c r="O12" s="25">
        <f t="shared" si="3"/>
        <v>1222536.8211082818</v>
      </c>
      <c r="P12" s="25">
        <f t="shared" si="16"/>
        <v>10370230.510775864</v>
      </c>
      <c r="Q12" s="25">
        <f>O12/((1+'How much will I make'!$C$5/12)^(Calculations!$B$1*12-Calculations!$A12))</f>
        <v>171760.75517397848</v>
      </c>
      <c r="R12" s="25">
        <f t="shared" si="17"/>
        <v>1435466.7450593333</v>
      </c>
      <c r="S12" s="25">
        <f t="shared" si="4"/>
        <v>8426665.1459784042</v>
      </c>
      <c r="T12" s="25">
        <f t="shared" si="18"/>
        <v>72539114.159163356</v>
      </c>
      <c r="U12" s="25">
        <f>S12/((1+'How much will I make'!$C$5/12)^(Calculations!$B$1*12-Calculations!$A12))</f>
        <v>1183907.3834679197</v>
      </c>
      <c r="V12" s="25">
        <f t="shared" si="19"/>
        <v>10040104.502098488</v>
      </c>
      <c r="W12" s="25">
        <f t="shared" si="5"/>
        <v>57628122.310604744</v>
      </c>
      <c r="X12" s="25">
        <f t="shared" si="20"/>
        <v>503445955.62768143</v>
      </c>
      <c r="Y12" s="25">
        <f>W12/((1+'How much will I make'!$C$5/12)^(Calculations!$B$1*12-Calculations!$A12))</f>
        <v>8096483.99657581</v>
      </c>
      <c r="Z12" s="25">
        <f t="shared" si="21"/>
        <v>69675529.571979642</v>
      </c>
      <c r="AA12" s="25">
        <f t="shared" si="6"/>
        <v>391044205.61872214</v>
      </c>
      <c r="AB12" s="25">
        <f t="shared" si="22"/>
        <v>3467030583.9515328</v>
      </c>
      <c r="AC12" s="25">
        <f>AA12/((1+'How much will I make'!$C$5/12)^(Calculations!$B$1*12-Calculations!$A12))</f>
        <v>54939897.845032871</v>
      </c>
      <c r="AD12" s="25">
        <f t="shared" si="23"/>
        <v>479785049.07368177</v>
      </c>
      <c r="AE12" s="25">
        <f t="shared" si="7"/>
        <v>2633038846.0238924</v>
      </c>
      <c r="AF12" s="25">
        <f t="shared" si="24"/>
        <v>23692658716.575005</v>
      </c>
      <c r="AG12" s="25">
        <f>AE12/((1+'How much will I make'!$C$5/12)^(Calculations!$B$1*12-Calculations!$A12))</f>
        <v>369929749.99763048</v>
      </c>
      <c r="AH12" s="25">
        <f t="shared" si="25"/>
        <v>3278420328.9728189</v>
      </c>
    </row>
    <row r="13" spans="1:34">
      <c r="A13" s="22">
        <f t="shared" si="8"/>
        <v>9</v>
      </c>
      <c r="B13" s="24">
        <f t="shared" si="9"/>
        <v>500</v>
      </c>
      <c r="C13" s="25">
        <f t="shared" si="0"/>
        <v>3544.0693451264024</v>
      </c>
      <c r="D13" s="25">
        <f t="shared" si="10"/>
        <v>32433.435380052793</v>
      </c>
      <c r="E13" s="25">
        <f>$C13/((1+'How much will I make'!$C$5/12)^(Calculations!$B$1*12-Calculations!$A13))</f>
        <v>500</v>
      </c>
      <c r="F13" s="25">
        <f t="shared" si="11"/>
        <v>4500</v>
      </c>
      <c r="G13" s="25">
        <f t="shared" si="1"/>
        <v>24917.962904221116</v>
      </c>
      <c r="H13" s="25">
        <f t="shared" si="12"/>
        <v>231884.2419532011</v>
      </c>
      <c r="I13" s="25">
        <f>G13/((1+'How much will I make'!$C$5/12)^(Calculations!$B$1*12-Calculations!$A13))</f>
        <v>3515.4451673592175</v>
      </c>
      <c r="J13" s="25">
        <f t="shared" si="13"/>
        <v>32169.251255189374</v>
      </c>
      <c r="K13" s="25">
        <f t="shared" si="2"/>
        <v>173792.09678618782</v>
      </c>
      <c r="L13" s="25">
        <f t="shared" si="14"/>
        <v>1644659.6441420333</v>
      </c>
      <c r="M13" s="25">
        <f>K13/((1+'How much will I make'!$C$5/12)^(Calculations!$B$1*12-Calculations!$A13))</f>
        <v>24518.721258258756</v>
      </c>
      <c r="N13" s="25">
        <f t="shared" si="15"/>
        <v>228137.20826656048</v>
      </c>
      <c r="O13" s="25">
        <f t="shared" si="3"/>
        <v>1202495.2338769985</v>
      </c>
      <c r="P13" s="25">
        <f t="shared" si="16"/>
        <v>11572725.744652864</v>
      </c>
      <c r="Q13" s="25">
        <f>O13/((1+'How much will I make'!$C$5/12)^(Calculations!$B$1*12-Calculations!$A13))</f>
        <v>169648.94261036397</v>
      </c>
      <c r="R13" s="25">
        <f t="shared" si="17"/>
        <v>1605115.6876696972</v>
      </c>
      <c r="S13" s="25">
        <f t="shared" si="4"/>
        <v>8254692.3878972121</v>
      </c>
      <c r="T13" s="25">
        <f t="shared" si="18"/>
        <v>80793806.547060564</v>
      </c>
      <c r="U13" s="25">
        <f>S13/((1+'How much will I make'!$C$5/12)^(Calculations!$B$1*12-Calculations!$A13))</f>
        <v>1164578.283329668</v>
      </c>
      <c r="V13" s="25">
        <f t="shared" si="19"/>
        <v>11204682.785428155</v>
      </c>
      <c r="W13" s="25">
        <f t="shared" si="5"/>
        <v>56222558.351809509</v>
      </c>
      <c r="X13" s="25">
        <f t="shared" si="20"/>
        <v>559668513.979491</v>
      </c>
      <c r="Y13" s="25">
        <f>W13/((1+'How much will I make'!$C$5/12)^(Calculations!$B$1*12-Calculations!$A13))</f>
        <v>7931921.3137185778</v>
      </c>
      <c r="Z13" s="25">
        <f t="shared" si="21"/>
        <v>77607450.885698214</v>
      </c>
      <c r="AA13" s="25">
        <f t="shared" si="6"/>
        <v>379961981.16798925</v>
      </c>
      <c r="AB13" s="25">
        <f t="shared" si="22"/>
        <v>3846992565.1195221</v>
      </c>
      <c r="AC13" s="25">
        <f>AA13/((1+'How much will I make'!$C$5/12)^(Calculations!$B$1*12-Calculations!$A13))</f>
        <v>53605325.427744634</v>
      </c>
      <c r="AD13" s="25">
        <f t="shared" si="23"/>
        <v>533390374.5014264</v>
      </c>
      <c r="AE13" s="25">
        <f t="shared" si="7"/>
        <v>2548102109.0553794</v>
      </c>
      <c r="AF13" s="25">
        <f t="shared" si="24"/>
        <v>26240760825.630383</v>
      </c>
      <c r="AG13" s="25">
        <f>AE13/((1+'How much will I make'!$C$5/12)^(Calculations!$B$1*12-Calculations!$A13))</f>
        <v>359488184.47350371</v>
      </c>
      <c r="AH13" s="25">
        <f t="shared" si="25"/>
        <v>3637908513.4463224</v>
      </c>
    </row>
    <row r="14" spans="1:34">
      <c r="A14" s="22">
        <f t="shared" si="8"/>
        <v>10</v>
      </c>
      <c r="B14" s="24">
        <f t="shared" si="9"/>
        <v>500</v>
      </c>
      <c r="C14" s="25">
        <f t="shared" si="0"/>
        <v>3529.3636631964159</v>
      </c>
      <c r="D14" s="25">
        <f t="shared" si="10"/>
        <v>35962.799043249208</v>
      </c>
      <c r="E14" s="25">
        <f>$C14/((1+'How much will I make'!$C$5/12)^(Calculations!$B$1*12-Calculations!$A14))</f>
        <v>500</v>
      </c>
      <c r="F14" s="25">
        <f t="shared" si="11"/>
        <v>5000</v>
      </c>
      <c r="G14" s="25">
        <f t="shared" si="1"/>
        <v>24712.029326500291</v>
      </c>
      <c r="H14" s="25">
        <f t="shared" si="12"/>
        <v>256596.27127970138</v>
      </c>
      <c r="I14" s="25">
        <f>G14/((1+'How much will I make'!$C$5/12)^(Calculations!$B$1*12-Calculations!$A14))</f>
        <v>3500.9185344362481</v>
      </c>
      <c r="J14" s="25">
        <f t="shared" si="13"/>
        <v>35670.169789625623</v>
      </c>
      <c r="K14" s="25">
        <f t="shared" si="2"/>
        <v>171646.51534438302</v>
      </c>
      <c r="L14" s="25">
        <f t="shared" si="14"/>
        <v>1816306.1594864163</v>
      </c>
      <c r="M14" s="25">
        <f>K14/((1+'How much will I make'!$C$5/12)^(Calculations!$B$1*12-Calculations!$A14))</f>
        <v>24316.92108329367</v>
      </c>
      <c r="N14" s="25">
        <f t="shared" si="15"/>
        <v>252454.12934985416</v>
      </c>
      <c r="O14" s="25">
        <f t="shared" si="3"/>
        <v>1182782.1972560643</v>
      </c>
      <c r="P14" s="25">
        <f t="shared" si="16"/>
        <v>12755507.941908928</v>
      </c>
      <c r="Q14" s="25">
        <f>O14/((1+'How much will I make'!$C$5/12)^(Calculations!$B$1*12-Calculations!$A14))</f>
        <v>167563.09495531861</v>
      </c>
      <c r="R14" s="25">
        <f t="shared" si="17"/>
        <v>1772678.7826250158</v>
      </c>
      <c r="S14" s="25">
        <f t="shared" si="4"/>
        <v>8086229.2779401289</v>
      </c>
      <c r="T14" s="25">
        <f t="shared" si="18"/>
        <v>88880035.825000688</v>
      </c>
      <c r="U14" s="25">
        <f>S14/((1+'How much will I make'!$C$5/12)^(Calculations!$B$1*12-Calculations!$A14))</f>
        <v>1145564.7603365313</v>
      </c>
      <c r="V14" s="25">
        <f t="shared" si="19"/>
        <v>12350247.545764687</v>
      </c>
      <c r="W14" s="25">
        <f t="shared" si="5"/>
        <v>54851276.440789767</v>
      </c>
      <c r="X14" s="25">
        <f t="shared" si="20"/>
        <v>614519790.42028081</v>
      </c>
      <c r="Y14" s="25">
        <f>W14/((1+'How much will I make'!$C$5/12)^(Calculations!$B$1*12-Calculations!$A14))</f>
        <v>7770703.4008381227</v>
      </c>
      <c r="Z14" s="25">
        <f t="shared" si="21"/>
        <v>85378154.286536336</v>
      </c>
      <c r="AA14" s="25">
        <f t="shared" si="6"/>
        <v>369193827.8555361</v>
      </c>
      <c r="AB14" s="25">
        <f t="shared" si="22"/>
        <v>4216186392.9750581</v>
      </c>
      <c r="AC14" s="25">
        <f>AA14/((1+'How much will I make'!$C$5/12)^(Calculations!$B$1*12-Calculations!$A14))</f>
        <v>52303171.773629405</v>
      </c>
      <c r="AD14" s="25">
        <f t="shared" si="23"/>
        <v>585693546.27505577</v>
      </c>
      <c r="AE14" s="25">
        <f t="shared" si="7"/>
        <v>2465905266.8277864</v>
      </c>
      <c r="AF14" s="25">
        <f t="shared" si="24"/>
        <v>28706666092.458168</v>
      </c>
      <c r="AG14" s="25">
        <f>AE14/((1+'How much will I make'!$C$5/12)^(Calculations!$B$1*12-Calculations!$A14))</f>
        <v>349341340.55691302</v>
      </c>
      <c r="AH14" s="25">
        <f t="shared" si="25"/>
        <v>3987249854.0032353</v>
      </c>
    </row>
    <row r="15" spans="1:34">
      <c r="A15" s="22">
        <f t="shared" si="8"/>
        <v>11</v>
      </c>
      <c r="B15" s="24">
        <f t="shared" si="9"/>
        <v>500</v>
      </c>
      <c r="C15" s="25">
        <f t="shared" si="0"/>
        <v>3514.7190006935271</v>
      </c>
      <c r="D15" s="25">
        <f t="shared" si="10"/>
        <v>39477.518043942735</v>
      </c>
      <c r="E15" s="25">
        <f>$C15/((1+'How much will I make'!$C$5/12)^(Calculations!$B$1*12-Calculations!$A15))</f>
        <v>500</v>
      </c>
      <c r="F15" s="25">
        <f t="shared" si="11"/>
        <v>5500</v>
      </c>
      <c r="G15" s="25">
        <f t="shared" si="1"/>
        <v>24507.797679173837</v>
      </c>
      <c r="H15" s="25">
        <f t="shared" si="12"/>
        <v>281104.0689588752</v>
      </c>
      <c r="I15" s="25">
        <f>G15/((1+'How much will I make'!$C$5/12)^(Calculations!$B$1*12-Calculations!$A15))</f>
        <v>3486.4519289220475</v>
      </c>
      <c r="J15" s="25">
        <f t="shared" si="13"/>
        <v>39156.621718547671</v>
      </c>
      <c r="K15" s="25">
        <f t="shared" si="2"/>
        <v>169527.4225623536</v>
      </c>
      <c r="L15" s="25">
        <f t="shared" si="14"/>
        <v>1985833.5820487698</v>
      </c>
      <c r="M15" s="25">
        <f>K15/((1+'How much will I make'!$C$5/12)^(Calculations!$B$1*12-Calculations!$A15))</f>
        <v>24116.781815118411</v>
      </c>
      <c r="N15" s="25">
        <f t="shared" si="15"/>
        <v>276570.91116497258</v>
      </c>
      <c r="O15" s="25">
        <f t="shared" si="3"/>
        <v>1163392.325169899</v>
      </c>
      <c r="P15" s="25">
        <f t="shared" si="16"/>
        <v>13918900.267078826</v>
      </c>
      <c r="Q15" s="25">
        <f>O15/((1+'How much will I make'!$C$5/12)^(Calculations!$B$1*12-Calculations!$A15))</f>
        <v>165502.89296816298</v>
      </c>
      <c r="R15" s="25">
        <f t="shared" si="17"/>
        <v>1938181.6755931787</v>
      </c>
      <c r="S15" s="25">
        <f t="shared" si="4"/>
        <v>7921204.1906352276</v>
      </c>
      <c r="T15" s="25">
        <f t="shared" si="18"/>
        <v>96801240.015635923</v>
      </c>
      <c r="U15" s="25">
        <f>S15/((1+'How much will I make'!$C$5/12)^(Calculations!$B$1*12-Calculations!$A15))</f>
        <v>1126861.6622085876</v>
      </c>
      <c r="V15" s="25">
        <f t="shared" si="19"/>
        <v>13477109.207973273</v>
      </c>
      <c r="W15" s="25">
        <f t="shared" si="5"/>
        <v>53513440.430038795</v>
      </c>
      <c r="X15" s="25">
        <f t="shared" si="20"/>
        <v>668033230.85031962</v>
      </c>
      <c r="Y15" s="25">
        <f>W15/((1+'How much will I make'!$C$5/12)^(Calculations!$B$1*12-Calculations!$A15))</f>
        <v>7612762.2748048259</v>
      </c>
      <c r="Z15" s="25">
        <f t="shared" si="21"/>
        <v>92990916.561341166</v>
      </c>
      <c r="AA15" s="25">
        <f t="shared" si="6"/>
        <v>358730844.87987316</v>
      </c>
      <c r="AB15" s="25">
        <f t="shared" si="22"/>
        <v>4574917237.8549309</v>
      </c>
      <c r="AC15" s="25">
        <f>AA15/((1+'How much will I make'!$C$5/12)^(Calculations!$B$1*12-Calculations!$A15))</f>
        <v>51032649.382367142</v>
      </c>
      <c r="AD15" s="25">
        <f t="shared" si="23"/>
        <v>636726195.6574229</v>
      </c>
      <c r="AE15" s="25">
        <f t="shared" si="7"/>
        <v>2386359935.6397929</v>
      </c>
      <c r="AF15" s="25">
        <f t="shared" si="24"/>
        <v>31093026028.097961</v>
      </c>
      <c r="AG15" s="25">
        <f>AE15/((1+'How much will I make'!$C$5/12)^(Calculations!$B$1*12-Calculations!$A15))</f>
        <v>339480899.49280649</v>
      </c>
      <c r="AH15" s="25">
        <f t="shared" si="25"/>
        <v>4326730753.4960423</v>
      </c>
    </row>
    <row r="16" spans="1:34">
      <c r="A16" s="22">
        <f t="shared" si="8"/>
        <v>12</v>
      </c>
      <c r="B16" s="24">
        <f t="shared" si="9"/>
        <v>500</v>
      </c>
      <c r="C16" s="25">
        <f t="shared" si="0"/>
        <v>3500.1351044250891</v>
      </c>
      <c r="D16" s="25">
        <f t="shared" si="10"/>
        <v>42977.653148367826</v>
      </c>
      <c r="E16" s="25">
        <f>$C16/((1+'How much will I make'!$C$5/12)^(Calculations!$B$1*12-Calculations!$A16))</f>
        <v>500</v>
      </c>
      <c r="F16" s="25">
        <f t="shared" si="11"/>
        <v>6000</v>
      </c>
      <c r="G16" s="25">
        <f t="shared" si="1"/>
        <v>24305.253896701324</v>
      </c>
      <c r="H16" s="25">
        <f t="shared" si="12"/>
        <v>305409.32285557652</v>
      </c>
      <c r="I16" s="25">
        <f>G16/((1+'How much will I make'!$C$5/12)^(Calculations!$B$1*12-Calculations!$A16))</f>
        <v>3472.0451027694767</v>
      </c>
      <c r="J16" s="25">
        <f t="shared" si="13"/>
        <v>42628.666821317151</v>
      </c>
      <c r="K16" s="25">
        <f t="shared" si="2"/>
        <v>167434.49141960853</v>
      </c>
      <c r="L16" s="25">
        <f t="shared" si="14"/>
        <v>2153268.0734683783</v>
      </c>
      <c r="M16" s="25">
        <f>K16/((1+'How much will I make'!$C$5/12)^(Calculations!$B$1*12-Calculations!$A16))</f>
        <v>23918.289783718261</v>
      </c>
      <c r="N16" s="25">
        <f t="shared" si="15"/>
        <v>300489.20094869082</v>
      </c>
      <c r="O16" s="25">
        <f t="shared" si="3"/>
        <v>1144320.3198392452</v>
      </c>
      <c r="P16" s="25">
        <f t="shared" si="16"/>
        <v>15063220.586918071</v>
      </c>
      <c r="Q16" s="25">
        <f>O16/((1+'How much will I make'!$C$5/12)^(Calculations!$B$1*12-Calculations!$A16))</f>
        <v>163468.02133330854</v>
      </c>
      <c r="R16" s="25">
        <f t="shared" si="17"/>
        <v>2101649.6969264871</v>
      </c>
      <c r="S16" s="25">
        <f t="shared" si="4"/>
        <v>7759546.9622549172</v>
      </c>
      <c r="T16" s="25">
        <f t="shared" si="18"/>
        <v>104560786.97789083</v>
      </c>
      <c r="U16" s="25">
        <f>S16/((1+'How much will I make'!$C$5/12)^(Calculations!$B$1*12-Calculations!$A16))</f>
        <v>1108463.920784774</v>
      </c>
      <c r="V16" s="25">
        <f t="shared" si="19"/>
        <v>14585573.128758047</v>
      </c>
      <c r="W16" s="25">
        <f t="shared" si="5"/>
        <v>52208234.565891512</v>
      </c>
      <c r="X16" s="25">
        <f t="shared" si="20"/>
        <v>720241465.41621113</v>
      </c>
      <c r="Y16" s="25">
        <f>W16/((1+'How much will I make'!$C$5/12)^(Calculations!$B$1*12-Calculations!$A16))</f>
        <v>7458031.334260012</v>
      </c>
      <c r="Z16" s="25">
        <f t="shared" si="21"/>
        <v>100448947.89560118</v>
      </c>
      <c r="AA16" s="25">
        <f t="shared" si="6"/>
        <v>348564383.68894559</v>
      </c>
      <c r="AB16" s="25">
        <f t="shared" si="22"/>
        <v>4923481621.5438766</v>
      </c>
      <c r="AC16" s="25">
        <f>AA16/((1+'How much will I make'!$C$5/12)^(Calculations!$B$1*12-Calculations!$A16))</f>
        <v>49792989.883200333</v>
      </c>
      <c r="AD16" s="25">
        <f t="shared" si="23"/>
        <v>686519185.54062319</v>
      </c>
      <c r="AE16" s="25">
        <f t="shared" si="7"/>
        <v>2309380582.8772187</v>
      </c>
      <c r="AF16" s="25">
        <f t="shared" si="24"/>
        <v>33402406610.975182</v>
      </c>
      <c r="AG16" s="25">
        <f>AE16/((1+'How much will I make'!$C$5/12)^(Calculations!$B$1*12-Calculations!$A16))</f>
        <v>329898777.32970303</v>
      </c>
      <c r="AH16" s="25">
        <f t="shared" si="25"/>
        <v>4656629530.8257456</v>
      </c>
    </row>
    <row r="17" spans="1:34">
      <c r="A17" s="22">
        <f t="shared" si="8"/>
        <v>13</v>
      </c>
      <c r="B17" s="22">
        <f>B16*(1+'How much will I make'!$C$4)</f>
        <v>525</v>
      </c>
      <c r="C17" s="25">
        <f t="shared" si="0"/>
        <v>3659.8923083615036</v>
      </c>
      <c r="D17" s="25">
        <f t="shared" si="10"/>
        <v>46637.545456729327</v>
      </c>
      <c r="E17" s="25">
        <f>$C17/((1+'How much will I make'!$C$5/12)^(Calculations!$B$1*12-Calculations!$A17))</f>
        <v>525</v>
      </c>
      <c r="F17" s="25">
        <f t="shared" si="11"/>
        <v>6525</v>
      </c>
      <c r="G17" s="25">
        <f t="shared" si="1"/>
        <v>25309.60323127576</v>
      </c>
      <c r="H17" s="25">
        <f t="shared" si="12"/>
        <v>330718.92608685227</v>
      </c>
      <c r="I17" s="25">
        <f>G17/((1+'How much will I make'!$C$5/12)^(Calculations!$B$1*12-Calculations!$A17))</f>
        <v>3630.582699404199</v>
      </c>
      <c r="J17" s="25">
        <f t="shared" si="13"/>
        <v>46259.249520721351</v>
      </c>
      <c r="K17" s="25">
        <f t="shared" si="2"/>
        <v>173635.76887959405</v>
      </c>
      <c r="L17" s="25">
        <f t="shared" si="14"/>
        <v>2326903.8423479721</v>
      </c>
      <c r="M17" s="25">
        <f>K17/((1+'How much will I make'!$C$5/12)^(Calculations!$B$1*12-Calculations!$A17))</f>
        <v>24907.503003168342</v>
      </c>
      <c r="N17" s="25">
        <f t="shared" si="15"/>
        <v>325396.70395185915</v>
      </c>
      <c r="O17" s="25">
        <f t="shared" si="3"/>
        <v>1181839.0188503677</v>
      </c>
      <c r="P17" s="25">
        <f t="shared" si="16"/>
        <v>16245059.605768438</v>
      </c>
      <c r="Q17" s="25">
        <f>O17/((1+'How much will I make'!$C$5/12)^(Calculations!$B$1*12-Calculations!$A17))</f>
        <v>169531.07704259723</v>
      </c>
      <c r="R17" s="25">
        <f t="shared" si="17"/>
        <v>2271180.7739690845</v>
      </c>
      <c r="S17" s="25">
        <f t="shared" si="4"/>
        <v>7981248.3040336296</v>
      </c>
      <c r="T17" s="25">
        <f t="shared" si="18"/>
        <v>112542035.28192446</v>
      </c>
      <c r="U17" s="25">
        <f>S17/((1+'How much will I make'!$C$5/12)^(Calculations!$B$1*12-Calculations!$A17))</f>
        <v>1144884.8781819881</v>
      </c>
      <c r="V17" s="25">
        <f t="shared" si="19"/>
        <v>15730458.006940035</v>
      </c>
      <c r="W17" s="25">
        <f t="shared" si="5"/>
        <v>53481606.140669368</v>
      </c>
      <c r="X17" s="25">
        <f t="shared" si="20"/>
        <v>773723071.55688047</v>
      </c>
      <c r="Y17" s="25">
        <f>W17/((1+'How much will I make'!$C$5/12)^(Calculations!$B$1*12-Calculations!$A17))</f>
        <v>7671767.5981077105</v>
      </c>
      <c r="Z17" s="25">
        <f t="shared" si="21"/>
        <v>108120715.49370889</v>
      </c>
      <c r="AA17" s="25">
        <f t="shared" si="6"/>
        <v>355620342.87293243</v>
      </c>
      <c r="AB17" s="25">
        <f t="shared" si="22"/>
        <v>5279101964.4168091</v>
      </c>
      <c r="AC17" s="25">
        <f>AA17/((1+'How much will I make'!$C$5/12)^(Calculations!$B$1*12-Calculations!$A17))</f>
        <v>51012615.748760514</v>
      </c>
      <c r="AD17" s="25">
        <f t="shared" si="23"/>
        <v>737531801.28938365</v>
      </c>
      <c r="AE17" s="25">
        <f t="shared" si="7"/>
        <v>2346628656.7945929</v>
      </c>
      <c r="AF17" s="25">
        <f t="shared" si="24"/>
        <v>35749035267.769775</v>
      </c>
      <c r="AG17" s="25">
        <f>AE17/((1+'How much will I make'!$C$5/12)^(Calculations!$B$1*12-Calculations!$A17))</f>
        <v>336616474.2067796</v>
      </c>
      <c r="AH17" s="25">
        <f t="shared" si="25"/>
        <v>4993246005.0325251</v>
      </c>
    </row>
    <row r="18" spans="1:34">
      <c r="A18" s="22">
        <f t="shared" si="8"/>
        <v>14</v>
      </c>
      <c r="B18" s="22">
        <f t="shared" ref="B18:B28" si="26">B17</f>
        <v>525</v>
      </c>
      <c r="C18" s="25">
        <f t="shared" si="0"/>
        <v>3644.7060332230735</v>
      </c>
      <c r="D18" s="25">
        <f t="shared" si="10"/>
        <v>50282.251489952403</v>
      </c>
      <c r="E18" s="25">
        <f>$C18/((1+'How much will I make'!$C$5/12)^(Calculations!$B$1*12-Calculations!$A18))</f>
        <v>525</v>
      </c>
      <c r="F18" s="25">
        <f t="shared" si="11"/>
        <v>7050</v>
      </c>
      <c r="G18" s="25">
        <f t="shared" si="1"/>
        <v>25100.432956637123</v>
      </c>
      <c r="H18" s="25">
        <f t="shared" si="12"/>
        <v>355819.35904348938</v>
      </c>
      <c r="I18" s="25">
        <f>G18/((1+'How much will I make'!$C$5/12)^(Calculations!$B$1*12-Calculations!$A18))</f>
        <v>3615.5802915554232</v>
      </c>
      <c r="J18" s="25">
        <f t="shared" si="13"/>
        <v>49874.829812276774</v>
      </c>
      <c r="K18" s="25">
        <f t="shared" si="2"/>
        <v>171492.11741194475</v>
      </c>
      <c r="L18" s="25">
        <f t="shared" si="14"/>
        <v>2498395.9597599166</v>
      </c>
      <c r="M18" s="25">
        <f>K18/((1+'How much will I make'!$C$5/12)^(Calculations!$B$1*12-Calculations!$A18))</f>
        <v>24702.502978450917</v>
      </c>
      <c r="N18" s="25">
        <f t="shared" si="15"/>
        <v>350099.20693031006</v>
      </c>
      <c r="O18" s="25">
        <f t="shared" si="3"/>
        <v>1162464.6087052801</v>
      </c>
      <c r="P18" s="25">
        <f t="shared" si="16"/>
        <v>17407524.214473717</v>
      </c>
      <c r="Q18" s="25">
        <f>O18/((1+'How much will I make'!$C$5/12)^(Calculations!$B$1*12-Calculations!$A18))</f>
        <v>167446.67855436864</v>
      </c>
      <c r="R18" s="25">
        <f t="shared" si="17"/>
        <v>2438627.4525234532</v>
      </c>
      <c r="S18" s="25">
        <f t="shared" si="4"/>
        <v>7818365.6855839649</v>
      </c>
      <c r="T18" s="25">
        <f t="shared" si="18"/>
        <v>120360400.96750842</v>
      </c>
      <c r="U18" s="25">
        <f>S18/((1+'How much will I make'!$C$5/12)^(Calculations!$B$1*12-Calculations!$A18))</f>
        <v>1126192.880170854</v>
      </c>
      <c r="V18" s="25">
        <f t="shared" si="19"/>
        <v>16856650.887110889</v>
      </c>
      <c r="W18" s="25">
        <f t="shared" si="5"/>
        <v>52177176.722604252</v>
      </c>
      <c r="X18" s="25">
        <f t="shared" si="20"/>
        <v>825900248.27948475</v>
      </c>
      <c r="Y18" s="25">
        <f>W18/((1+'How much will I make'!$C$5/12)^(Calculations!$B$1*12-Calculations!$A18))</f>
        <v>7515837.3623738149</v>
      </c>
      <c r="Z18" s="25">
        <f t="shared" si="21"/>
        <v>115636552.85608271</v>
      </c>
      <c r="AA18" s="25">
        <f t="shared" si="6"/>
        <v>345542033.56074417</v>
      </c>
      <c r="AB18" s="25">
        <f t="shared" si="22"/>
        <v>5624643997.9775534</v>
      </c>
      <c r="AC18" s="25">
        <f>AA18/((1+'How much will I make'!$C$5/12)^(Calculations!$B$1*12-Calculations!$A18))</f>
        <v>49773442.896563932</v>
      </c>
      <c r="AD18" s="25">
        <f t="shared" si="23"/>
        <v>787305244.18594754</v>
      </c>
      <c r="AE18" s="25">
        <f t="shared" si="7"/>
        <v>2270930958.1883154</v>
      </c>
      <c r="AF18" s="25">
        <f t="shared" si="24"/>
        <v>38019966225.958092</v>
      </c>
      <c r="AG18" s="25">
        <f>AE18/((1+'How much will I make'!$C$5/12)^(Calculations!$B$1*12-Calculations!$A18))</f>
        <v>327115202.75739473</v>
      </c>
      <c r="AH18" s="25">
        <f t="shared" si="25"/>
        <v>5320361207.7899199</v>
      </c>
    </row>
    <row r="19" spans="1:34">
      <c r="A19" s="22">
        <f t="shared" si="8"/>
        <v>15</v>
      </c>
      <c r="B19" s="22">
        <f t="shared" si="26"/>
        <v>525</v>
      </c>
      <c r="C19" s="25">
        <f t="shared" si="0"/>
        <v>3629.5827716744307</v>
      </c>
      <c r="D19" s="25">
        <f t="shared" si="10"/>
        <v>53911.834261626835</v>
      </c>
      <c r="E19" s="25">
        <f>$C19/((1+'How much will I make'!$C$5/12)^(Calculations!$B$1*12-Calculations!$A19))</f>
        <v>525</v>
      </c>
      <c r="F19" s="25">
        <f t="shared" si="11"/>
        <v>7575</v>
      </c>
      <c r="G19" s="25">
        <f t="shared" si="1"/>
        <v>24892.991361954169</v>
      </c>
      <c r="H19" s="25">
        <f t="shared" si="12"/>
        <v>380712.35040544358</v>
      </c>
      <c r="I19" s="25">
        <f>G19/((1+'How much will I make'!$C$5/12)^(Calculations!$B$1*12-Calculations!$A19))</f>
        <v>3600.6398771275071</v>
      </c>
      <c r="J19" s="25">
        <f t="shared" si="13"/>
        <v>53475.469689404279</v>
      </c>
      <c r="K19" s="25">
        <f t="shared" si="2"/>
        <v>169374.93077722937</v>
      </c>
      <c r="L19" s="25">
        <f t="shared" si="14"/>
        <v>2667770.890537146</v>
      </c>
      <c r="M19" s="25">
        <f>K19/((1+'How much will I make'!$C$5/12)^(Calculations!$B$1*12-Calculations!$A19))</f>
        <v>24499.190196735264</v>
      </c>
      <c r="N19" s="25">
        <f t="shared" si="15"/>
        <v>374598.39712704532</v>
      </c>
      <c r="O19" s="25">
        <f t="shared" si="3"/>
        <v>1143407.811841259</v>
      </c>
      <c r="P19" s="25">
        <f t="shared" si="16"/>
        <v>18550932.026314978</v>
      </c>
      <c r="Q19" s="25">
        <f>O19/((1+'How much will I make'!$C$5/12)^(Calculations!$B$1*12-Calculations!$A19))</f>
        <v>165387.90791640506</v>
      </c>
      <c r="R19" s="25">
        <f t="shared" si="17"/>
        <v>2604015.3604398584</v>
      </c>
      <c r="S19" s="25">
        <f t="shared" si="4"/>
        <v>7658807.2022047024</v>
      </c>
      <c r="T19" s="25">
        <f t="shared" si="18"/>
        <v>128019208.16971312</v>
      </c>
      <c r="U19" s="25">
        <f>S19/((1+'How much will I make'!$C$5/12)^(Calculations!$B$1*12-Calculations!$A19))</f>
        <v>1107806.0576374524</v>
      </c>
      <c r="V19" s="25">
        <f t="shared" si="19"/>
        <v>17964456.944748342</v>
      </c>
      <c r="W19" s="25">
        <f t="shared" si="5"/>
        <v>50904562.656199276</v>
      </c>
      <c r="X19" s="25">
        <f t="shared" si="20"/>
        <v>876804810.93568397</v>
      </c>
      <c r="Y19" s="25">
        <f>W19/((1+'How much will I make'!$C$5/12)^(Calculations!$B$1*12-Calculations!$A19))</f>
        <v>7363076.4403743464</v>
      </c>
      <c r="Z19" s="25">
        <f t="shared" si="21"/>
        <v>122999629.29645705</v>
      </c>
      <c r="AA19" s="25">
        <f t="shared" si="6"/>
        <v>335749344.35052055</v>
      </c>
      <c r="AB19" s="25">
        <f t="shared" si="22"/>
        <v>5960393342.3280735</v>
      </c>
      <c r="AC19" s="25">
        <f>AA19/((1+'How much will I make'!$C$5/12)^(Calculations!$B$1*12-Calculations!$A19))</f>
        <v>48564371.409197986</v>
      </c>
      <c r="AD19" s="25">
        <f t="shared" si="23"/>
        <v>835869615.59514546</v>
      </c>
      <c r="AE19" s="25">
        <f t="shared" si="7"/>
        <v>2197675120.8274021</v>
      </c>
      <c r="AF19" s="25">
        <f t="shared" si="24"/>
        <v>40217641346.785492</v>
      </c>
      <c r="AG19" s="25">
        <f>AE19/((1+'How much will I make'!$C$5/12)^(Calculations!$B$1*12-Calculations!$A19))</f>
        <v>317882112.35698438</v>
      </c>
      <c r="AH19" s="25">
        <f t="shared" si="25"/>
        <v>5638243320.146904</v>
      </c>
    </row>
    <row r="20" spans="1:34">
      <c r="A20" s="22">
        <f t="shared" si="8"/>
        <v>16</v>
      </c>
      <c r="B20" s="22">
        <f t="shared" si="26"/>
        <v>525</v>
      </c>
      <c r="C20" s="25">
        <f t="shared" si="0"/>
        <v>3614.5222622483957</v>
      </c>
      <c r="D20" s="25">
        <f t="shared" si="10"/>
        <v>57526.356523875227</v>
      </c>
      <c r="E20" s="25">
        <f>$C20/((1+'How much will I make'!$C$5/12)^(Calculations!$B$1*12-Calculations!$A20))</f>
        <v>525</v>
      </c>
      <c r="F20" s="25">
        <f t="shared" si="11"/>
        <v>8100</v>
      </c>
      <c r="G20" s="25">
        <f t="shared" si="1"/>
        <v>24687.264160615709</v>
      </c>
      <c r="H20" s="25">
        <f t="shared" si="12"/>
        <v>405399.61456605926</v>
      </c>
      <c r="I20" s="25">
        <f>G20/((1+'How much will I make'!$C$5/12)^(Calculations!$B$1*12-Calculations!$A20))</f>
        <v>3585.7611999492947</v>
      </c>
      <c r="J20" s="25">
        <f t="shared" si="13"/>
        <v>57061.230889353574</v>
      </c>
      <c r="K20" s="25">
        <f t="shared" si="2"/>
        <v>167283.88224911544</v>
      </c>
      <c r="L20" s="25">
        <f t="shared" si="14"/>
        <v>2835054.7727862615</v>
      </c>
      <c r="M20" s="25">
        <f>K20/((1+'How much will I make'!$C$5/12)^(Calculations!$B$1*12-Calculations!$A20))</f>
        <v>24297.550771247734</v>
      </c>
      <c r="N20" s="25">
        <f t="shared" si="15"/>
        <v>398895.94789829303</v>
      </c>
      <c r="O20" s="25">
        <f t="shared" si="3"/>
        <v>1124663.4214832059</v>
      </c>
      <c r="P20" s="25">
        <f t="shared" si="16"/>
        <v>19675595.447798185</v>
      </c>
      <c r="Q20" s="25">
        <f>O20/((1+'How much will I make'!$C$5/12)^(Calculations!$B$1*12-Calculations!$A20))</f>
        <v>163354.45003218701</v>
      </c>
      <c r="R20" s="25">
        <f t="shared" si="17"/>
        <v>2767369.8104720456</v>
      </c>
      <c r="S20" s="25">
        <f t="shared" si="4"/>
        <v>7502505.014404607</v>
      </c>
      <c r="T20" s="25">
        <f t="shared" si="18"/>
        <v>135521713.18411773</v>
      </c>
      <c r="U20" s="25">
        <f>S20/((1+'How much will I make'!$C$5/12)^(Calculations!$B$1*12-Calculations!$A20))</f>
        <v>1089719.4281250043</v>
      </c>
      <c r="V20" s="25">
        <f t="shared" si="19"/>
        <v>19054176.372873347</v>
      </c>
      <c r="W20" s="25">
        <f t="shared" si="5"/>
        <v>49662987.957267582</v>
      </c>
      <c r="X20" s="25">
        <f t="shared" si="20"/>
        <v>926467798.89295149</v>
      </c>
      <c r="Y20" s="25">
        <f>W20/((1+'How much will I make'!$C$5/12)^(Calculations!$B$1*12-Calculations!$A20))</f>
        <v>7213420.4151634844</v>
      </c>
      <c r="Z20" s="25">
        <f t="shared" si="21"/>
        <v>130213049.71162054</v>
      </c>
      <c r="AA20" s="25">
        <f t="shared" si="6"/>
        <v>326234180.74544513</v>
      </c>
      <c r="AB20" s="25">
        <f t="shared" si="22"/>
        <v>6286627523.0735188</v>
      </c>
      <c r="AC20" s="25">
        <f>AA20/((1+'How much will I make'!$C$5/12)^(Calculations!$B$1*12-Calculations!$A20))</f>
        <v>47384670.079419903</v>
      </c>
      <c r="AD20" s="25">
        <f t="shared" si="23"/>
        <v>883254285.67456532</v>
      </c>
      <c r="AE20" s="25">
        <f t="shared" si="7"/>
        <v>2126782374.9942598</v>
      </c>
      <c r="AF20" s="25">
        <f t="shared" si="24"/>
        <v>42344423721.779755</v>
      </c>
      <c r="AG20" s="25">
        <f>AE20/((1+'How much will I make'!$C$5/12)^(Calculations!$B$1*12-Calculations!$A20))</f>
        <v>308909633.37916625</v>
      </c>
      <c r="AH20" s="25">
        <f t="shared" si="25"/>
        <v>5947152953.5260706</v>
      </c>
    </row>
    <row r="21" spans="1:34" ht="15.75" customHeight="1">
      <c r="A21" s="22">
        <f t="shared" si="8"/>
        <v>17</v>
      </c>
      <c r="B21" s="22">
        <f t="shared" si="26"/>
        <v>525</v>
      </c>
      <c r="C21" s="25">
        <f t="shared" si="0"/>
        <v>3599.5242445627177</v>
      </c>
      <c r="D21" s="25">
        <f t="shared" si="10"/>
        <v>61125.880768437943</v>
      </c>
      <c r="E21" s="25">
        <f>$C21/((1+'How much will I make'!$C$5/12)^(Calculations!$B$1*12-Calculations!$A21))</f>
        <v>525</v>
      </c>
      <c r="F21" s="25">
        <f t="shared" si="11"/>
        <v>8625</v>
      </c>
      <c r="G21" s="25">
        <f t="shared" si="1"/>
        <v>24483.237184081696</v>
      </c>
      <c r="H21" s="25">
        <f t="shared" si="12"/>
        <v>429882.85175014095</v>
      </c>
      <c r="I21" s="25">
        <f>G21/((1+'How much will I make'!$C$5/12)^(Calculations!$B$1*12-Calculations!$A21))</f>
        <v>3570.9440049081823</v>
      </c>
      <c r="J21" s="25">
        <f t="shared" si="13"/>
        <v>60632.174894261756</v>
      </c>
      <c r="K21" s="25">
        <f t="shared" si="2"/>
        <v>165218.64913492877</v>
      </c>
      <c r="L21" s="25">
        <f t="shared" si="14"/>
        <v>3000273.4219211903</v>
      </c>
      <c r="M21" s="25">
        <f>K21/((1+'How much will I make'!$C$5/12)^(Calculations!$B$1*12-Calculations!$A21))</f>
        <v>24097.570929509056</v>
      </c>
      <c r="N21" s="25">
        <f t="shared" si="15"/>
        <v>422993.51882780209</v>
      </c>
      <c r="O21" s="25">
        <f t="shared" si="3"/>
        <v>1106226.3162129892</v>
      </c>
      <c r="P21" s="25">
        <f t="shared" si="16"/>
        <v>20781821.764011174</v>
      </c>
      <c r="Q21" s="25">
        <f>O21/((1+'How much will I make'!$C$5/12)^(Calculations!$B$1*12-Calculations!$A21))</f>
        <v>161345.9936793322</v>
      </c>
      <c r="R21" s="25">
        <f t="shared" si="17"/>
        <v>2928715.8041513776</v>
      </c>
      <c r="S21" s="25">
        <f t="shared" si="4"/>
        <v>7349392.6671718601</v>
      </c>
      <c r="T21" s="25">
        <f t="shared" si="18"/>
        <v>142871105.8512896</v>
      </c>
      <c r="U21" s="25">
        <f>S21/((1+'How much will I make'!$C$5/12)^(Calculations!$B$1*12-Calculations!$A21))</f>
        <v>1071928.0905229633</v>
      </c>
      <c r="V21" s="25">
        <f t="shared" si="19"/>
        <v>20126104.463396311</v>
      </c>
      <c r="W21" s="25">
        <f t="shared" si="5"/>
        <v>48451695.568065949</v>
      </c>
      <c r="X21" s="25">
        <f t="shared" si="20"/>
        <v>974919494.46101749</v>
      </c>
      <c r="Y21" s="25">
        <f>W21/((1+'How much will I make'!$C$5/12)^(Calculations!$B$1*12-Calculations!$A21))</f>
        <v>7066806.1790829282</v>
      </c>
      <c r="Z21" s="25">
        <f t="shared" si="21"/>
        <v>137279855.89070347</v>
      </c>
      <c r="AA21" s="25">
        <f t="shared" si="6"/>
        <v>316988677.64739621</v>
      </c>
      <c r="AB21" s="25">
        <f t="shared" si="22"/>
        <v>6603616200.7209148</v>
      </c>
      <c r="AC21" s="25">
        <f>AA21/((1+'How much will I make'!$C$5/12)^(Calculations!$B$1*12-Calculations!$A21))</f>
        <v>46233625.462106071</v>
      </c>
      <c r="AD21" s="25">
        <f t="shared" si="23"/>
        <v>929487911.13667142</v>
      </c>
      <c r="AE21" s="25">
        <f t="shared" si="7"/>
        <v>2058176491.9299283</v>
      </c>
      <c r="AF21" s="25">
        <f t="shared" si="24"/>
        <v>44402600213.709686</v>
      </c>
      <c r="AG21" s="25">
        <f>AE21/((1+'How much will I make'!$C$5/12)^(Calculations!$B$1*12-Calculations!$A21))</f>
        <v>300190409.85636705</v>
      </c>
      <c r="AH21" s="25">
        <f t="shared" si="25"/>
        <v>6247343363.3824377</v>
      </c>
    </row>
    <row r="22" spans="1:34" ht="15.75" customHeight="1">
      <c r="A22" s="22">
        <f t="shared" si="8"/>
        <v>18</v>
      </c>
      <c r="B22" s="22">
        <f t="shared" si="26"/>
        <v>525</v>
      </c>
      <c r="C22" s="25">
        <f t="shared" si="0"/>
        <v>3584.5884593155693</v>
      </c>
      <c r="D22" s="25">
        <f t="shared" si="10"/>
        <v>64710.469227753514</v>
      </c>
      <c r="E22" s="25">
        <f>$C22/((1+'How much will I make'!$C$5/12)^(Calculations!$B$1*12-Calculations!$A22))</f>
        <v>525</v>
      </c>
      <c r="F22" s="25">
        <f t="shared" si="11"/>
        <v>9150</v>
      </c>
      <c r="G22" s="25">
        <f t="shared" si="1"/>
        <v>24280.896380907467</v>
      </c>
      <c r="H22" s="25">
        <f t="shared" si="12"/>
        <v>454163.7481310484</v>
      </c>
      <c r="I22" s="25">
        <f>G22/((1+'How much will I make'!$C$5/12)^(Calculations!$B$1*12-Calculations!$A22))</f>
        <v>3556.1880379457521</v>
      </c>
      <c r="J22" s="25">
        <f t="shared" si="13"/>
        <v>64188.362932207507</v>
      </c>
      <c r="K22" s="25">
        <f t="shared" si="2"/>
        <v>163178.91272585563</v>
      </c>
      <c r="L22" s="25">
        <f t="shared" si="14"/>
        <v>3163452.3346470459</v>
      </c>
      <c r="M22" s="25">
        <f>K22/((1+'How much will I make'!$C$5/12)^(Calculations!$B$1*12-Calculations!$A22))</f>
        <v>23899.237012393769</v>
      </c>
      <c r="N22" s="25">
        <f t="shared" si="15"/>
        <v>446892.75584019587</v>
      </c>
      <c r="O22" s="25">
        <f t="shared" si="3"/>
        <v>1088091.4585701537</v>
      </c>
      <c r="P22" s="25">
        <f t="shared" si="16"/>
        <v>21869913.222581327</v>
      </c>
      <c r="Q22" s="25">
        <f>O22/((1+'How much will I make'!$C$5/12)^(Calculations!$B$1*12-Calculations!$A22))</f>
        <v>159362.23146196344</v>
      </c>
      <c r="R22" s="25">
        <f t="shared" si="17"/>
        <v>3088078.0356133413</v>
      </c>
      <c r="S22" s="25">
        <f t="shared" si="4"/>
        <v>7199405.0617193747</v>
      </c>
      <c r="T22" s="25">
        <f t="shared" si="18"/>
        <v>150070510.91300899</v>
      </c>
      <c r="U22" s="25">
        <f>S22/((1+'How much will I make'!$C$5/12)^(Calculations!$B$1*12-Calculations!$A22))</f>
        <v>1054427.2237389155</v>
      </c>
      <c r="V22" s="25">
        <f t="shared" si="19"/>
        <v>21180531.687135227</v>
      </c>
      <c r="W22" s="25">
        <f t="shared" si="5"/>
        <v>47269946.89567408</v>
      </c>
      <c r="X22" s="25">
        <f t="shared" si="20"/>
        <v>1022189441.3566916</v>
      </c>
      <c r="Y22" s="25">
        <f>W22/((1+'How much will I make'!$C$5/12)^(Calculations!$B$1*12-Calculations!$A22))</f>
        <v>6923171.9071503468</v>
      </c>
      <c r="Z22" s="25">
        <f t="shared" si="21"/>
        <v>144203027.79785383</v>
      </c>
      <c r="AA22" s="25">
        <f t="shared" si="6"/>
        <v>308005192.85576957</v>
      </c>
      <c r="AB22" s="25">
        <f t="shared" si="22"/>
        <v>6911621393.576684</v>
      </c>
      <c r="AC22" s="25">
        <f>AA22/((1+'How much will I make'!$C$5/12)^(Calculations!$B$1*12-Calculations!$A22))</f>
        <v>45110541.442783661</v>
      </c>
      <c r="AD22" s="25">
        <f t="shared" si="23"/>
        <v>974598452.57945514</v>
      </c>
      <c r="AE22" s="25">
        <f t="shared" si="7"/>
        <v>1991783701.8676724</v>
      </c>
      <c r="AF22" s="25">
        <f t="shared" si="24"/>
        <v>46394383915.577362</v>
      </c>
      <c r="AG22" s="25">
        <f>AE22/((1+'How much will I make'!$C$5/12)^(Calculations!$B$1*12-Calculations!$A22))</f>
        <v>291717293.44913095</v>
      </c>
      <c r="AH22" s="25">
        <f t="shared" si="25"/>
        <v>6539060656.8315687</v>
      </c>
    </row>
    <row r="23" spans="1:34" ht="15.75" customHeight="1">
      <c r="A23" s="22">
        <f t="shared" si="8"/>
        <v>19</v>
      </c>
      <c r="B23" s="22">
        <f t="shared" si="26"/>
        <v>525</v>
      </c>
      <c r="C23" s="25">
        <f t="shared" si="0"/>
        <v>3569.714648281064</v>
      </c>
      <c r="D23" s="25">
        <f t="shared" si="10"/>
        <v>68280.183876034571</v>
      </c>
      <c r="E23" s="25">
        <f>$C23/((1+'How much will I make'!$C$5/12)^(Calculations!$B$1*12-Calculations!$A23))</f>
        <v>525</v>
      </c>
      <c r="F23" s="25">
        <f t="shared" si="11"/>
        <v>9675</v>
      </c>
      <c r="G23" s="25">
        <f t="shared" si="1"/>
        <v>24080.227815775997</v>
      </c>
      <c r="H23" s="25">
        <f t="shared" si="12"/>
        <v>478243.97594682442</v>
      </c>
      <c r="I23" s="25">
        <f>G23/((1+'How much will I make'!$C$5/12)^(Calculations!$B$1*12-Calculations!$A23))</f>
        <v>3541.4930460534147</v>
      </c>
      <c r="J23" s="25">
        <f t="shared" si="13"/>
        <v>67729.855978260923</v>
      </c>
      <c r="K23" s="25">
        <f t="shared" si="2"/>
        <v>161164.35824775862</v>
      </c>
      <c r="L23" s="25">
        <f t="shared" si="14"/>
        <v>3324616.6928948048</v>
      </c>
      <c r="M23" s="25">
        <f>K23/((1+'How much will I make'!$C$5/12)^(Calculations!$B$1*12-Calculations!$A23))</f>
        <v>23702.535473197113</v>
      </c>
      <c r="N23" s="25">
        <f t="shared" si="15"/>
        <v>470595.29131339298</v>
      </c>
      <c r="O23" s="25">
        <f t="shared" si="3"/>
        <v>1070253.8936755611</v>
      </c>
      <c r="P23" s="25">
        <f t="shared" si="16"/>
        <v>22940167.116256889</v>
      </c>
      <c r="Q23" s="25">
        <f>O23/((1+'How much will I make'!$C$5/12)^(Calculations!$B$1*12-Calculations!$A23))</f>
        <v>157402.85976366067</v>
      </c>
      <c r="R23" s="25">
        <f t="shared" si="17"/>
        <v>3245480.8953770017</v>
      </c>
      <c r="S23" s="25">
        <f t="shared" si="4"/>
        <v>7052478.4278067369</v>
      </c>
      <c r="T23" s="25">
        <f t="shared" si="18"/>
        <v>157122989.34081572</v>
      </c>
      <c r="U23" s="25">
        <f>S23/((1+'How much will I make'!$C$5/12)^(Calculations!$B$1*12-Calculations!$A23))</f>
        <v>1037212.0853921581</v>
      </c>
      <c r="V23" s="25">
        <f t="shared" si="19"/>
        <v>22217743.772527386</v>
      </c>
      <c r="W23" s="25">
        <f t="shared" si="5"/>
        <v>46117021.361633256</v>
      </c>
      <c r="X23" s="25">
        <f t="shared" si="20"/>
        <v>1068306462.7183249</v>
      </c>
      <c r="Y23" s="25">
        <f>W23/((1+'How much will I make'!$C$5/12)^(Calculations!$B$1*12-Calculations!$A23))</f>
        <v>6782457.0309887566</v>
      </c>
      <c r="Z23" s="25">
        <f t="shared" si="21"/>
        <v>150985484.82884258</v>
      </c>
      <c r="AA23" s="25">
        <f t="shared" si="6"/>
        <v>299276300.75054532</v>
      </c>
      <c r="AB23" s="25">
        <f t="shared" si="22"/>
        <v>7210897694.3272295</v>
      </c>
      <c r="AC23" s="25">
        <f>AA23/((1+'How much will I make'!$C$5/12)^(Calculations!$B$1*12-Calculations!$A23))</f>
        <v>44014738.816643178</v>
      </c>
      <c r="AD23" s="25">
        <f t="shared" si="23"/>
        <v>1018613191.3960984</v>
      </c>
      <c r="AE23" s="25">
        <f t="shared" si="7"/>
        <v>1927532614.7106504</v>
      </c>
      <c r="AF23" s="25">
        <f t="shared" si="24"/>
        <v>48321916530.28801</v>
      </c>
      <c r="AG23" s="25">
        <f>AE23/((1+'How much will I make'!$C$5/12)^(Calculations!$B$1*12-Calculations!$A23))</f>
        <v>283483337.5856474</v>
      </c>
      <c r="AH23" s="25">
        <f t="shared" si="25"/>
        <v>6822543994.4172163</v>
      </c>
    </row>
    <row r="24" spans="1:34" ht="15.75" customHeight="1">
      <c r="A24" s="22">
        <f t="shared" si="8"/>
        <v>20</v>
      </c>
      <c r="B24" s="22">
        <f t="shared" si="26"/>
        <v>525</v>
      </c>
      <c r="C24" s="25">
        <f t="shared" si="0"/>
        <v>3554.9025543047946</v>
      </c>
      <c r="D24" s="25">
        <f t="shared" si="10"/>
        <v>71835.086430339361</v>
      </c>
      <c r="E24" s="25">
        <f>$C24/((1+'How much will I make'!$C$5/12)^(Calculations!$B$1*12-Calculations!$A24))</f>
        <v>525</v>
      </c>
      <c r="F24" s="25">
        <f t="shared" si="11"/>
        <v>10200</v>
      </c>
      <c r="G24" s="25">
        <f t="shared" si="1"/>
        <v>23881.217668538186</v>
      </c>
      <c r="H24" s="25">
        <f t="shared" si="12"/>
        <v>502125.19361536263</v>
      </c>
      <c r="I24" s="25">
        <f>G24/((1+'How much will I make'!$C$5/12)^(Calculations!$B$1*12-Calculations!$A24))</f>
        <v>3526.8587772680703</v>
      </c>
      <c r="J24" s="25">
        <f t="shared" si="13"/>
        <v>71256.714755528999</v>
      </c>
      <c r="K24" s="25">
        <f t="shared" si="2"/>
        <v>159174.67481260112</v>
      </c>
      <c r="L24" s="25">
        <f t="shared" si="14"/>
        <v>3483791.3677074057</v>
      </c>
      <c r="M24" s="25">
        <f>K24/((1+'How much will I make'!$C$5/12)^(Calculations!$B$1*12-Calculations!$A24))</f>
        <v>23507.452876709893</v>
      </c>
      <c r="N24" s="25">
        <f t="shared" si="15"/>
        <v>494102.74419010285</v>
      </c>
      <c r="O24" s="25">
        <f t="shared" si="3"/>
        <v>1052708.7478776008</v>
      </c>
      <c r="P24" s="25">
        <f t="shared" si="16"/>
        <v>23992875.86413449</v>
      </c>
      <c r="Q24" s="25">
        <f>O24/((1+'How much will I make'!$C$5/12)^(Calculations!$B$1*12-Calculations!$A24))</f>
        <v>155467.57870099266</v>
      </c>
      <c r="R24" s="25">
        <f t="shared" si="17"/>
        <v>3400948.4740779945</v>
      </c>
      <c r="S24" s="25">
        <f t="shared" si="4"/>
        <v>6908550.2966270065</v>
      </c>
      <c r="T24" s="25">
        <f t="shared" si="18"/>
        <v>164031539.63744274</v>
      </c>
      <c r="U24" s="25">
        <f>S24/((1+'How much will I make'!$C$5/12)^(Calculations!$B$1*12-Calculations!$A24))</f>
        <v>1020278.0105286124</v>
      </c>
      <c r="V24" s="25">
        <f t="shared" si="19"/>
        <v>23238021.783055998</v>
      </c>
      <c r="W24" s="25">
        <f t="shared" si="5"/>
        <v>44992215.962569036</v>
      </c>
      <c r="X24" s="25">
        <f t="shared" si="20"/>
        <v>1113298678.6808939</v>
      </c>
      <c r="Y24" s="25">
        <f>W24/((1+'How much will I make'!$C$5/12)^(Calculations!$B$1*12-Calculations!$A24))</f>
        <v>6644602.213285733</v>
      </c>
      <c r="Z24" s="25">
        <f t="shared" si="21"/>
        <v>157630087.04212832</v>
      </c>
      <c r="AA24" s="25">
        <f t="shared" si="6"/>
        <v>290794786.15437609</v>
      </c>
      <c r="AB24" s="25">
        <f t="shared" si="22"/>
        <v>7501692480.4816055</v>
      </c>
      <c r="AC24" s="25">
        <f>AA24/((1+'How much will I make'!$C$5/12)^(Calculations!$B$1*12-Calculations!$A24))</f>
        <v>42945554.877777353</v>
      </c>
      <c r="AD24" s="25">
        <f t="shared" si="23"/>
        <v>1061558746.2738757</v>
      </c>
      <c r="AE24" s="25">
        <f t="shared" si="7"/>
        <v>1865354143.2683718</v>
      </c>
      <c r="AF24" s="25">
        <f t="shared" si="24"/>
        <v>50187270673.556381</v>
      </c>
      <c r="AG24" s="25">
        <f>AE24/((1+'How much will I make'!$C$5/12)^(Calculations!$B$1*12-Calculations!$A24))</f>
        <v>275481791.7666977</v>
      </c>
      <c r="AH24" s="25">
        <f t="shared" si="25"/>
        <v>7098025786.1839142</v>
      </c>
    </row>
    <row r="25" spans="1:34" ht="15.75" customHeight="1">
      <c r="A25" s="22">
        <f t="shared" si="8"/>
        <v>21</v>
      </c>
      <c r="B25" s="22">
        <f t="shared" si="26"/>
        <v>525</v>
      </c>
      <c r="C25" s="25">
        <f t="shared" si="0"/>
        <v>3540.1519212993799</v>
      </c>
      <c r="D25" s="25">
        <f t="shared" si="10"/>
        <v>75375.238351638734</v>
      </c>
      <c r="E25" s="25">
        <f>$C25/((1+'How much will I make'!$C$5/12)^(Calculations!$B$1*12-Calculations!$A25))</f>
        <v>525</v>
      </c>
      <c r="F25" s="25">
        <f t="shared" si="11"/>
        <v>10725</v>
      </c>
      <c r="G25" s="25">
        <f t="shared" si="1"/>
        <v>23683.852233261008</v>
      </c>
      <c r="H25" s="25">
        <f t="shared" si="12"/>
        <v>525809.04584862362</v>
      </c>
      <c r="I25" s="25">
        <f>G25/((1+'How much will I make'!$C$5/12)^(Calculations!$B$1*12-Calculations!$A25))</f>
        <v>3512.2849806677891</v>
      </c>
      <c r="J25" s="25">
        <f t="shared" si="13"/>
        <v>74768.999736196783</v>
      </c>
      <c r="K25" s="25">
        <f t="shared" si="2"/>
        <v>157209.55537047022</v>
      </c>
      <c r="L25" s="25">
        <f t="shared" si="14"/>
        <v>3641000.9230778757</v>
      </c>
      <c r="M25" s="25">
        <f>K25/((1+'How much will I make'!$C$5/12)^(Calculations!$B$1*12-Calculations!$A25))</f>
        <v>23313.97589830076</v>
      </c>
      <c r="N25" s="25">
        <f t="shared" si="15"/>
        <v>517416.72008840361</v>
      </c>
      <c r="O25" s="25">
        <f t="shared" si="3"/>
        <v>1035451.2274205909</v>
      </c>
      <c r="P25" s="25">
        <f t="shared" si="16"/>
        <v>25028327.091555081</v>
      </c>
      <c r="Q25" s="25">
        <f>O25/((1+'How much will I make'!$C$5/12)^(Calculations!$B$1*12-Calculations!$A25))</f>
        <v>153556.0920776198</v>
      </c>
      <c r="R25" s="25">
        <f t="shared" si="17"/>
        <v>3554504.5661556143</v>
      </c>
      <c r="S25" s="25">
        <f t="shared" si="4"/>
        <v>6767559.4742468633</v>
      </c>
      <c r="T25" s="25">
        <f t="shared" si="18"/>
        <v>170799099.1116896</v>
      </c>
      <c r="U25" s="25">
        <f>S25/((1+'How much will I make'!$C$5/12)^(Calculations!$B$1*12-Calculations!$A25))</f>
        <v>1003620.4103567168</v>
      </c>
      <c r="V25" s="25">
        <f t="shared" si="19"/>
        <v>24241642.193412714</v>
      </c>
      <c r="W25" s="25">
        <f t="shared" si="5"/>
        <v>43894844.841530763</v>
      </c>
      <c r="X25" s="25">
        <f t="shared" si="20"/>
        <v>1157193523.5224247</v>
      </c>
      <c r="Y25" s="25">
        <f>W25/((1+'How much will I make'!$C$5/12)^(Calculations!$B$1*12-Calculations!$A25))</f>
        <v>6509549.322771796</v>
      </c>
      <c r="Z25" s="25">
        <f t="shared" si="21"/>
        <v>164139636.36490011</v>
      </c>
      <c r="AA25" s="25">
        <f t="shared" si="6"/>
        <v>282553638.36862469</v>
      </c>
      <c r="AB25" s="25">
        <f t="shared" si="22"/>
        <v>7784246118.8502302</v>
      </c>
      <c r="AC25" s="25">
        <f>AA25/((1+'How much will I make'!$C$5/12)^(Calculations!$B$1*12-Calculations!$A25))</f>
        <v>41902343.018398181</v>
      </c>
      <c r="AD25" s="25">
        <f t="shared" si="23"/>
        <v>1103461089.292274</v>
      </c>
      <c r="AE25" s="25">
        <f t="shared" si="7"/>
        <v>1805181428.9693913</v>
      </c>
      <c r="AF25" s="25">
        <f t="shared" si="24"/>
        <v>51992452102.525772</v>
      </c>
      <c r="AG25" s="25">
        <f>AE25/((1+'How much will I make'!$C$5/12)^(Calculations!$B$1*12-Calculations!$A25))</f>
        <v>267706096.0313473</v>
      </c>
      <c r="AH25" s="25">
        <f t="shared" si="25"/>
        <v>7365731882.2152615</v>
      </c>
    </row>
    <row r="26" spans="1:34" ht="15.75" customHeight="1">
      <c r="A26" s="22">
        <f t="shared" si="8"/>
        <v>22</v>
      </c>
      <c r="B26" s="22">
        <f t="shared" si="26"/>
        <v>525</v>
      </c>
      <c r="C26" s="25">
        <f t="shared" si="0"/>
        <v>3525.4624942400474</v>
      </c>
      <c r="D26" s="25">
        <f t="shared" si="10"/>
        <v>78900.700845878775</v>
      </c>
      <c r="E26" s="25">
        <f>$C26/((1+'How much will I make'!$C$5/12)^(Calculations!$B$1*12-Calculations!$A26))</f>
        <v>525</v>
      </c>
      <c r="F26" s="25">
        <f t="shared" si="11"/>
        <v>11250</v>
      </c>
      <c r="G26" s="25">
        <f t="shared" si="1"/>
        <v>23488.117917283646</v>
      </c>
      <c r="H26" s="25">
        <f t="shared" si="12"/>
        <v>549297.16376590729</v>
      </c>
      <c r="I26" s="25">
        <f>G26/((1+'How much will I make'!$C$5/12)^(Calculations!$B$1*12-Calculations!$A26))</f>
        <v>3497.7714063675085</v>
      </c>
      <c r="J26" s="25">
        <f t="shared" si="13"/>
        <v>78266.771142564292</v>
      </c>
      <c r="K26" s="25">
        <f t="shared" si="2"/>
        <v>155268.69666219284</v>
      </c>
      <c r="L26" s="25">
        <f t="shared" si="14"/>
        <v>3796269.6197400684</v>
      </c>
      <c r="M26" s="25">
        <f>K26/((1+'How much will I make'!$C$5/12)^(Calculations!$B$1*12-Calculations!$A26))</f>
        <v>23122.091323006101</v>
      </c>
      <c r="N26" s="25">
        <f t="shared" si="15"/>
        <v>540538.81141140976</v>
      </c>
      <c r="O26" s="25">
        <f t="shared" si="3"/>
        <v>1018476.6171350077</v>
      </c>
      <c r="P26" s="25">
        <f t="shared" si="16"/>
        <v>26046803.708690088</v>
      </c>
      <c r="Q26" s="25">
        <f>O26/((1+'How much will I make'!$C$5/12)^(Calculations!$B$1*12-Calculations!$A26))</f>
        <v>151668.10733896054</v>
      </c>
      <c r="R26" s="25">
        <f t="shared" si="17"/>
        <v>3706172.6734945751</v>
      </c>
      <c r="S26" s="25">
        <f t="shared" si="4"/>
        <v>6629446.015588765</v>
      </c>
      <c r="T26" s="25">
        <f t="shared" si="18"/>
        <v>177428545.12727836</v>
      </c>
      <c r="U26" s="25">
        <f>S26/((1+'How much will I make'!$C$5/12)^(Calculations!$B$1*12-Calculations!$A26))</f>
        <v>987234.771003954</v>
      </c>
      <c r="V26" s="25">
        <f t="shared" si="19"/>
        <v>25228876.964416668</v>
      </c>
      <c r="W26" s="25">
        <f t="shared" si="5"/>
        <v>42824238.869786114</v>
      </c>
      <c r="X26" s="25">
        <f t="shared" si="20"/>
        <v>1200017762.3922107</v>
      </c>
      <c r="Y26" s="25">
        <f>W26/((1+'How much will I make'!$C$5/12)^(Calculations!$B$1*12-Calculations!$A26))</f>
        <v>6377241.4097073274</v>
      </c>
      <c r="Z26" s="25">
        <f t="shared" si="21"/>
        <v>170516877.77460745</v>
      </c>
      <c r="AA26" s="25">
        <f t="shared" si="6"/>
        <v>274546045.37842071</v>
      </c>
      <c r="AB26" s="25">
        <f t="shared" si="22"/>
        <v>8058792164.228651</v>
      </c>
      <c r="AC26" s="25">
        <f>AA26/((1+'How much will I make'!$C$5/12)^(Calculations!$B$1*12-Calculations!$A26))</f>
        <v>40884472.337789297</v>
      </c>
      <c r="AD26" s="25">
        <f t="shared" si="23"/>
        <v>1144345561.6300633</v>
      </c>
      <c r="AE26" s="25">
        <f t="shared" si="7"/>
        <v>1746949769.9703784</v>
      </c>
      <c r="AF26" s="25">
        <f t="shared" si="24"/>
        <v>53739401872.496147</v>
      </c>
      <c r="AG26" s="25">
        <f>AE26/((1+'How much will I make'!$C$5/12)^(Calculations!$B$1*12-Calculations!$A26))</f>
        <v>260149875.57884946</v>
      </c>
      <c r="AH26" s="25">
        <f t="shared" si="25"/>
        <v>7625881757.7941113</v>
      </c>
    </row>
    <row r="27" spans="1:34" ht="15.75" customHeight="1">
      <c r="A27" s="22">
        <f t="shared" si="8"/>
        <v>23</v>
      </c>
      <c r="B27" s="22">
        <f t="shared" si="26"/>
        <v>525</v>
      </c>
      <c r="C27" s="25">
        <f t="shared" si="0"/>
        <v>3510.8340191602124</v>
      </c>
      <c r="D27" s="25">
        <f t="shared" si="10"/>
        <v>82411.534865038993</v>
      </c>
      <c r="E27" s="25">
        <f>$C27/((1+'How much will I make'!$C$5/12)^(Calculations!$B$1*12-Calculations!$A27))</f>
        <v>525</v>
      </c>
      <c r="F27" s="25">
        <f t="shared" si="11"/>
        <v>11775</v>
      </c>
      <c r="G27" s="25">
        <f t="shared" si="1"/>
        <v>23294.001240281301</v>
      </c>
      <c r="H27" s="25">
        <f t="shared" si="12"/>
        <v>572591.16500618856</v>
      </c>
      <c r="I27" s="25">
        <f>G27/((1+'How much will I make'!$C$5/12)^(Calculations!$B$1*12-Calculations!$A27))</f>
        <v>3483.3178055147505</v>
      </c>
      <c r="J27" s="25">
        <f t="shared" si="13"/>
        <v>81750.088948079036</v>
      </c>
      <c r="K27" s="25">
        <f t="shared" si="2"/>
        <v>153351.79917253612</v>
      </c>
      <c r="L27" s="25">
        <f t="shared" si="14"/>
        <v>3949621.4189126045</v>
      </c>
      <c r="M27" s="25">
        <f>K27/((1+'How much will I make'!$C$5/12)^(Calculations!$B$1*12-Calculations!$A27))</f>
        <v>22931.78604462745</v>
      </c>
      <c r="N27" s="25">
        <f t="shared" si="15"/>
        <v>563470.59745603718</v>
      </c>
      <c r="O27" s="25">
        <f t="shared" si="3"/>
        <v>1001780.279149188</v>
      </c>
      <c r="P27" s="25">
        <f t="shared" si="16"/>
        <v>27048583.987839278</v>
      </c>
      <c r="Q27" s="25">
        <f>O27/((1+'How much will I make'!$C$5/12)^(Calculations!$B$1*12-Calculations!$A27))</f>
        <v>149803.33552741597</v>
      </c>
      <c r="R27" s="25">
        <f t="shared" si="17"/>
        <v>3855976.0090219909</v>
      </c>
      <c r="S27" s="25">
        <f t="shared" si="4"/>
        <v>6494151.1989440983</v>
      </c>
      <c r="T27" s="25">
        <f t="shared" si="18"/>
        <v>183922696.32622245</v>
      </c>
      <c r="U27" s="25">
        <f>S27/((1+'How much will I make'!$C$5/12)^(Calculations!$B$1*12-Calculations!$A27))</f>
        <v>971116.65229368582</v>
      </c>
      <c r="V27" s="25">
        <f t="shared" si="19"/>
        <v>26199993.616710354</v>
      </c>
      <c r="W27" s="25">
        <f t="shared" si="5"/>
        <v>41779745.238815725</v>
      </c>
      <c r="X27" s="25">
        <f t="shared" si="20"/>
        <v>1241797507.6310265</v>
      </c>
      <c r="Y27" s="25">
        <f>W27/((1+'How much will I make'!$C$5/12)^(Calculations!$B$1*12-Calculations!$A27))</f>
        <v>6247622.6818677494</v>
      </c>
      <c r="Z27" s="25">
        <f t="shared" si="21"/>
        <v>176764500.4564752</v>
      </c>
      <c r="AA27" s="25">
        <f t="shared" si="6"/>
        <v>266765388.22194725</v>
      </c>
      <c r="AB27" s="25">
        <f t="shared" si="22"/>
        <v>8325557552.4505987</v>
      </c>
      <c r="AC27" s="25">
        <f>AA27/((1+'How much will I make'!$C$5/12)^(Calculations!$B$1*12-Calculations!$A27))</f>
        <v>39891327.260757983</v>
      </c>
      <c r="AD27" s="25">
        <f t="shared" si="23"/>
        <v>1184236888.8908212</v>
      </c>
      <c r="AE27" s="25">
        <f t="shared" si="7"/>
        <v>1690596551.5842373</v>
      </c>
      <c r="AF27" s="25">
        <f t="shared" si="24"/>
        <v>55429998424.080383</v>
      </c>
      <c r="AG27" s="25">
        <f>AE27/((1+'How much will I make'!$C$5/12)^(Calculations!$B$1*12-Calculations!$A27))</f>
        <v>252806935.54234976</v>
      </c>
      <c r="AH27" s="25">
        <f t="shared" si="25"/>
        <v>7878688693.3364611</v>
      </c>
    </row>
    <row r="28" spans="1:34" ht="15.75" customHeight="1">
      <c r="A28" s="22">
        <f t="shared" si="8"/>
        <v>24</v>
      </c>
      <c r="B28" s="22">
        <f t="shared" si="26"/>
        <v>525</v>
      </c>
      <c r="C28" s="25">
        <f t="shared" si="0"/>
        <v>3496.2662431470999</v>
      </c>
      <c r="D28" s="25">
        <f t="shared" si="10"/>
        <v>85907.80110818609</v>
      </c>
      <c r="E28" s="25">
        <f>$C28/((1+'How much will I make'!$C$5/12)^(Calculations!$B$1*12-Calculations!$A28))</f>
        <v>525</v>
      </c>
      <c r="F28" s="25">
        <f t="shared" si="11"/>
        <v>12300</v>
      </c>
      <c r="G28" s="25">
        <f t="shared" si="1"/>
        <v>23101.488833336829</v>
      </c>
      <c r="H28" s="25">
        <f t="shared" si="12"/>
        <v>595692.65383952542</v>
      </c>
      <c r="I28" s="25">
        <f>G28/((1+'How much will I make'!$C$5/12)^(Calculations!$B$1*12-Calculations!$A28))</f>
        <v>3468.9239302853507</v>
      </c>
      <c r="J28" s="25">
        <f t="shared" si="13"/>
        <v>85219.012878364389</v>
      </c>
      <c r="K28" s="25">
        <f t="shared" si="2"/>
        <v>151458.5670839863</v>
      </c>
      <c r="L28" s="25">
        <f t="shared" si="14"/>
        <v>4101079.9859965909</v>
      </c>
      <c r="M28" s="25">
        <f>K28/((1+'How much will I make'!$C$5/12)^(Calculations!$B$1*12-Calculations!$A28))</f>
        <v>22743.047064836275</v>
      </c>
      <c r="N28" s="25">
        <f t="shared" si="15"/>
        <v>586213.64452087344</v>
      </c>
      <c r="O28" s="25">
        <f t="shared" si="3"/>
        <v>985357.65162215207</v>
      </c>
      <c r="P28" s="25">
        <f t="shared" si="16"/>
        <v>28033941.639461432</v>
      </c>
      <c r="Q28" s="25">
        <f>O28/((1+'How much will I make'!$C$5/12)^(Calculations!$B$1*12-Calculations!$A28))</f>
        <v>147961.49123814446</v>
      </c>
      <c r="R28" s="25">
        <f t="shared" si="17"/>
        <v>4003937.5002601352</v>
      </c>
      <c r="S28" s="25">
        <f t="shared" si="4"/>
        <v>6361617.5010064635</v>
      </c>
      <c r="T28" s="25">
        <f t="shared" si="18"/>
        <v>190284313.8272289</v>
      </c>
      <c r="U28" s="25">
        <f>S28/((1+'How much will I make'!$C$5/12)^(Calculations!$B$1*12-Calculations!$A28))</f>
        <v>955261.68654195208</v>
      </c>
      <c r="V28" s="25">
        <f t="shared" si="19"/>
        <v>27155255.303252306</v>
      </c>
      <c r="W28" s="25">
        <f t="shared" si="5"/>
        <v>40760727.062259242</v>
      </c>
      <c r="X28" s="25">
        <f t="shared" si="20"/>
        <v>1282558234.6932857</v>
      </c>
      <c r="Y28" s="25">
        <f>W28/((1+'How much will I make'!$C$5/12)^(Calculations!$B$1*12-Calculations!$A28))</f>
        <v>6120638.4810167775</v>
      </c>
      <c r="Z28" s="25">
        <f t="shared" si="21"/>
        <v>182885138.93749198</v>
      </c>
      <c r="AA28" s="25">
        <f t="shared" si="6"/>
        <v>259205235.519301</v>
      </c>
      <c r="AB28" s="25">
        <f t="shared" si="22"/>
        <v>8584762787.9699001</v>
      </c>
      <c r="AC28" s="25">
        <f>AA28/((1+'How much will I make'!$C$5/12)^(Calculations!$B$1*12-Calculations!$A28))</f>
        <v>38922307.16535496</v>
      </c>
      <c r="AD28" s="25">
        <f t="shared" si="23"/>
        <v>1223159196.0561762</v>
      </c>
      <c r="AE28" s="25">
        <f t="shared" si="7"/>
        <v>1636061178.9524877</v>
      </c>
      <c r="AF28" s="25">
        <f t="shared" si="24"/>
        <v>57066059603.032867</v>
      </c>
      <c r="AG28" s="25">
        <f>AE28/((1+'How much will I make'!$C$5/12)^(Calculations!$B$1*12-Calculations!$A28))</f>
        <v>245671255.910106</v>
      </c>
      <c r="AH28" s="25">
        <f t="shared" si="25"/>
        <v>8124359949.2465668</v>
      </c>
    </row>
    <row r="29" spans="1:34" ht="15.75" customHeight="1">
      <c r="A29" s="22">
        <f t="shared" si="8"/>
        <v>25</v>
      </c>
      <c r="B29" s="22">
        <f>B28*(1+'How much will I make'!$C$4)</f>
        <v>551.25</v>
      </c>
      <c r="C29" s="25">
        <f t="shared" si="0"/>
        <v>3655.8468600542292</v>
      </c>
      <c r="D29" s="25">
        <f t="shared" si="10"/>
        <v>89563.647968240315</v>
      </c>
      <c r="E29" s="25">
        <f>$C29/((1+'How much will I make'!$C$5/12)^(Calculations!$B$1*12-Calculations!$A29))</f>
        <v>551.25</v>
      </c>
      <c r="F29" s="25">
        <f t="shared" si="11"/>
        <v>12851.25</v>
      </c>
      <c r="G29" s="25">
        <f t="shared" si="1"/>
        <v>24056.095809920997</v>
      </c>
      <c r="H29" s="25">
        <f t="shared" si="12"/>
        <v>619748.74964944646</v>
      </c>
      <c r="I29" s="25">
        <f>G29/((1+'How much will I make'!$C$5/12)^(Calculations!$B$1*12-Calculations!$A29))</f>
        <v>3627.3190105731737</v>
      </c>
      <c r="J29" s="25">
        <f t="shared" si="13"/>
        <v>88846.331888937566</v>
      </c>
      <c r="K29" s="25">
        <f t="shared" si="2"/>
        <v>157068.14364265246</v>
      </c>
      <c r="L29" s="25">
        <f t="shared" si="14"/>
        <v>4258148.1296392437</v>
      </c>
      <c r="M29" s="25">
        <f>K29/((1+'How much will I make'!$C$5/12)^(Calculations!$B$1*12-Calculations!$A29))</f>
        <v>23683.654566900492</v>
      </c>
      <c r="N29" s="25">
        <f t="shared" si="15"/>
        <v>609897.29908777389</v>
      </c>
      <c r="O29" s="25">
        <f t="shared" si="3"/>
        <v>1017664.4598720587</v>
      </c>
      <c r="P29" s="25">
        <f t="shared" si="16"/>
        <v>29051606.099333491</v>
      </c>
      <c r="Q29" s="25">
        <f>O29/((1+'How much will I make'!$C$5/12)^(Calculations!$B$1*12-Calculations!$A29))</f>
        <v>153449.40720414941</v>
      </c>
      <c r="R29" s="25">
        <f t="shared" si="17"/>
        <v>4157386.9074642844</v>
      </c>
      <c r="S29" s="25">
        <f t="shared" si="4"/>
        <v>6543378.0010352209</v>
      </c>
      <c r="T29" s="25">
        <f t="shared" si="18"/>
        <v>196827691.82826412</v>
      </c>
      <c r="U29" s="25">
        <f>S29/((1+'How much will I make'!$C$5/12)^(Calculations!$B$1*12-Calculations!$A29))</f>
        <v>986648.85624261643</v>
      </c>
      <c r="V29" s="25">
        <f t="shared" si="19"/>
        <v>28141904.159494922</v>
      </c>
      <c r="W29" s="25">
        <f t="shared" si="5"/>
        <v>41754891.136948504</v>
      </c>
      <c r="X29" s="25">
        <f t="shared" si="20"/>
        <v>1324313125.8302343</v>
      </c>
      <c r="Y29" s="25">
        <f>W29/((1+'How much will I make'!$C$5/12)^(Calculations!$B$1*12-Calculations!$A29))</f>
        <v>6296047.0228507966</v>
      </c>
      <c r="Z29" s="25">
        <f t="shared" si="21"/>
        <v>189181185.96034276</v>
      </c>
      <c r="AA29" s="25">
        <f t="shared" si="6"/>
        <v>264452305.06422621</v>
      </c>
      <c r="AB29" s="25">
        <f t="shared" si="22"/>
        <v>8849215093.0341263</v>
      </c>
      <c r="AC29" s="25">
        <f>AA29/((1+'How much will I make'!$C$5/12)^(Calculations!$B$1*12-Calculations!$A29))</f>
        <v>39875667.32061974</v>
      </c>
      <c r="AD29" s="25">
        <f t="shared" si="23"/>
        <v>1263034863.376796</v>
      </c>
      <c r="AE29" s="25">
        <f t="shared" si="7"/>
        <v>1662449262.4839792</v>
      </c>
      <c r="AF29" s="25">
        <f t="shared" si="24"/>
        <v>58728508865.516846</v>
      </c>
      <c r="AG29" s="25">
        <f>AE29/((1+'How much will I make'!$C$5/12)^(Calculations!$B$1*12-Calculations!$A29))</f>
        <v>250673835.91956577</v>
      </c>
      <c r="AH29" s="25">
        <f t="shared" si="25"/>
        <v>8375033785.1661329</v>
      </c>
    </row>
    <row r="30" spans="1:34" ht="15.75" customHeight="1">
      <c r="A30" s="22">
        <f t="shared" si="8"/>
        <v>26</v>
      </c>
      <c r="B30" s="22">
        <f t="shared" ref="B30:B40" si="27">B29</f>
        <v>551.25</v>
      </c>
      <c r="C30" s="25">
        <f t="shared" si="0"/>
        <v>3640.6773710083603</v>
      </c>
      <c r="D30" s="25">
        <f t="shared" si="10"/>
        <v>93204.32533924868</v>
      </c>
      <c r="E30" s="25">
        <f>$C30/((1+'How much will I make'!$C$5/12)^(Calculations!$B$1*12-Calculations!$A30))</f>
        <v>551.25</v>
      </c>
      <c r="F30" s="25">
        <f t="shared" si="11"/>
        <v>13402.5</v>
      </c>
      <c r="G30" s="25">
        <f t="shared" si="1"/>
        <v>23857.285100748097</v>
      </c>
      <c r="H30" s="25">
        <f t="shared" si="12"/>
        <v>643606.03475019452</v>
      </c>
      <c r="I30" s="25">
        <f>G30/((1+'How much will I make'!$C$5/12)^(Calculations!$B$1*12-Calculations!$A30))</f>
        <v>3612.33008904188</v>
      </c>
      <c r="J30" s="25">
        <f t="shared" si="13"/>
        <v>92458.661977979442</v>
      </c>
      <c r="K30" s="25">
        <f t="shared" si="2"/>
        <v>155129.03075817527</v>
      </c>
      <c r="L30" s="25">
        <f t="shared" si="14"/>
        <v>4413277.1603974188</v>
      </c>
      <c r="M30" s="25">
        <f>K30/((1+'How much will I make'!$C$5/12)^(Calculations!$B$1*12-Calculations!$A30))</f>
        <v>23488.727368819011</v>
      </c>
      <c r="N30" s="25">
        <f t="shared" si="15"/>
        <v>633386.02645659295</v>
      </c>
      <c r="O30" s="25">
        <f t="shared" si="3"/>
        <v>1000981.43593973</v>
      </c>
      <c r="P30" s="25">
        <f t="shared" si="16"/>
        <v>30052587.53527322</v>
      </c>
      <c r="Q30" s="25">
        <f>O30/((1+'How much will I make'!$C$5/12)^(Calculations!$B$1*12-Calculations!$A30))</f>
        <v>151562.73416475416</v>
      </c>
      <c r="R30" s="25">
        <f t="shared" si="17"/>
        <v>4308949.6416290384</v>
      </c>
      <c r="S30" s="25">
        <f t="shared" si="4"/>
        <v>6409839.6744834827</v>
      </c>
      <c r="T30" s="25">
        <f t="shared" si="18"/>
        <v>203237531.5027476</v>
      </c>
      <c r="U30" s="25">
        <f>S30/((1+'How much will I make'!$C$5/12)^(Calculations!$B$1*12-Calculations!$A30))</f>
        <v>970540.30348763522</v>
      </c>
      <c r="V30" s="25">
        <f t="shared" si="19"/>
        <v>29112444.462982558</v>
      </c>
      <c r="W30" s="25">
        <f t="shared" si="5"/>
        <v>40736479.157998532</v>
      </c>
      <c r="X30" s="25">
        <f t="shared" si="20"/>
        <v>1365049604.9882329</v>
      </c>
      <c r="Y30" s="25">
        <f>W30/((1+'How much will I make'!$C$5/12)^(Calculations!$B$1*12-Calculations!$A30))</f>
        <v>6168078.5874269996</v>
      </c>
      <c r="Z30" s="25">
        <f t="shared" si="21"/>
        <v>195349264.54776976</v>
      </c>
      <c r="AA30" s="25">
        <f t="shared" si="6"/>
        <v>256957705.32556391</v>
      </c>
      <c r="AB30" s="25">
        <f t="shared" si="22"/>
        <v>9106172798.3596897</v>
      </c>
      <c r="AC30" s="25">
        <f>AA30/((1+'How much will I make'!$C$5/12)^(Calculations!$B$1*12-Calculations!$A30))</f>
        <v>38907027.628620878</v>
      </c>
      <c r="AD30" s="25">
        <f t="shared" si="23"/>
        <v>1301941891.0054169</v>
      </c>
      <c r="AE30" s="25">
        <f t="shared" si="7"/>
        <v>1608821866.9199793</v>
      </c>
      <c r="AF30" s="25">
        <f t="shared" si="24"/>
        <v>60337330732.436829</v>
      </c>
      <c r="AG30" s="25">
        <f>AE30/((1+'How much will I make'!$C$5/12)^(Calculations!$B$1*12-Calculations!$A30))</f>
        <v>243598364.74441668</v>
      </c>
      <c r="AH30" s="25">
        <f t="shared" si="25"/>
        <v>8618632149.9105492</v>
      </c>
    </row>
    <row r="31" spans="1:34" ht="15.75" customHeight="1">
      <c r="A31" s="22">
        <f t="shared" si="8"/>
        <v>27</v>
      </c>
      <c r="B31" s="22">
        <f t="shared" si="27"/>
        <v>551.25</v>
      </c>
      <c r="C31" s="25">
        <f t="shared" si="0"/>
        <v>3625.5708259004414</v>
      </c>
      <c r="D31" s="25">
        <f t="shared" si="10"/>
        <v>96829.896165149126</v>
      </c>
      <c r="E31" s="25">
        <f>$C31/((1+'How much will I make'!$C$5/12)^(Calculations!$B$1*12-Calculations!$A31))</f>
        <v>551.25</v>
      </c>
      <c r="F31" s="25">
        <f t="shared" si="11"/>
        <v>13953.75</v>
      </c>
      <c r="G31" s="25">
        <f t="shared" si="1"/>
        <v>23660.117455287367</v>
      </c>
      <c r="H31" s="25">
        <f t="shared" si="12"/>
        <v>667266.15220548189</v>
      </c>
      <c r="I31" s="25">
        <f>G31/((1+'How much will I make'!$C$5/12)^(Calculations!$B$1*12-Calculations!$A31))</f>
        <v>3597.4031052028645</v>
      </c>
      <c r="J31" s="25">
        <f t="shared" si="13"/>
        <v>96056.0650831823</v>
      </c>
      <c r="K31" s="25">
        <f t="shared" si="2"/>
        <v>153213.85753893852</v>
      </c>
      <c r="L31" s="25">
        <f t="shared" si="14"/>
        <v>4566491.0179363573</v>
      </c>
      <c r="M31" s="25">
        <f>K31/((1+'How much will I make'!$C$5/12)^(Calculations!$B$1*12-Calculations!$A31))</f>
        <v>23295.404509816384</v>
      </c>
      <c r="N31" s="25">
        <f t="shared" si="15"/>
        <v>656681.43096640939</v>
      </c>
      <c r="O31" s="25">
        <f t="shared" si="3"/>
        <v>984571.90420301328</v>
      </c>
      <c r="P31" s="25">
        <f t="shared" si="16"/>
        <v>31037159.439476233</v>
      </c>
      <c r="Q31" s="25">
        <f>O31/((1+'How much will I make'!$C$5/12)^(Calculations!$B$1*12-Calculations!$A31))</f>
        <v>149699.25792502362</v>
      </c>
      <c r="R31" s="25">
        <f t="shared" si="17"/>
        <v>4458648.8995540617</v>
      </c>
      <c r="S31" s="25">
        <f t="shared" si="4"/>
        <v>6279026.619902188</v>
      </c>
      <c r="T31" s="25">
        <f t="shared" si="18"/>
        <v>209516558.12264979</v>
      </c>
      <c r="U31" s="25">
        <f>S31/((1+'How much will I make'!$C$5/12)^(Calculations!$B$1*12-Calculations!$A31))</f>
        <v>954694.74751232704</v>
      </c>
      <c r="V31" s="25">
        <f t="shared" si="19"/>
        <v>30067139.210494883</v>
      </c>
      <c r="W31" s="25">
        <f t="shared" si="5"/>
        <v>39742906.49560833</v>
      </c>
      <c r="X31" s="25">
        <f t="shared" si="20"/>
        <v>1404792511.4838412</v>
      </c>
      <c r="Y31" s="25">
        <f>W31/((1+'How much will I make'!$C$5/12)^(Calculations!$B$1*12-Calculations!$A31))</f>
        <v>6042711.1364630377</v>
      </c>
      <c r="Z31" s="25">
        <f t="shared" si="21"/>
        <v>201391975.6842328</v>
      </c>
      <c r="AA31" s="25">
        <f t="shared" si="6"/>
        <v>249675503.1503455</v>
      </c>
      <c r="AB31" s="25">
        <f t="shared" si="22"/>
        <v>9355848301.5100346</v>
      </c>
      <c r="AC31" s="25">
        <f>AA31/((1+'How much will I make'!$C$5/12)^(Calculations!$B$1*12-Calculations!$A31))</f>
        <v>37961917.645739406</v>
      </c>
      <c r="AD31" s="25">
        <f t="shared" si="23"/>
        <v>1339903808.6511562</v>
      </c>
      <c r="AE31" s="25">
        <f t="shared" si="7"/>
        <v>1556924387.3419156</v>
      </c>
      <c r="AF31" s="25">
        <f t="shared" si="24"/>
        <v>61894255119.778748</v>
      </c>
      <c r="AG31" s="25">
        <f>AE31/((1+'How much will I make'!$C$5/12)^(Calculations!$B$1*12-Calculations!$A31))</f>
        <v>236722604.44921142</v>
      </c>
      <c r="AH31" s="25">
        <f t="shared" si="25"/>
        <v>8855354754.3597603</v>
      </c>
    </row>
    <row r="32" spans="1:34" ht="15.75" customHeight="1">
      <c r="A32" s="22">
        <f t="shared" si="8"/>
        <v>28</v>
      </c>
      <c r="B32" s="22">
        <f t="shared" si="27"/>
        <v>551.25</v>
      </c>
      <c r="C32" s="25">
        <f t="shared" si="0"/>
        <v>3610.5269635523073</v>
      </c>
      <c r="D32" s="25">
        <f t="shared" si="10"/>
        <v>100440.42312870143</v>
      </c>
      <c r="E32" s="25">
        <f>$C32/((1+'How much will I make'!$C$5/12)^(Calculations!$B$1*12-Calculations!$A32))</f>
        <v>551.25</v>
      </c>
      <c r="F32" s="25">
        <f t="shared" si="11"/>
        <v>14505</v>
      </c>
      <c r="G32" s="25">
        <f t="shared" si="1"/>
        <v>23464.579294499868</v>
      </c>
      <c r="H32" s="25">
        <f t="shared" si="12"/>
        <v>690730.73149998172</v>
      </c>
      <c r="I32" s="25">
        <f>G32/((1+'How much will I make'!$C$5/12)^(Calculations!$B$1*12-Calculations!$A32))</f>
        <v>3582.5378031152491</v>
      </c>
      <c r="J32" s="25">
        <f t="shared" si="13"/>
        <v>99638.602886297551</v>
      </c>
      <c r="K32" s="25">
        <f t="shared" si="2"/>
        <v>151322.32843351955</v>
      </c>
      <c r="L32" s="25">
        <f t="shared" si="14"/>
        <v>4717813.3463698765</v>
      </c>
      <c r="M32" s="25">
        <f>K32/((1+'How much will I make'!$C$5/12)^(Calculations!$B$1*12-Calculations!$A32))</f>
        <v>23103.672785455758</v>
      </c>
      <c r="N32" s="25">
        <f t="shared" si="15"/>
        <v>679785.1037518651</v>
      </c>
      <c r="O32" s="25">
        <f t="shared" si="3"/>
        <v>968431.38118329179</v>
      </c>
      <c r="P32" s="25">
        <f t="shared" si="16"/>
        <v>32005590.820659526</v>
      </c>
      <c r="Q32" s="25">
        <f>O32/((1+'How much will I make'!$C$5/12)^(Calculations!$B$1*12-Calculations!$A32))</f>
        <v>147858.69327840448</v>
      </c>
      <c r="R32" s="25">
        <f t="shared" si="17"/>
        <v>4606507.5928324666</v>
      </c>
      <c r="S32" s="25">
        <f t="shared" si="4"/>
        <v>6150883.2194960201</v>
      </c>
      <c r="T32" s="25">
        <f t="shared" si="18"/>
        <v>215667441.3421458</v>
      </c>
      <c r="U32" s="25">
        <f>S32/((1+'How much will I make'!$C$5/12)^(Calculations!$B$1*12-Calculations!$A32))</f>
        <v>939107.89449171745</v>
      </c>
      <c r="V32" s="25">
        <f t="shared" si="19"/>
        <v>31006247.104986601</v>
      </c>
      <c r="W32" s="25">
        <f t="shared" si="5"/>
        <v>38773567.312788621</v>
      </c>
      <c r="X32" s="25">
        <f t="shared" si="20"/>
        <v>1443566078.7966299</v>
      </c>
      <c r="Y32" s="25">
        <f>W32/((1+'How much will I make'!$C$5/12)^(Calculations!$B$1*12-Calculations!$A32))</f>
        <v>5919891.8044211073</v>
      </c>
      <c r="Z32" s="25">
        <f t="shared" si="21"/>
        <v>207311867.4886539</v>
      </c>
      <c r="AA32" s="25">
        <f t="shared" si="6"/>
        <v>242599679.17442483</v>
      </c>
      <c r="AB32" s="25">
        <f t="shared" si="22"/>
        <v>9598447980.6844597</v>
      </c>
      <c r="AC32" s="25">
        <f>AA32/((1+'How much will I make'!$C$5/12)^(Calculations!$B$1*12-Calculations!$A32))</f>
        <v>37039765.800093919</v>
      </c>
      <c r="AD32" s="25">
        <f t="shared" si="23"/>
        <v>1376943574.4512501</v>
      </c>
      <c r="AE32" s="25">
        <f t="shared" si="7"/>
        <v>1506701020.0083055</v>
      </c>
      <c r="AF32" s="25">
        <f t="shared" si="24"/>
        <v>63400956139.787056</v>
      </c>
      <c r="AG32" s="25">
        <f>AE32/((1+'How much will I make'!$C$5/12)^(Calculations!$B$1*12-Calculations!$A32))</f>
        <v>230040918.03330627</v>
      </c>
      <c r="AH32" s="25">
        <f t="shared" si="25"/>
        <v>9085395672.3930664</v>
      </c>
    </row>
    <row r="33" spans="1:34" ht="15.75" customHeight="1">
      <c r="A33" s="22">
        <f t="shared" si="8"/>
        <v>29</v>
      </c>
      <c r="B33" s="22">
        <f t="shared" si="27"/>
        <v>551.25</v>
      </c>
      <c r="C33" s="25">
        <f t="shared" si="0"/>
        <v>3595.5455238695176</v>
      </c>
      <c r="D33" s="25">
        <f t="shared" si="10"/>
        <v>104035.96865257094</v>
      </c>
      <c r="E33" s="25">
        <f>$C33/((1+'How much will I make'!$C$5/12)^(Calculations!$B$1*12-Calculations!$A33))</f>
        <v>551.25</v>
      </c>
      <c r="F33" s="25">
        <f t="shared" si="11"/>
        <v>15056.25</v>
      </c>
      <c r="G33" s="25">
        <f t="shared" si="1"/>
        <v>23270.657151570122</v>
      </c>
      <c r="H33" s="25">
        <f t="shared" si="12"/>
        <v>714001.3886515518</v>
      </c>
      <c r="I33" s="25">
        <f>G33/((1+'How much will I make'!$C$5/12)^(Calculations!$B$1*12-Calculations!$A33))</f>
        <v>3567.7339278957647</v>
      </c>
      <c r="J33" s="25">
        <f t="shared" si="13"/>
        <v>103206.33681419332</v>
      </c>
      <c r="K33" s="25">
        <f t="shared" si="2"/>
        <v>149454.15153927857</v>
      </c>
      <c r="L33" s="25">
        <f t="shared" si="14"/>
        <v>4867267.4979091547</v>
      </c>
      <c r="M33" s="25">
        <f>K33/((1+'How much will I make'!$C$5/12)^(Calculations!$B$1*12-Calculations!$A33))</f>
        <v>22913.519099978756</v>
      </c>
      <c r="N33" s="25">
        <f t="shared" si="15"/>
        <v>702698.62285184383</v>
      </c>
      <c r="O33" s="25">
        <f t="shared" si="3"/>
        <v>952555.45690159837</v>
      </c>
      <c r="P33" s="25">
        <f t="shared" si="16"/>
        <v>32958146.277561124</v>
      </c>
      <c r="Q33" s="25">
        <f>O33/((1+'How much will I make'!$C$5/12)^(Calculations!$B$1*12-Calculations!$A33))</f>
        <v>146040.75852498144</v>
      </c>
      <c r="R33" s="25">
        <f t="shared" si="17"/>
        <v>4752548.3513574479</v>
      </c>
      <c r="S33" s="25">
        <f t="shared" si="4"/>
        <v>6025354.9905267144</v>
      </c>
      <c r="T33" s="25">
        <f t="shared" si="18"/>
        <v>221692796.33267251</v>
      </c>
      <c r="U33" s="25">
        <f>S33/((1+'How much will I make'!$C$5/12)^(Calculations!$B$1*12-Calculations!$A33))</f>
        <v>923775.5207040977</v>
      </c>
      <c r="V33" s="25">
        <f t="shared" si="19"/>
        <v>31930022.625690699</v>
      </c>
      <c r="W33" s="25">
        <f t="shared" si="5"/>
        <v>37827870.549062073</v>
      </c>
      <c r="X33" s="25">
        <f t="shared" si="20"/>
        <v>1481393949.3456919</v>
      </c>
      <c r="Y33" s="25">
        <f>W33/((1+'How much will I make'!$C$5/12)^(Calculations!$B$1*12-Calculations!$A33))</f>
        <v>5799568.8002662063</v>
      </c>
      <c r="Z33" s="25">
        <f t="shared" si="21"/>
        <v>213111436.2889201</v>
      </c>
      <c r="AA33" s="25">
        <f t="shared" si="6"/>
        <v>235724384.62292293</v>
      </c>
      <c r="AB33" s="25">
        <f t="shared" si="22"/>
        <v>9834172365.3073826</v>
      </c>
      <c r="AC33" s="25">
        <f>AA33/((1+'How much will I make'!$C$5/12)^(Calculations!$B$1*12-Calculations!$A33))</f>
        <v>36140014.404140219</v>
      </c>
      <c r="AD33" s="25">
        <f t="shared" si="23"/>
        <v>1413083588.8553903</v>
      </c>
      <c r="AE33" s="25">
        <f t="shared" si="7"/>
        <v>1458097761.2983596</v>
      </c>
      <c r="AF33" s="25">
        <f t="shared" si="24"/>
        <v>64859053901.085419</v>
      </c>
      <c r="AG33" s="25">
        <f>AE33/((1+'How much will I make'!$C$5/12)^(Calculations!$B$1*12-Calculations!$A33))</f>
        <v>223547827.6049467</v>
      </c>
      <c r="AH33" s="25">
        <f t="shared" si="25"/>
        <v>9308943499.9980125</v>
      </c>
    </row>
    <row r="34" spans="1:34" ht="15.75" customHeight="1">
      <c r="A34" s="22">
        <f t="shared" si="8"/>
        <v>30</v>
      </c>
      <c r="B34" s="22">
        <f t="shared" si="27"/>
        <v>551.25</v>
      </c>
      <c r="C34" s="25">
        <f t="shared" si="0"/>
        <v>3580.6262478368644</v>
      </c>
      <c r="D34" s="25">
        <f t="shared" si="10"/>
        <v>107616.5949004078</v>
      </c>
      <c r="E34" s="25">
        <f>$C34/((1+'How much will I make'!$C$5/12)^(Calculations!$B$1*12-Calculations!$A34))</f>
        <v>551.25</v>
      </c>
      <c r="F34" s="25">
        <f t="shared" si="11"/>
        <v>15607.5</v>
      </c>
      <c r="G34" s="25">
        <f t="shared" si="1"/>
        <v>23078.337670978635</v>
      </c>
      <c r="H34" s="25">
        <f t="shared" si="12"/>
        <v>737079.72632253042</v>
      </c>
      <c r="I34" s="25">
        <f>G34/((1+'How much will I make'!$C$5/12)^(Calculations!$B$1*12-Calculations!$A34))</f>
        <v>3552.9912257143774</v>
      </c>
      <c r="J34" s="25">
        <f t="shared" si="13"/>
        <v>106759.32803990769</v>
      </c>
      <c r="K34" s="25">
        <f t="shared" si="2"/>
        <v>147609.03855731222</v>
      </c>
      <c r="L34" s="25">
        <f t="shared" si="14"/>
        <v>5014876.5364664672</v>
      </c>
      <c r="M34" s="25">
        <f>K34/((1+'How much will I make'!$C$5/12)^(Calculations!$B$1*12-Calculations!$A34))</f>
        <v>22724.930465411035</v>
      </c>
      <c r="N34" s="25">
        <f t="shared" si="15"/>
        <v>725423.55331725487</v>
      </c>
      <c r="O34" s="25">
        <f t="shared" si="3"/>
        <v>936939.79367370333</v>
      </c>
      <c r="P34" s="25">
        <f t="shared" si="16"/>
        <v>33895086.07123483</v>
      </c>
      <c r="Q34" s="25">
        <f>O34/((1+'How much will I make'!$C$5/12)^(Calculations!$B$1*12-Calculations!$A34))</f>
        <v>144245.1754283628</v>
      </c>
      <c r="R34" s="25">
        <f t="shared" si="17"/>
        <v>4896793.5267858105</v>
      </c>
      <c r="S34" s="25">
        <f t="shared" si="4"/>
        <v>5902388.5621486194</v>
      </c>
      <c r="T34" s="25">
        <f t="shared" si="18"/>
        <v>227595184.89482114</v>
      </c>
      <c r="U34" s="25">
        <f>S34/((1+'How much will I make'!$C$5/12)^(Calculations!$B$1*12-Calculations!$A34))</f>
        <v>908693.47138647991</v>
      </c>
      <c r="V34" s="25">
        <f t="shared" si="19"/>
        <v>32838716.09707718</v>
      </c>
      <c r="W34" s="25">
        <f t="shared" si="5"/>
        <v>36905239.560060561</v>
      </c>
      <c r="X34" s="25">
        <f t="shared" si="20"/>
        <v>1518299188.9057524</v>
      </c>
      <c r="Y34" s="25">
        <f>W34/((1+'How much will I make'!$C$5/12)^(Calculations!$B$1*12-Calculations!$A34))</f>
        <v>5681691.3856266495</v>
      </c>
      <c r="Z34" s="25">
        <f t="shared" si="21"/>
        <v>218793127.67454675</v>
      </c>
      <c r="AA34" s="25">
        <f t="shared" si="6"/>
        <v>229043936.47571462</v>
      </c>
      <c r="AB34" s="25">
        <f t="shared" si="22"/>
        <v>10063216301.783096</v>
      </c>
      <c r="AC34" s="25">
        <f>AA34/((1+'How much will I make'!$C$5/12)^(Calculations!$B$1*12-Calculations!$A34))</f>
        <v>35262119.317399979</v>
      </c>
      <c r="AD34" s="25">
        <f t="shared" si="23"/>
        <v>1448345708.1727903</v>
      </c>
      <c r="AE34" s="25">
        <f t="shared" si="7"/>
        <v>1411062349.643574</v>
      </c>
      <c r="AF34" s="25">
        <f t="shared" si="24"/>
        <v>66270116250.728996</v>
      </c>
      <c r="AG34" s="25">
        <f>AE34/((1+'How much will I make'!$C$5/12)^(Calculations!$B$1*12-Calculations!$A34))</f>
        <v>217238009.89029098</v>
      </c>
      <c r="AH34" s="25">
        <f t="shared" si="25"/>
        <v>9526181509.8883038</v>
      </c>
    </row>
    <row r="35" spans="1:34" ht="15.75" customHeight="1">
      <c r="A35" s="22">
        <f t="shared" si="8"/>
        <v>31</v>
      </c>
      <c r="B35" s="22">
        <f t="shared" si="27"/>
        <v>551.25</v>
      </c>
      <c r="C35" s="25">
        <f t="shared" si="0"/>
        <v>3565.7688775138895</v>
      </c>
      <c r="D35" s="25">
        <f t="shared" si="10"/>
        <v>111182.3637779217</v>
      </c>
      <c r="E35" s="25">
        <f>$C35/((1+'How much will I make'!$C$5/12)^(Calculations!$B$1*12-Calculations!$A35))</f>
        <v>551.25</v>
      </c>
      <c r="F35" s="25">
        <f t="shared" si="11"/>
        <v>16158.75</v>
      </c>
      <c r="G35" s="25">
        <f t="shared" si="1"/>
        <v>22887.607607582118</v>
      </c>
      <c r="H35" s="25">
        <f t="shared" si="12"/>
        <v>759967.33393011254</v>
      </c>
      <c r="I35" s="25">
        <f>G35/((1+'How much will I make'!$C$5/12)^(Calculations!$B$1*12-Calculations!$A35))</f>
        <v>3538.3094437899385</v>
      </c>
      <c r="J35" s="25">
        <f t="shared" si="13"/>
        <v>110297.63748369763</v>
      </c>
      <c r="K35" s="25">
        <f t="shared" si="2"/>
        <v>145786.70474796268</v>
      </c>
      <c r="L35" s="25">
        <f t="shared" si="14"/>
        <v>5160663.24121443</v>
      </c>
      <c r="M35" s="25">
        <f>K35/((1+'How much will I make'!$C$5/12)^(Calculations!$B$1*12-Calculations!$A35))</f>
        <v>22537.894000675144</v>
      </c>
      <c r="N35" s="25">
        <f t="shared" si="15"/>
        <v>747961.44731793005</v>
      </c>
      <c r="O35" s="25">
        <f t="shared" si="3"/>
        <v>921580.12492495403</v>
      </c>
      <c r="P35" s="25">
        <f t="shared" si="16"/>
        <v>34816666.19615978</v>
      </c>
      <c r="Q35" s="25">
        <f>O35/((1+'How much will I make'!$C$5/12)^(Calculations!$B$1*12-Calculations!$A35))</f>
        <v>142471.66917309604</v>
      </c>
      <c r="R35" s="25">
        <f t="shared" si="17"/>
        <v>5039265.1959589068</v>
      </c>
      <c r="S35" s="25">
        <f t="shared" si="4"/>
        <v>5781931.6527170157</v>
      </c>
      <c r="T35" s="25">
        <f t="shared" si="18"/>
        <v>233377116.54753816</v>
      </c>
      <c r="U35" s="25">
        <f>S35/((1+'How much will I make'!$C$5/12)^(Calculations!$B$1*12-Calculations!$A35))</f>
        <v>893857.65960874164</v>
      </c>
      <c r="V35" s="25">
        <f t="shared" si="19"/>
        <v>33732573.75668592</v>
      </c>
      <c r="W35" s="25">
        <f t="shared" si="5"/>
        <v>36005111.765912741</v>
      </c>
      <c r="X35" s="25">
        <f t="shared" si="20"/>
        <v>1554304300.6716652</v>
      </c>
      <c r="Y35" s="25">
        <f>W35/((1+'How much will I make'!$C$5/12)^(Calculations!$B$1*12-Calculations!$A35))</f>
        <v>5566209.8533984665</v>
      </c>
      <c r="Z35" s="25">
        <f t="shared" si="21"/>
        <v>224359337.52794522</v>
      </c>
      <c r="AA35" s="25">
        <f t="shared" si="6"/>
        <v>222552812.76992515</v>
      </c>
      <c r="AB35" s="25">
        <f t="shared" si="22"/>
        <v>10285769114.553022</v>
      </c>
      <c r="AC35" s="25">
        <f>AA35/((1+'How much will I make'!$C$5/12)^(Calculations!$B$1*12-Calculations!$A35))</f>
        <v>34405549.617382169</v>
      </c>
      <c r="AD35" s="25">
        <f t="shared" si="23"/>
        <v>1482751257.7901726</v>
      </c>
      <c r="AE35" s="25">
        <f t="shared" si="7"/>
        <v>1365544209.3324909</v>
      </c>
      <c r="AF35" s="25">
        <f t="shared" si="24"/>
        <v>67635660460.061485</v>
      </c>
      <c r="AG35" s="25">
        <f>AE35/((1+'How much will I make'!$C$5/12)^(Calculations!$B$1*12-Calculations!$A35))</f>
        <v>211106291.86919406</v>
      </c>
      <c r="AH35" s="25">
        <f t="shared" si="25"/>
        <v>9737287801.7574978</v>
      </c>
    </row>
    <row r="36" spans="1:34" ht="15.75" customHeight="1">
      <c r="A36" s="22">
        <f t="shared" si="8"/>
        <v>32</v>
      </c>
      <c r="B36" s="22">
        <f t="shared" si="27"/>
        <v>551.25</v>
      </c>
      <c r="C36" s="25">
        <f t="shared" si="0"/>
        <v>3550.9731560304294</v>
      </c>
      <c r="D36" s="25">
        <f t="shared" si="10"/>
        <v>114733.33693395213</v>
      </c>
      <c r="E36" s="25">
        <f>$C36/((1+'How much will I make'!$C$5/12)^(Calculations!$B$1*12-Calculations!$A36))</f>
        <v>551.25</v>
      </c>
      <c r="F36" s="25">
        <f t="shared" si="11"/>
        <v>16710</v>
      </c>
      <c r="G36" s="25">
        <f t="shared" si="1"/>
        <v>22698.453825701272</v>
      </c>
      <c r="H36" s="25">
        <f t="shared" si="12"/>
        <v>782665.7877558138</v>
      </c>
      <c r="I36" s="25">
        <f>G36/((1+'How much will I make'!$C$5/12)^(Calculations!$B$1*12-Calculations!$A36))</f>
        <v>3523.6883303858472</v>
      </c>
      <c r="J36" s="25">
        <f t="shared" si="13"/>
        <v>113821.32581408348</v>
      </c>
      <c r="K36" s="25">
        <f t="shared" si="2"/>
        <v>143986.86888687671</v>
      </c>
      <c r="L36" s="25">
        <f t="shared" si="14"/>
        <v>5304650.1101013068</v>
      </c>
      <c r="M36" s="25">
        <f>K36/((1+'How much will I make'!$C$5/12)^(Calculations!$B$1*12-Calculations!$A36))</f>
        <v>22352.396930710736</v>
      </c>
      <c r="N36" s="25">
        <f t="shared" si="15"/>
        <v>770313.84424864082</v>
      </c>
      <c r="O36" s="25">
        <f t="shared" si="3"/>
        <v>906472.25402454508</v>
      </c>
      <c r="P36" s="25">
        <f t="shared" si="16"/>
        <v>35723138.450184323</v>
      </c>
      <c r="Q36" s="25">
        <f>O36/((1+'How much will I make'!$C$5/12)^(Calculations!$B$1*12-Calculations!$A36))</f>
        <v>140719.96832260719</v>
      </c>
      <c r="R36" s="25">
        <f t="shared" si="17"/>
        <v>5179985.1642815135</v>
      </c>
      <c r="S36" s="25">
        <f t="shared" si="4"/>
        <v>5663933.0475595258</v>
      </c>
      <c r="T36" s="25">
        <f t="shared" si="18"/>
        <v>239041049.59509769</v>
      </c>
      <c r="U36" s="25">
        <f>S36/((1+'How much will I make'!$C$5/12)^(Calculations!$B$1*12-Calculations!$A36))</f>
        <v>879264.06516614999</v>
      </c>
      <c r="V36" s="25">
        <f t="shared" si="19"/>
        <v>34611837.821852073</v>
      </c>
      <c r="W36" s="25">
        <f t="shared" si="5"/>
        <v>35126938.308207557</v>
      </c>
      <c r="X36" s="25">
        <f t="shared" si="20"/>
        <v>1589431238.9798727</v>
      </c>
      <c r="Y36" s="25">
        <f>W36/((1+'How much will I make'!$C$5/12)^(Calculations!$B$1*12-Calculations!$A36))</f>
        <v>5453075.5067846766</v>
      </c>
      <c r="Z36" s="25">
        <f t="shared" si="21"/>
        <v>229812413.0347299</v>
      </c>
      <c r="AA36" s="25">
        <f t="shared" si="6"/>
        <v>216245648.03555486</v>
      </c>
      <c r="AB36" s="25">
        <f t="shared" si="22"/>
        <v>10502014762.588577</v>
      </c>
      <c r="AC36" s="25">
        <f>AA36/((1+'How much will I make'!$C$5/12)^(Calculations!$B$1*12-Calculations!$A36))</f>
        <v>33569787.278498396</v>
      </c>
      <c r="AD36" s="25">
        <f t="shared" si="23"/>
        <v>1516321045.068671</v>
      </c>
      <c r="AE36" s="25">
        <f t="shared" si="7"/>
        <v>1321494396.128217</v>
      </c>
      <c r="AF36" s="25">
        <f t="shared" si="24"/>
        <v>68957154856.189697</v>
      </c>
      <c r="AG36" s="25">
        <f>AE36/((1+'How much will I make'!$C$5/12)^(Calculations!$B$1*12-Calculations!$A36))</f>
        <v>205147646.53417647</v>
      </c>
      <c r="AH36" s="25">
        <f t="shared" si="25"/>
        <v>9942435448.2916737</v>
      </c>
    </row>
    <row r="37" spans="1:34" ht="15.75" customHeight="1">
      <c r="A37" s="22">
        <f t="shared" si="8"/>
        <v>33</v>
      </c>
      <c r="B37" s="22">
        <f t="shared" si="27"/>
        <v>551.25</v>
      </c>
      <c r="C37" s="25">
        <f t="shared" si="0"/>
        <v>3536.2388275821713</v>
      </c>
      <c r="D37" s="25">
        <f t="shared" si="10"/>
        <v>118269.5757615343</v>
      </c>
      <c r="E37" s="25">
        <f>$C37/((1+'How much will I make'!$C$5/12)^(Calculations!$B$1*12-Calculations!$A37))</f>
        <v>551.25</v>
      </c>
      <c r="F37" s="25">
        <f t="shared" si="11"/>
        <v>17261.25</v>
      </c>
      <c r="G37" s="25">
        <f t="shared" si="1"/>
        <v>22510.863298216143</v>
      </c>
      <c r="H37" s="25">
        <f t="shared" si="12"/>
        <v>805176.65105402994</v>
      </c>
      <c r="I37" s="25">
        <f>G37/((1+'How much will I make'!$C$5/12)^(Calculations!$B$1*12-Calculations!$A37))</f>
        <v>3509.1276348057399</v>
      </c>
      <c r="J37" s="25">
        <f t="shared" si="13"/>
        <v>117330.45344888922</v>
      </c>
      <c r="K37" s="25">
        <f t="shared" si="2"/>
        <v>142209.25322160663</v>
      </c>
      <c r="L37" s="25">
        <f t="shared" si="14"/>
        <v>5446859.3633229136</v>
      </c>
      <c r="M37" s="25">
        <f>K37/((1+'How much will I make'!$C$5/12)^(Calculations!$B$1*12-Calculations!$A37))</f>
        <v>22168.426585601999</v>
      </c>
      <c r="N37" s="25">
        <f t="shared" si="15"/>
        <v>792482.27083424281</v>
      </c>
      <c r="O37" s="25">
        <f t="shared" si="3"/>
        <v>891612.05313889682</v>
      </c>
      <c r="P37" s="25">
        <f t="shared" si="16"/>
        <v>36614750.50332322</v>
      </c>
      <c r="Q37" s="25">
        <f>O37/((1+'How much will I make'!$C$5/12)^(Calculations!$B$1*12-Calculations!$A37))</f>
        <v>138989.80477765706</v>
      </c>
      <c r="R37" s="25">
        <f t="shared" si="17"/>
        <v>5318974.9690591702</v>
      </c>
      <c r="S37" s="25">
        <f t="shared" si="4"/>
        <v>5548342.577201169</v>
      </c>
      <c r="T37" s="25">
        <f t="shared" si="18"/>
        <v>244589392.17229885</v>
      </c>
      <c r="U37" s="25">
        <f>S37/((1+'How much will I make'!$C$5/12)^(Calculations!$B$1*12-Calculations!$A37))</f>
        <v>864908.73348996777</v>
      </c>
      <c r="V37" s="25">
        <f t="shared" si="19"/>
        <v>35476746.555342041</v>
      </c>
      <c r="W37" s="25">
        <f t="shared" si="5"/>
        <v>34270183.715324454</v>
      </c>
      <c r="X37" s="25">
        <f t="shared" si="20"/>
        <v>1623701422.6951971</v>
      </c>
      <c r="Y37" s="25">
        <f>W37/((1+'How much will I make'!$C$5/12)^(Calculations!$B$1*12-Calculations!$A37))</f>
        <v>5342240.6387605974</v>
      </c>
      <c r="Z37" s="25">
        <f t="shared" si="21"/>
        <v>235154653.67349049</v>
      </c>
      <c r="AA37" s="25">
        <f t="shared" si="6"/>
        <v>210117228.8604582</v>
      </c>
      <c r="AB37" s="25">
        <f t="shared" si="22"/>
        <v>10712131991.449036</v>
      </c>
      <c r="AC37" s="25">
        <f>AA37/((1+'How much will I make'!$C$5/12)^(Calculations!$B$1*12-Calculations!$A37))</f>
        <v>32754326.858777784</v>
      </c>
      <c r="AD37" s="25">
        <f t="shared" si="23"/>
        <v>1549075371.9274487</v>
      </c>
      <c r="AE37" s="25">
        <f t="shared" si="7"/>
        <v>1278865544.6402097</v>
      </c>
      <c r="AF37" s="25">
        <f t="shared" si="24"/>
        <v>70236020400.82991</v>
      </c>
      <c r="AG37" s="25">
        <f>AE37/((1+'How much will I make'!$C$5/12)^(Calculations!$B$1*12-Calculations!$A37))</f>
        <v>199357188.76909879</v>
      </c>
      <c r="AH37" s="25">
        <f t="shared" si="25"/>
        <v>10141792637.060772</v>
      </c>
    </row>
    <row r="38" spans="1:34" ht="15.75" customHeight="1">
      <c r="A38" s="22">
        <f t="shared" si="8"/>
        <v>34</v>
      </c>
      <c r="B38" s="22">
        <f t="shared" si="27"/>
        <v>551.25</v>
      </c>
      <c r="C38" s="25">
        <f t="shared" si="0"/>
        <v>3521.5656374262271</v>
      </c>
      <c r="D38" s="25">
        <f t="shared" si="10"/>
        <v>121791.14139896054</v>
      </c>
      <c r="E38" s="25">
        <f>$C38/((1+'How much will I make'!$C$5/12)^(Calculations!$B$1*12-Calculations!$A38))</f>
        <v>551.25</v>
      </c>
      <c r="F38" s="25">
        <f t="shared" si="11"/>
        <v>17812.5</v>
      </c>
      <c r="G38" s="25">
        <f t="shared" si="1"/>
        <v>22324.823105668904</v>
      </c>
      <c r="H38" s="25">
        <f t="shared" si="12"/>
        <v>827501.47415969882</v>
      </c>
      <c r="I38" s="25">
        <f>G38/((1+'How much will I make'!$C$5/12)^(Calculations!$B$1*12-Calculations!$A38))</f>
        <v>3494.6271073891894</v>
      </c>
      <c r="J38" s="25">
        <f t="shared" si="13"/>
        <v>120825.08055627841</v>
      </c>
      <c r="K38" s="25">
        <f t="shared" si="2"/>
        <v>140453.58342874728</v>
      </c>
      <c r="L38" s="25">
        <f t="shared" si="14"/>
        <v>5587312.9467516607</v>
      </c>
      <c r="M38" s="25">
        <f>K38/((1+'How much will I make'!$C$5/12)^(Calculations!$B$1*12-Calculations!$A38))</f>
        <v>21985.970399712282</v>
      </c>
      <c r="N38" s="25">
        <f t="shared" si="15"/>
        <v>814468.24123395514</v>
      </c>
      <c r="O38" s="25">
        <f t="shared" si="3"/>
        <v>876995.46210383321</v>
      </c>
      <c r="P38" s="25">
        <f t="shared" si="16"/>
        <v>37491745.965427056</v>
      </c>
      <c r="Q38" s="25">
        <f>O38/((1+'How much will I make'!$C$5/12)^(Calculations!$B$1*12-Calculations!$A38))</f>
        <v>137280.91373530892</v>
      </c>
      <c r="R38" s="25">
        <f t="shared" si="17"/>
        <v>5456255.8827944789</v>
      </c>
      <c r="S38" s="25">
        <f t="shared" si="4"/>
        <v>5435111.0960337985</v>
      </c>
      <c r="T38" s="25">
        <f t="shared" si="18"/>
        <v>250024503.26833266</v>
      </c>
      <c r="U38" s="25">
        <f>S38/((1+'How much will I make'!$C$5/12)^(Calculations!$B$1*12-Calculations!$A38))</f>
        <v>850787.77457584639</v>
      </c>
      <c r="V38" s="25">
        <f t="shared" si="19"/>
        <v>36327534.329917885</v>
      </c>
      <c r="W38" s="25">
        <f t="shared" si="5"/>
        <v>33434325.575926289</v>
      </c>
      <c r="X38" s="25">
        <f t="shared" si="20"/>
        <v>1657135748.2711234</v>
      </c>
      <c r="Y38" s="25">
        <f>W38/((1+'How much will I make'!$C$5/12)^(Calculations!$B$1*12-Calculations!$A38))</f>
        <v>5233658.5119565213</v>
      </c>
      <c r="Z38" s="25">
        <f t="shared" si="21"/>
        <v>240388312.18544701</v>
      </c>
      <c r="AA38" s="25">
        <f t="shared" si="6"/>
        <v>204162489.58101204</v>
      </c>
      <c r="AB38" s="25">
        <f t="shared" si="22"/>
        <v>10916294481.030048</v>
      </c>
      <c r="AC38" s="25">
        <f>AA38/((1+'How much will I make'!$C$5/12)^(Calculations!$B$1*12-Calculations!$A38))</f>
        <v>31958675.194192111</v>
      </c>
      <c r="AD38" s="25">
        <f t="shared" si="23"/>
        <v>1581034047.1216409</v>
      </c>
      <c r="AE38" s="25">
        <f t="shared" si="7"/>
        <v>1237611817.3937511</v>
      </c>
      <c r="AF38" s="25">
        <f t="shared" si="24"/>
        <v>71473632218.223663</v>
      </c>
      <c r="AG38" s="25">
        <f>AE38/((1+'How much will I make'!$C$5/12)^(Calculations!$B$1*12-Calculations!$A38))</f>
        <v>193730171.34416464</v>
      </c>
      <c r="AH38" s="25">
        <f t="shared" si="25"/>
        <v>10335522808.404936</v>
      </c>
    </row>
    <row r="39" spans="1:34" ht="15.75" customHeight="1">
      <c r="A39" s="22">
        <f t="shared" si="8"/>
        <v>35</v>
      </c>
      <c r="B39" s="22">
        <f t="shared" si="27"/>
        <v>551.25</v>
      </c>
      <c r="C39" s="25">
        <f t="shared" si="0"/>
        <v>3506.9533318767403</v>
      </c>
      <c r="D39" s="25">
        <f t="shared" si="10"/>
        <v>125298.09473083727</v>
      </c>
      <c r="E39" s="25">
        <f>$C39/((1+'How much will I make'!$C$5/12)^(Calculations!$B$1*12-Calculations!$A39))</f>
        <v>551.25</v>
      </c>
      <c r="F39" s="25">
        <f t="shared" si="11"/>
        <v>18363.75</v>
      </c>
      <c r="G39" s="25">
        <f t="shared" si="1"/>
        <v>22140.320435374113</v>
      </c>
      <c r="H39" s="25">
        <f t="shared" si="12"/>
        <v>849641.79459507298</v>
      </c>
      <c r="I39" s="25">
        <f>G39/((1+'How much will I make'!$C$5/12)^(Calculations!$B$1*12-Calculations!$A39))</f>
        <v>3480.1864995074152</v>
      </c>
      <c r="J39" s="25">
        <f t="shared" si="13"/>
        <v>124305.26705578582</v>
      </c>
      <c r="K39" s="25">
        <f t="shared" si="2"/>
        <v>138719.58857160222</v>
      </c>
      <c r="L39" s="25">
        <f t="shared" si="14"/>
        <v>5726032.5353232631</v>
      </c>
      <c r="M39" s="25">
        <f>K39/((1+'How much will I make'!$C$5/12)^(Calculations!$B$1*12-Calculations!$A39))</f>
        <v>21805.015910825758</v>
      </c>
      <c r="N39" s="25">
        <f t="shared" si="15"/>
        <v>836273.25714478095</v>
      </c>
      <c r="O39" s="25">
        <f t="shared" si="3"/>
        <v>862618.48731524579</v>
      </c>
      <c r="P39" s="25">
        <f t="shared" si="16"/>
        <v>38354364.452742301</v>
      </c>
      <c r="Q39" s="25">
        <f>O39/((1+'How much will I make'!$C$5/12)^(Calculations!$B$1*12-Calculations!$A39))</f>
        <v>135593.0336483994</v>
      </c>
      <c r="R39" s="25">
        <f t="shared" si="17"/>
        <v>5591848.9164428785</v>
      </c>
      <c r="S39" s="25">
        <f t="shared" si="4"/>
        <v>5324190.4614208667</v>
      </c>
      <c r="T39" s="25">
        <f t="shared" si="18"/>
        <v>255348693.72975352</v>
      </c>
      <c r="U39" s="25">
        <f>S39/((1+'How much will I make'!$C$5/12)^(Calculations!$B$1*12-Calculations!$A39))</f>
        <v>836897.36192971061</v>
      </c>
      <c r="V39" s="25">
        <f t="shared" si="19"/>
        <v>37164431.691847593</v>
      </c>
      <c r="W39" s="25">
        <f t="shared" si="5"/>
        <v>32618854.220415894</v>
      </c>
      <c r="X39" s="25">
        <f t="shared" si="20"/>
        <v>1689754602.4915392</v>
      </c>
      <c r="Y39" s="25">
        <f>W39/((1+'How much will I make'!$C$5/12)^(Calculations!$B$1*12-Calculations!$A39))</f>
        <v>5127283.3389492761</v>
      </c>
      <c r="Z39" s="25">
        <f t="shared" si="21"/>
        <v>245515595.52439627</v>
      </c>
      <c r="AA39" s="25">
        <f t="shared" si="6"/>
        <v>198376508.0949105</v>
      </c>
      <c r="AB39" s="25">
        <f t="shared" si="22"/>
        <v>11114670989.124958</v>
      </c>
      <c r="AC39" s="25">
        <f>AA39/((1+'How much will I make'!$C$5/12)^(Calculations!$B$1*12-Calculations!$A39))</f>
        <v>31182351.100406073</v>
      </c>
      <c r="AD39" s="25">
        <f t="shared" si="23"/>
        <v>1612216398.2220471</v>
      </c>
      <c r="AE39" s="25">
        <f t="shared" si="7"/>
        <v>1197688855.5423398</v>
      </c>
      <c r="AF39" s="25">
        <f t="shared" si="24"/>
        <v>72671321073.766006</v>
      </c>
      <c r="AG39" s="25">
        <f>AE39/((1+'How much will I make'!$C$5/12)^(Calculations!$B$1*12-Calculations!$A39))</f>
        <v>188261981.02396646</v>
      </c>
      <c r="AH39" s="25">
        <f t="shared" si="25"/>
        <v>10523784789.428902</v>
      </c>
    </row>
    <row r="40" spans="1:34" ht="15.75" customHeight="1">
      <c r="A40" s="22">
        <f t="shared" si="8"/>
        <v>36</v>
      </c>
      <c r="B40" s="22">
        <f t="shared" si="27"/>
        <v>551.25</v>
      </c>
      <c r="C40" s="25">
        <f t="shared" si="0"/>
        <v>3492.4016583004886</v>
      </c>
      <c r="D40" s="25">
        <f t="shared" si="10"/>
        <v>128790.49638913776</v>
      </c>
      <c r="E40" s="25">
        <f>$C40/((1+'How much will I make'!$C$5/12)^(Calculations!$B$1*12-Calculations!$A40))</f>
        <v>551.25</v>
      </c>
      <c r="F40" s="25">
        <f t="shared" si="11"/>
        <v>18915</v>
      </c>
      <c r="G40" s="25">
        <f t="shared" si="1"/>
        <v>21957.342580536315</v>
      </c>
      <c r="H40" s="25">
        <f t="shared" si="12"/>
        <v>871599.13717560924</v>
      </c>
      <c r="I40" s="25">
        <f>G40/((1+'How much will I make'!$C$5/12)^(Calculations!$B$1*12-Calculations!$A40))</f>
        <v>3465.8055635590376</v>
      </c>
      <c r="J40" s="25">
        <f t="shared" si="13"/>
        <v>127771.07261934486</v>
      </c>
      <c r="K40" s="25">
        <f t="shared" si="2"/>
        <v>137007.00105837258</v>
      </c>
      <c r="L40" s="25">
        <f t="shared" si="14"/>
        <v>5863039.5363816358</v>
      </c>
      <c r="M40" s="25">
        <f>K40/((1+'How much will I make'!$C$5/12)^(Calculations!$B$1*12-Calculations!$A40))</f>
        <v>21625.550759296326</v>
      </c>
      <c r="N40" s="25">
        <f t="shared" si="15"/>
        <v>857898.80790407723</v>
      </c>
      <c r="O40" s="25">
        <f t="shared" si="3"/>
        <v>848477.20063794649</v>
      </c>
      <c r="P40" s="25">
        <f t="shared" si="16"/>
        <v>39202841.653380245</v>
      </c>
      <c r="Q40" s="25">
        <f>O40/((1+'How much will I make'!$C$5/12)^(Calculations!$B$1*12-Calculations!$A40))</f>
        <v>133925.9061855092</v>
      </c>
      <c r="R40" s="25">
        <f t="shared" si="17"/>
        <v>5725774.8226283882</v>
      </c>
      <c r="S40" s="25">
        <f t="shared" si="4"/>
        <v>5215533.5132286027</v>
      </c>
      <c r="T40" s="25">
        <f t="shared" si="18"/>
        <v>260564227.24298212</v>
      </c>
      <c r="U40" s="25">
        <f>S40/((1+'How much will I make'!$C$5/12)^(Calculations!$B$1*12-Calculations!$A40))</f>
        <v>823233.73153085785</v>
      </c>
      <c r="V40" s="25">
        <f t="shared" si="19"/>
        <v>37987665.423378453</v>
      </c>
      <c r="W40" s="25">
        <f t="shared" si="5"/>
        <v>31823272.410161845</v>
      </c>
      <c r="X40" s="25">
        <f t="shared" si="20"/>
        <v>1721577874.901701</v>
      </c>
      <c r="Y40" s="25">
        <f>W40/((1+'How much will I make'!$C$5/12)^(Calculations!$B$1*12-Calculations!$A40))</f>
        <v>5023070.2629543711</v>
      </c>
      <c r="Z40" s="25">
        <f t="shared" si="21"/>
        <v>250538665.78735065</v>
      </c>
      <c r="AA40" s="25">
        <f t="shared" si="6"/>
        <v>192754501.79262564</v>
      </c>
      <c r="AB40" s="25">
        <f t="shared" si="22"/>
        <v>11307425490.917583</v>
      </c>
      <c r="AC40" s="25">
        <f>AA40/((1+'How much will I make'!$C$5/12)^(Calculations!$B$1*12-Calculations!$A40))</f>
        <v>30424885.08177273</v>
      </c>
      <c r="AD40" s="25">
        <f t="shared" si="23"/>
        <v>1642641283.3038199</v>
      </c>
      <c r="AE40" s="25">
        <f t="shared" si="7"/>
        <v>1159053731.1700063</v>
      </c>
      <c r="AF40" s="25">
        <f t="shared" si="24"/>
        <v>73830374804.93602</v>
      </c>
      <c r="AG40" s="25">
        <f>AE40/((1+'How much will I make'!$C$5/12)^(Calculations!$B$1*12-Calculations!$A40))</f>
        <v>182948134.78538674</v>
      </c>
      <c r="AH40" s="25">
        <f t="shared" si="25"/>
        <v>10706732924.214289</v>
      </c>
    </row>
    <row r="41" spans="1:34" ht="15.75" customHeight="1">
      <c r="A41" s="22">
        <f t="shared" si="8"/>
        <v>37</v>
      </c>
      <c r="B41" s="22">
        <f>B40*(1+'How much will I make'!$C$4)</f>
        <v>578.8125</v>
      </c>
      <c r="C41" s="25">
        <f t="shared" si="0"/>
        <v>3651.8058833681453</v>
      </c>
      <c r="D41" s="25">
        <f t="shared" si="10"/>
        <v>132442.30227250591</v>
      </c>
      <c r="E41" s="25">
        <f>$C41/((1+'How much will I make'!$C$5/12)^(Calculations!$B$1*12-Calculations!$A41))</f>
        <v>578.8125</v>
      </c>
      <c r="F41" s="25">
        <f t="shared" si="11"/>
        <v>19493.8125</v>
      </c>
      <c r="G41" s="25">
        <f t="shared" si="1"/>
        <v>22864.670786343602</v>
      </c>
      <c r="H41" s="25">
        <f t="shared" si="12"/>
        <v>894463.80796195287</v>
      </c>
      <c r="I41" s="25">
        <f>G41/((1+'How much will I make'!$C$5/12)^(Calculations!$B$1*12-Calculations!$A41))</f>
        <v>3624.0582556141107</v>
      </c>
      <c r="J41" s="25">
        <f t="shared" si="13"/>
        <v>131395.13087495897</v>
      </c>
      <c r="K41" s="25">
        <f t="shared" si="2"/>
        <v>142081.33443090488</v>
      </c>
      <c r="L41" s="25">
        <f t="shared" si="14"/>
        <v>6005120.8708125409</v>
      </c>
      <c r="M41" s="25">
        <f>K41/((1+'How much will I make'!$C$5/12)^(Calculations!$B$1*12-Calculations!$A41))</f>
        <v>22519.940821563523</v>
      </c>
      <c r="N41" s="25">
        <f t="shared" si="15"/>
        <v>880418.7487256407</v>
      </c>
      <c r="O41" s="25">
        <f t="shared" si="3"/>
        <v>876296.12524902658</v>
      </c>
      <c r="P41" s="25">
        <f t="shared" si="16"/>
        <v>40079137.778629273</v>
      </c>
      <c r="Q41" s="25">
        <f>O41/((1+'How much will I make'!$C$5/12)^(Calculations!$B$1*12-Calculations!$A41))</f>
        <v>138893.24000099633</v>
      </c>
      <c r="R41" s="25">
        <f t="shared" si="17"/>
        <v>5864668.0626293849</v>
      </c>
      <c r="S41" s="25">
        <f t="shared" si="4"/>
        <v>5364548.7564637065</v>
      </c>
      <c r="T41" s="25">
        <f t="shared" si="18"/>
        <v>265928775.99944583</v>
      </c>
      <c r="U41" s="25">
        <f>S41/((1+'How much will I make'!$C$5/12)^(Calculations!$B$1*12-Calculations!$A41))</f>
        <v>850282.83985258639</v>
      </c>
      <c r="V41" s="25">
        <f t="shared" si="19"/>
        <v>38837948.263231039</v>
      </c>
      <c r="W41" s="25">
        <f t="shared" si="5"/>
        <v>32599449.786019456</v>
      </c>
      <c r="X41" s="25">
        <f t="shared" si="20"/>
        <v>1754177324.6877205</v>
      </c>
      <c r="Y41" s="25">
        <f>W41/((1+'How much will I make'!$C$5/12)^(Calculations!$B$1*12-Calculations!$A41))</f>
        <v>5167024.1058561141</v>
      </c>
      <c r="Z41" s="25">
        <f t="shared" si="21"/>
        <v>255705689.89320678</v>
      </c>
      <c r="AA41" s="25">
        <f t="shared" si="6"/>
        <v>196656414.78437918</v>
      </c>
      <c r="AB41" s="25">
        <f t="shared" si="22"/>
        <v>11504081905.701963</v>
      </c>
      <c r="AC41" s="25">
        <f>AA41/((1+'How much will I make'!$C$5/12)^(Calculations!$B$1*12-Calculations!$A41))</f>
        <v>31170109.999767572</v>
      </c>
      <c r="AD41" s="25">
        <f t="shared" si="23"/>
        <v>1673811393.3035874</v>
      </c>
      <c r="AE41" s="25">
        <f t="shared" si="7"/>
        <v>1177748146.1888769</v>
      </c>
      <c r="AF41" s="25">
        <f t="shared" si="24"/>
        <v>75008122951.124893</v>
      </c>
      <c r="AG41" s="25">
        <f>AE41/((1+'How much will I make'!$C$5/12)^(Calculations!$B$1*12-Calculations!$A41))</f>
        <v>186673489.94936332</v>
      </c>
      <c r="AH41" s="25">
        <f t="shared" si="25"/>
        <v>10893406414.163652</v>
      </c>
    </row>
    <row r="42" spans="1:34" ht="15.75" customHeight="1">
      <c r="A42" s="22">
        <f t="shared" si="8"/>
        <v>38</v>
      </c>
      <c r="B42" s="22">
        <f t="shared" ref="B42:B52" si="28">B41</f>
        <v>578.8125</v>
      </c>
      <c r="C42" s="25">
        <f t="shared" si="0"/>
        <v>3636.6531618603944</v>
      </c>
      <c r="D42" s="25">
        <f t="shared" si="10"/>
        <v>136078.9554343663</v>
      </c>
      <c r="E42" s="25">
        <f>$C42/((1+'How much will I make'!$C$5/12)^(Calculations!$B$1*12-Calculations!$A42))</f>
        <v>578.8125</v>
      </c>
      <c r="F42" s="25">
        <f t="shared" si="11"/>
        <v>20072.625</v>
      </c>
      <c r="G42" s="25">
        <f t="shared" si="1"/>
        <v>22675.706564968863</v>
      </c>
      <c r="H42" s="25">
        <f t="shared" si="12"/>
        <v>917139.51452692179</v>
      </c>
      <c r="I42" s="25">
        <f>G42/((1+'How much will I make'!$C$5/12)^(Calculations!$B$1*12-Calculations!$A42))</f>
        <v>3609.0828082768612</v>
      </c>
      <c r="J42" s="25">
        <f t="shared" si="13"/>
        <v>135004.21368323584</v>
      </c>
      <c r="K42" s="25">
        <f t="shared" si="2"/>
        <v>140327.24388237522</v>
      </c>
      <c r="L42" s="25">
        <f t="shared" si="14"/>
        <v>6145448.1146949157</v>
      </c>
      <c r="M42" s="25">
        <f>K42/((1+'How much will I make'!$C$5/12)^(Calculations!$B$1*12-Calculations!$A42))</f>
        <v>22334.591514390158</v>
      </c>
      <c r="N42" s="25">
        <f t="shared" si="15"/>
        <v>902753.3402400309</v>
      </c>
      <c r="O42" s="25">
        <f t="shared" si="3"/>
        <v>861930.61499904294</v>
      </c>
      <c r="P42" s="25">
        <f t="shared" si="16"/>
        <v>40941068.393628314</v>
      </c>
      <c r="Q42" s="25">
        <f>O42/((1+'How much will I make'!$C$5/12)^(Calculations!$B$1*12-Calculations!$A42))</f>
        <v>137185.53623049229</v>
      </c>
      <c r="R42" s="25">
        <f t="shared" si="17"/>
        <v>6001853.5988598773</v>
      </c>
      <c r="S42" s="25">
        <f t="shared" si="4"/>
        <v>5255068.1695971005</v>
      </c>
      <c r="T42" s="25">
        <f t="shared" si="18"/>
        <v>271183844.16904294</v>
      </c>
      <c r="U42" s="25">
        <f>S42/((1+'How much will I make'!$C$5/12)^(Calculations!$B$1*12-Calculations!$A42))</f>
        <v>836400.67103866639</v>
      </c>
      <c r="V42" s="25">
        <f t="shared" si="19"/>
        <v>39674348.934269704</v>
      </c>
      <c r="W42" s="25">
        <f t="shared" si="5"/>
        <v>31804341.25465313</v>
      </c>
      <c r="X42" s="25">
        <f t="shared" si="20"/>
        <v>1785981665.9423738</v>
      </c>
      <c r="Y42" s="25">
        <f>W42/((1+'How much will I make'!$C$5/12)^(Calculations!$B$1*12-Calculations!$A42))</f>
        <v>5062003.2906964356</v>
      </c>
      <c r="Z42" s="25">
        <f t="shared" si="21"/>
        <v>260767693.18390322</v>
      </c>
      <c r="AA42" s="25">
        <f t="shared" si="6"/>
        <v>191083156.0657936</v>
      </c>
      <c r="AB42" s="25">
        <f t="shared" si="22"/>
        <v>11695165061.767757</v>
      </c>
      <c r="AC42" s="25">
        <f>AA42/((1+'How much will I make'!$C$5/12)^(Calculations!$B$1*12-Calculations!$A42))</f>
        <v>30412941.33580561</v>
      </c>
      <c r="AD42" s="25">
        <f t="shared" si="23"/>
        <v>1704224334.6393931</v>
      </c>
      <c r="AE42" s="25">
        <f t="shared" si="7"/>
        <v>1139756270.5053647</v>
      </c>
      <c r="AF42" s="25">
        <f t="shared" si="24"/>
        <v>76147879221.630264</v>
      </c>
      <c r="AG42" s="25">
        <f>AE42/((1+'How much will I make'!$C$5/12)^(Calculations!$B$1*12-Calculations!$A42))</f>
        <v>181404480.15240544</v>
      </c>
      <c r="AH42" s="25">
        <f t="shared" si="25"/>
        <v>11074810894.316057</v>
      </c>
    </row>
    <row r="43" spans="1:34" ht="15.75" customHeight="1">
      <c r="A43" s="22">
        <f t="shared" si="8"/>
        <v>39</v>
      </c>
      <c r="B43" s="22">
        <f t="shared" si="28"/>
        <v>578.8125</v>
      </c>
      <c r="C43" s="25">
        <f t="shared" si="0"/>
        <v>3621.5633147157446</v>
      </c>
      <c r="D43" s="25">
        <f t="shared" si="10"/>
        <v>139700.51874908205</v>
      </c>
      <c r="E43" s="25">
        <f>$C43/((1+'How much will I make'!$C$5/12)^(Calculations!$B$1*12-Calculations!$A43))</f>
        <v>578.8125</v>
      </c>
      <c r="F43" s="25">
        <f t="shared" si="11"/>
        <v>20651.4375</v>
      </c>
      <c r="G43" s="25">
        <f t="shared" si="1"/>
        <v>22488.304031374078</v>
      </c>
      <c r="H43" s="25">
        <f t="shared" si="12"/>
        <v>939627.81855829584</v>
      </c>
      <c r="I43" s="25">
        <f>G43/((1+'How much will I make'!$C$5/12)^(Calculations!$B$1*12-Calculations!$A43))</f>
        <v>3594.1692429534041</v>
      </c>
      <c r="J43" s="25">
        <f t="shared" si="13"/>
        <v>138598.38292618925</v>
      </c>
      <c r="K43" s="25">
        <f t="shared" si="2"/>
        <v>138594.80877271623</v>
      </c>
      <c r="L43" s="25">
        <f t="shared" si="14"/>
        <v>6284042.9234676324</v>
      </c>
      <c r="M43" s="25">
        <f>K43/((1+'How much will I make'!$C$5/12)^(Calculations!$B$1*12-Calculations!$A43))</f>
        <v>22150.767715917813</v>
      </c>
      <c r="N43" s="25">
        <f t="shared" si="15"/>
        <v>924904.10795594868</v>
      </c>
      <c r="O43" s="25">
        <f t="shared" si="3"/>
        <v>847800.6049170912</v>
      </c>
      <c r="P43" s="25">
        <f t="shared" si="16"/>
        <v>41788868.998545408</v>
      </c>
      <c r="Q43" s="25">
        <f>O43/((1+'How much will I make'!$C$5/12)^(Calculations!$B$1*12-Calculations!$A43))</f>
        <v>135498.82881782233</v>
      </c>
      <c r="R43" s="25">
        <f t="shared" si="17"/>
        <v>6137352.4276776994</v>
      </c>
      <c r="S43" s="25">
        <f t="shared" si="4"/>
        <v>5147821.8804216506</v>
      </c>
      <c r="T43" s="25">
        <f t="shared" si="18"/>
        <v>276331666.04946458</v>
      </c>
      <c r="U43" s="25">
        <f>S43/((1+'How much will I make'!$C$5/12)^(Calculations!$B$1*12-Calculations!$A43))</f>
        <v>822745.14987885184</v>
      </c>
      <c r="V43" s="25">
        <f t="shared" si="19"/>
        <v>40497094.084148556</v>
      </c>
      <c r="W43" s="25">
        <f t="shared" si="5"/>
        <v>31028625.614295736</v>
      </c>
      <c r="X43" s="25">
        <f t="shared" si="20"/>
        <v>1817010291.5566695</v>
      </c>
      <c r="Y43" s="25">
        <f>W43/((1+'How much will I make'!$C$5/12)^(Calculations!$B$1*12-Calculations!$A43))</f>
        <v>4959117.0449505746</v>
      </c>
      <c r="Z43" s="25">
        <f t="shared" si="21"/>
        <v>265726810.22885379</v>
      </c>
      <c r="AA43" s="25">
        <f t="shared" si="6"/>
        <v>185667843.95056865</v>
      </c>
      <c r="AB43" s="25">
        <f t="shared" si="22"/>
        <v>11880832905.718327</v>
      </c>
      <c r="AC43" s="25">
        <f>AA43/((1+'How much will I make'!$C$5/12)^(Calculations!$B$1*12-Calculations!$A43))</f>
        <v>29674165.432911549</v>
      </c>
      <c r="AD43" s="25">
        <f t="shared" si="23"/>
        <v>1733898500.0723047</v>
      </c>
      <c r="AE43" s="25">
        <f t="shared" si="7"/>
        <v>1102989939.1987402</v>
      </c>
      <c r="AF43" s="25">
        <f t="shared" si="24"/>
        <v>77250869160.82901</v>
      </c>
      <c r="AG43" s="25">
        <f>AE43/((1+'How much will I make'!$C$5/12)^(Calculations!$B$1*12-Calculations!$A43))</f>
        <v>176284192.40616828</v>
      </c>
      <c r="AH43" s="25">
        <f t="shared" si="25"/>
        <v>11251095086.722225</v>
      </c>
    </row>
    <row r="44" spans="1:34" ht="15.75" customHeight="1">
      <c r="A44" s="22">
        <f t="shared" si="8"/>
        <v>40</v>
      </c>
      <c r="B44" s="22">
        <f t="shared" si="28"/>
        <v>578.8125</v>
      </c>
      <c r="C44" s="25">
        <f t="shared" si="0"/>
        <v>3606.5360810447255</v>
      </c>
      <c r="D44" s="25">
        <f t="shared" si="10"/>
        <v>143307.05483012678</v>
      </c>
      <c r="E44" s="25">
        <f>$C44/((1+'How much will I make'!$C$5/12)^(Calculations!$B$1*12-Calculations!$A44))</f>
        <v>578.8125</v>
      </c>
      <c r="F44" s="25">
        <f t="shared" si="11"/>
        <v>21230.25</v>
      </c>
      <c r="G44" s="25">
        <f t="shared" si="1"/>
        <v>22302.450279048677</v>
      </c>
      <c r="H44" s="25">
        <f t="shared" si="12"/>
        <v>961930.26883734448</v>
      </c>
      <c r="I44" s="25">
        <f>G44/((1+'How much will I make'!$C$5/12)^(Calculations!$B$1*12-Calculations!$A44))</f>
        <v>3579.3173039329358</v>
      </c>
      <c r="J44" s="25">
        <f t="shared" si="13"/>
        <v>142177.70023012219</v>
      </c>
      <c r="K44" s="25">
        <f t="shared" si="2"/>
        <v>136883.76175083086</v>
      </c>
      <c r="L44" s="25">
        <f t="shared" si="14"/>
        <v>6420926.6852184637</v>
      </c>
      <c r="M44" s="25">
        <f>K44/((1+'How much will I make'!$C$5/12)^(Calculations!$B$1*12-Calculations!$A44))</f>
        <v>21968.456870519312</v>
      </c>
      <c r="N44" s="25">
        <f t="shared" si="15"/>
        <v>946872.56482646801</v>
      </c>
      <c r="O44" s="25">
        <f t="shared" si="3"/>
        <v>833902.2343446801</v>
      </c>
      <c r="P44" s="25">
        <f t="shared" si="16"/>
        <v>42622771.232890092</v>
      </c>
      <c r="Q44" s="25">
        <f>O44/((1+'How much will I make'!$C$5/12)^(Calculations!$B$1*12-Calculations!$A44))</f>
        <v>133832.85961104583</v>
      </c>
      <c r="R44" s="25">
        <f t="shared" si="17"/>
        <v>6271185.2872887449</v>
      </c>
      <c r="S44" s="25">
        <f t="shared" si="4"/>
        <v>5042764.2910252903</v>
      </c>
      <c r="T44" s="25">
        <f t="shared" si="18"/>
        <v>281374430.34048986</v>
      </c>
      <c r="U44" s="25">
        <f>S44/((1+'How much will I make'!$C$5/12)^(Calculations!$B$1*12-Calculations!$A44))</f>
        <v>809312.57600327861</v>
      </c>
      <c r="V44" s="25">
        <f t="shared" si="19"/>
        <v>41306406.660151832</v>
      </c>
      <c r="W44" s="25">
        <f t="shared" si="5"/>
        <v>30271829.867605604</v>
      </c>
      <c r="X44" s="25">
        <f t="shared" si="20"/>
        <v>1847282121.4242752</v>
      </c>
      <c r="Y44" s="25">
        <f>W44/((1+'How much will I make'!$C$5/12)^(Calculations!$B$1*12-Calculations!$A44))</f>
        <v>4858321.983061336</v>
      </c>
      <c r="Z44" s="25">
        <f t="shared" si="21"/>
        <v>270585132.21191514</v>
      </c>
      <c r="AA44" s="25">
        <f t="shared" si="6"/>
        <v>180406002.21917602</v>
      </c>
      <c r="AB44" s="25">
        <f t="shared" si="22"/>
        <v>12061238907.937502</v>
      </c>
      <c r="AC44" s="25">
        <f>AA44/((1+'How much will I make'!$C$5/12)^(Calculations!$B$1*12-Calculations!$A44))</f>
        <v>28953335.503367137</v>
      </c>
      <c r="AD44" s="25">
        <f t="shared" si="23"/>
        <v>1762851835.5756719</v>
      </c>
      <c r="AE44" s="25">
        <f t="shared" si="7"/>
        <v>1067409618.5794257</v>
      </c>
      <c r="AF44" s="25">
        <f t="shared" si="24"/>
        <v>78318278779.408432</v>
      </c>
      <c r="AG44" s="25">
        <f>AE44/((1+'How much will I make'!$C$5/12)^(Calculations!$B$1*12-Calculations!$A44))</f>
        <v>171308428.91083279</v>
      </c>
      <c r="AH44" s="25">
        <f t="shared" si="25"/>
        <v>11422403515.633059</v>
      </c>
    </row>
    <row r="45" spans="1:34" ht="15.75" customHeight="1">
      <c r="A45" s="22">
        <f t="shared" si="8"/>
        <v>41</v>
      </c>
      <c r="B45" s="22">
        <f t="shared" si="28"/>
        <v>578.8125</v>
      </c>
      <c r="C45" s="25">
        <f t="shared" si="0"/>
        <v>3591.5712010403918</v>
      </c>
      <c r="D45" s="25">
        <f t="shared" si="10"/>
        <v>146898.62603116716</v>
      </c>
      <c r="E45" s="25">
        <f>$C45/((1+'How much will I make'!$C$5/12)^(Calculations!$B$1*12-Calculations!$A45))</f>
        <v>578.8125</v>
      </c>
      <c r="F45" s="25">
        <f t="shared" si="11"/>
        <v>21809.0625</v>
      </c>
      <c r="G45" s="25">
        <f t="shared" si="1"/>
        <v>22118.132508147446</v>
      </c>
      <c r="H45" s="25">
        <f t="shared" si="12"/>
        <v>984048.40134549187</v>
      </c>
      <c r="I45" s="25">
        <f>G45/((1+'How much will I make'!$C$5/12)^(Calculations!$B$1*12-Calculations!$A45))</f>
        <v>3564.5267365613104</v>
      </c>
      <c r="J45" s="25">
        <f t="shared" si="13"/>
        <v>145742.22696668349</v>
      </c>
      <c r="K45" s="25">
        <f t="shared" si="2"/>
        <v>135193.83876625271</v>
      </c>
      <c r="L45" s="25">
        <f t="shared" si="14"/>
        <v>6556120.5239847163</v>
      </c>
      <c r="M45" s="25">
        <f>K45/((1+'How much will I make'!$C$5/12)^(Calculations!$B$1*12-Calculations!$A45))</f>
        <v>21787.646525905977</v>
      </c>
      <c r="N45" s="25">
        <f t="shared" si="15"/>
        <v>968660.21135237394</v>
      </c>
      <c r="O45" s="25">
        <f t="shared" si="3"/>
        <v>820231.70591280004</v>
      </c>
      <c r="P45" s="25">
        <f t="shared" si="16"/>
        <v>43443002.93880289</v>
      </c>
      <c r="Q45" s="25">
        <f>O45/((1+'How much will I make'!$C$5/12)^(Calculations!$B$1*12-Calculations!$A45))</f>
        <v>132187.37363222145</v>
      </c>
      <c r="R45" s="25">
        <f t="shared" si="17"/>
        <v>6403372.6609209664</v>
      </c>
      <c r="S45" s="25">
        <f t="shared" si="4"/>
        <v>4939850.7340655904</v>
      </c>
      <c r="T45" s="25">
        <f t="shared" si="18"/>
        <v>286314281.07455546</v>
      </c>
      <c r="U45" s="25">
        <f>S45/((1+'How much will I make'!$C$5/12)^(Calculations!$B$1*12-Calculations!$A45))</f>
        <v>796099.30945628602</v>
      </c>
      <c r="V45" s="25">
        <f t="shared" si="19"/>
        <v>42102505.969608121</v>
      </c>
      <c r="W45" s="25">
        <f t="shared" si="5"/>
        <v>29533492.55376156</v>
      </c>
      <c r="X45" s="25">
        <f t="shared" si="20"/>
        <v>1876815613.9780366</v>
      </c>
      <c r="Y45" s="25">
        <f>W45/((1+'How much will I make'!$C$5/12)^(Calculations!$B$1*12-Calculations!$A45))</f>
        <v>4759575.6012917943</v>
      </c>
      <c r="Z45" s="25">
        <f t="shared" si="21"/>
        <v>275344707.81320691</v>
      </c>
      <c r="AA45" s="25">
        <f t="shared" si="6"/>
        <v>175293281.50851122</v>
      </c>
      <c r="AB45" s="25">
        <f t="shared" si="22"/>
        <v>12236532189.446012</v>
      </c>
      <c r="AC45" s="25">
        <f>AA45/((1+'How much will I make'!$C$5/12)^(Calculations!$B$1*12-Calculations!$A45))</f>
        <v>28250015.612597089</v>
      </c>
      <c r="AD45" s="25">
        <f t="shared" si="23"/>
        <v>1791101851.1882689</v>
      </c>
      <c r="AE45" s="25">
        <f t="shared" si="7"/>
        <v>1032977050.2381538</v>
      </c>
      <c r="AF45" s="25">
        <f t="shared" si="24"/>
        <v>79351255829.646591</v>
      </c>
      <c r="AG45" s="25">
        <f>AE45/((1+'How much will I make'!$C$5/12)^(Calculations!$B$1*12-Calculations!$A45))</f>
        <v>166473110.35286567</v>
      </c>
      <c r="AH45" s="25">
        <f t="shared" si="25"/>
        <v>11588876625.985924</v>
      </c>
    </row>
    <row r="46" spans="1:34" ht="15.75" customHeight="1">
      <c r="A46" s="22">
        <f t="shared" si="8"/>
        <v>42</v>
      </c>
      <c r="B46" s="22">
        <f t="shared" si="28"/>
        <v>578.8125</v>
      </c>
      <c r="C46" s="25">
        <f t="shared" si="0"/>
        <v>3576.6684159738329</v>
      </c>
      <c r="D46" s="25">
        <f t="shared" si="10"/>
        <v>150475.294447141</v>
      </c>
      <c r="E46" s="25">
        <f>$C46/((1+'How much will I make'!$C$5/12)^(Calculations!$B$1*12-Calculations!$A46))</f>
        <v>578.8125</v>
      </c>
      <c r="F46" s="25">
        <f t="shared" si="11"/>
        <v>22387.875</v>
      </c>
      <c r="G46" s="25">
        <f t="shared" si="1"/>
        <v>21935.338024609046</v>
      </c>
      <c r="H46" s="25">
        <f t="shared" si="12"/>
        <v>1005983.7393701009</v>
      </c>
      <c r="I46" s="25">
        <f>G46/((1+'How much will I make'!$C$5/12)^(Calculations!$B$1*12-Calculations!$A46))</f>
        <v>3549.7972872366795</v>
      </c>
      <c r="J46" s="25">
        <f t="shared" si="13"/>
        <v>149292.02425392016</v>
      </c>
      <c r="K46" s="25">
        <f t="shared" si="2"/>
        <v>133524.77902839772</v>
      </c>
      <c r="L46" s="25">
        <f t="shared" si="14"/>
        <v>6689645.3030131143</v>
      </c>
      <c r="M46" s="25">
        <f>K46/((1+'How much will I make'!$C$5/12)^(Calculations!$B$1*12-Calculations!$A46))</f>
        <v>21608.324332277127</v>
      </c>
      <c r="N46" s="25">
        <f t="shared" si="15"/>
        <v>990268.53568465111</v>
      </c>
      <c r="O46" s="25">
        <f t="shared" si="3"/>
        <v>806785.28450439381</v>
      </c>
      <c r="P46" s="25">
        <f t="shared" si="16"/>
        <v>44249788.223307282</v>
      </c>
      <c r="Q46" s="25">
        <f>O46/((1+'How much will I make'!$C$5/12)^(Calculations!$B$1*12-Calculations!$A46))</f>
        <v>130562.11903838276</v>
      </c>
      <c r="R46" s="25">
        <f t="shared" si="17"/>
        <v>6533934.779959349</v>
      </c>
      <c r="S46" s="25">
        <f t="shared" si="4"/>
        <v>4839037.4537785389</v>
      </c>
      <c r="T46" s="25">
        <f t="shared" si="18"/>
        <v>291153318.52833402</v>
      </c>
      <c r="U46" s="25">
        <f>S46/((1+'How much will I make'!$C$5/12)^(Calculations!$B$1*12-Calculations!$A46))</f>
        <v>783101.76971006137</v>
      </c>
      <c r="V46" s="25">
        <f t="shared" si="19"/>
        <v>42885607.739318185</v>
      </c>
      <c r="W46" s="25">
        <f t="shared" si="5"/>
        <v>28813163.467084449</v>
      </c>
      <c r="X46" s="25">
        <f t="shared" si="20"/>
        <v>1905628777.445121</v>
      </c>
      <c r="Y46" s="25">
        <f>W46/((1+'How much will I make'!$C$5/12)^(Calculations!$B$1*12-Calculations!$A46))</f>
        <v>4662836.2598021254</v>
      </c>
      <c r="Z46" s="25">
        <f t="shared" si="21"/>
        <v>280007544.07300901</v>
      </c>
      <c r="AA46" s="25">
        <f t="shared" si="6"/>
        <v>170325455.71677199</v>
      </c>
      <c r="AB46" s="25">
        <f t="shared" si="22"/>
        <v>12406857645.162785</v>
      </c>
      <c r="AC46" s="25">
        <f>AA46/((1+'How much will I make'!$C$5/12)^(Calculations!$B$1*12-Calculations!$A46))</f>
        <v>27563780.415529959</v>
      </c>
      <c r="AD46" s="25">
        <f t="shared" si="23"/>
        <v>1818665631.6037989</v>
      </c>
      <c r="AE46" s="25">
        <f t="shared" si="7"/>
        <v>999655209.9078908</v>
      </c>
      <c r="AF46" s="25">
        <f t="shared" si="24"/>
        <v>80350911039.554489</v>
      </c>
      <c r="AG46" s="25">
        <f>AE46/((1+'How much will I make'!$C$5/12)^(Calculations!$B$1*12-Calculations!$A46))</f>
        <v>161774272.56064776</v>
      </c>
      <c r="AH46" s="25">
        <f t="shared" si="25"/>
        <v>11750650898.546572</v>
      </c>
    </row>
    <row r="47" spans="1:34" ht="15.75" customHeight="1">
      <c r="A47" s="22">
        <f t="shared" si="8"/>
        <v>43</v>
      </c>
      <c r="B47" s="22">
        <f t="shared" si="28"/>
        <v>578.8125</v>
      </c>
      <c r="C47" s="25">
        <f t="shared" si="0"/>
        <v>3561.8274681897087</v>
      </c>
      <c r="D47" s="25">
        <f t="shared" si="10"/>
        <v>154037.1219153307</v>
      </c>
      <c r="E47" s="25">
        <f>$C47/((1+'How much will I make'!$C$5/12)^(Calculations!$B$1*12-Calculations!$A47))</f>
        <v>578.8125</v>
      </c>
      <c r="F47" s="25">
        <f t="shared" si="11"/>
        <v>22966.6875</v>
      </c>
      <c r="G47" s="25">
        <f t="shared" si="1"/>
        <v>21754.05423928169</v>
      </c>
      <c r="H47" s="25">
        <f t="shared" si="12"/>
        <v>1027737.7936093826</v>
      </c>
      <c r="I47" s="25">
        <f>G47/((1+'How much will I make'!$C$5/12)^(Calculations!$B$1*12-Calculations!$A47))</f>
        <v>3535.128703405122</v>
      </c>
      <c r="J47" s="25">
        <f t="shared" si="13"/>
        <v>152827.15295732528</v>
      </c>
      <c r="K47" s="25">
        <f t="shared" si="2"/>
        <v>131876.32496631876</v>
      </c>
      <c r="L47" s="25">
        <f t="shared" si="14"/>
        <v>6821521.6279794332</v>
      </c>
      <c r="M47" s="25">
        <f>K47/((1+'How much will I make'!$C$5/12)^(Calculations!$B$1*12-Calculations!$A47))</f>
        <v>21430.478041476497</v>
      </c>
      <c r="N47" s="25">
        <f t="shared" si="15"/>
        <v>1011699.0137261276</v>
      </c>
      <c r="O47" s="25">
        <f t="shared" si="3"/>
        <v>793559.29623382981</v>
      </c>
      <c r="P47" s="25">
        <f t="shared" si="16"/>
        <v>45043347.519541115</v>
      </c>
      <c r="Q47" s="25">
        <f>O47/((1+'How much will I make'!$C$5/12)^(Calculations!$B$1*12-Calculations!$A47))</f>
        <v>128956.84708299278</v>
      </c>
      <c r="R47" s="25">
        <f t="shared" si="17"/>
        <v>6662891.627042342</v>
      </c>
      <c r="S47" s="25">
        <f t="shared" si="4"/>
        <v>4740281.5873748958</v>
      </c>
      <c r="T47" s="25">
        <f t="shared" si="18"/>
        <v>295893600.11570895</v>
      </c>
      <c r="U47" s="25">
        <f>S47/((1+'How much will I make'!$C$5/12)^(Calculations!$B$1*12-Calculations!$A47))</f>
        <v>770316.43469438714</v>
      </c>
      <c r="V47" s="25">
        <f t="shared" si="19"/>
        <v>43655924.174012572</v>
      </c>
      <c r="W47" s="25">
        <f t="shared" si="5"/>
        <v>28110403.382521417</v>
      </c>
      <c r="X47" s="25">
        <f t="shared" si="20"/>
        <v>1933739180.8276424</v>
      </c>
      <c r="Y47" s="25">
        <f>W47/((1+'How much will I make'!$C$5/12)^(Calculations!$B$1*12-Calculations!$A47))</f>
        <v>4568063.1650907006</v>
      </c>
      <c r="Z47" s="25">
        <f t="shared" si="21"/>
        <v>284575607.23809969</v>
      </c>
      <c r="AA47" s="25">
        <f t="shared" si="6"/>
        <v>165498418.51022381</v>
      </c>
      <c r="AB47" s="25">
        <f t="shared" si="22"/>
        <v>12572356063.673008</v>
      </c>
      <c r="AC47" s="25">
        <f>AA47/((1+'How much will I make'!$C$5/12)^(Calculations!$B$1*12-Calculations!$A47))</f>
        <v>26894214.899363242</v>
      </c>
      <c r="AD47" s="25">
        <f t="shared" si="23"/>
        <v>1845559846.5031621</v>
      </c>
      <c r="AE47" s="25">
        <f t="shared" si="7"/>
        <v>967408267.65279746</v>
      </c>
      <c r="AF47" s="25">
        <f t="shared" si="24"/>
        <v>81318319307.207291</v>
      </c>
      <c r="AG47" s="25">
        <f>AE47/((1+'How much will I make'!$C$5/12)^(Calculations!$B$1*12-Calculations!$A47))</f>
        <v>157208063.25450042</v>
      </c>
      <c r="AH47" s="25">
        <f t="shared" si="25"/>
        <v>11907858961.801073</v>
      </c>
    </row>
    <row r="48" spans="1:34" ht="15.75" customHeight="1">
      <c r="A48" s="22">
        <f t="shared" si="8"/>
        <v>44</v>
      </c>
      <c r="B48" s="22">
        <f t="shared" si="28"/>
        <v>578.8125</v>
      </c>
      <c r="C48" s="25">
        <f t="shared" si="0"/>
        <v>3547.0481011017851</v>
      </c>
      <c r="D48" s="25">
        <f t="shared" si="10"/>
        <v>157584.1700164325</v>
      </c>
      <c r="E48" s="25">
        <f>$C48/((1+'How much will I make'!$C$5/12)^(Calculations!$B$1*12-Calculations!$A48))</f>
        <v>578.8125</v>
      </c>
      <c r="F48" s="25">
        <f t="shared" si="11"/>
        <v>23545.5</v>
      </c>
      <c r="G48" s="25">
        <f t="shared" si="1"/>
        <v>21574.268667056225</v>
      </c>
      <c r="H48" s="25">
        <f t="shared" si="12"/>
        <v>1049312.0622764388</v>
      </c>
      <c r="I48" s="25">
        <f>G48/((1+'How much will I make'!$C$5/12)^(Calculations!$B$1*12-Calculations!$A48))</f>
        <v>3520.5207335563405</v>
      </c>
      <c r="J48" s="25">
        <f t="shared" si="13"/>
        <v>156347.67369088161</v>
      </c>
      <c r="K48" s="25">
        <f t="shared" si="2"/>
        <v>130248.22218895683</v>
      </c>
      <c r="L48" s="25">
        <f t="shared" si="14"/>
        <v>6951769.8501683902</v>
      </c>
      <c r="M48" s="25">
        <f>K48/((1+'How much will I make'!$C$5/12)^(Calculations!$B$1*12-Calculations!$A48))</f>
        <v>21254.095506155707</v>
      </c>
      <c r="N48" s="25">
        <f t="shared" si="15"/>
        <v>1032953.1092322833</v>
      </c>
      <c r="O48" s="25">
        <f t="shared" si="3"/>
        <v>780550.12744311127</v>
      </c>
      <c r="P48" s="25">
        <f t="shared" si="16"/>
        <v>45823897.646984227</v>
      </c>
      <c r="Q48" s="25">
        <f>O48/((1+'How much will I make'!$C$5/12)^(Calculations!$B$1*12-Calculations!$A48))</f>
        <v>127371.312077874</v>
      </c>
      <c r="R48" s="25">
        <f t="shared" si="17"/>
        <v>6790262.9391202163</v>
      </c>
      <c r="S48" s="25">
        <f t="shared" si="4"/>
        <v>4643541.1468162248</v>
      </c>
      <c r="T48" s="25">
        <f t="shared" si="18"/>
        <v>300537141.2625252</v>
      </c>
      <c r="U48" s="25">
        <f>S48/((1+'How much will I make'!$C$5/12)^(Calculations!$B$1*12-Calculations!$A48))</f>
        <v>757739.83984223381</v>
      </c>
      <c r="V48" s="25">
        <f t="shared" si="19"/>
        <v>44413664.013854802</v>
      </c>
      <c r="W48" s="25">
        <f t="shared" si="5"/>
        <v>27424783.787825774</v>
      </c>
      <c r="X48" s="25">
        <f t="shared" si="20"/>
        <v>1961163964.6154683</v>
      </c>
      <c r="Y48" s="25">
        <f>W48/((1+'How much will I make'!$C$5/12)^(Calculations!$B$1*12-Calculations!$A48))</f>
        <v>4475216.3527921094</v>
      </c>
      <c r="Z48" s="25">
        <f t="shared" si="21"/>
        <v>289050823.59089178</v>
      </c>
      <c r="AA48" s="25">
        <f t="shared" si="6"/>
        <v>160808179.92896244</v>
      </c>
      <c r="AB48" s="25">
        <f t="shared" si="22"/>
        <v>12733164243.601971</v>
      </c>
      <c r="AC48" s="25">
        <f>AA48/((1+'How much will I make'!$C$5/12)^(Calculations!$B$1*12-Calculations!$A48))</f>
        <v>26240914.132577091</v>
      </c>
      <c r="AD48" s="25">
        <f t="shared" si="23"/>
        <v>1871800760.6357393</v>
      </c>
      <c r="AE48" s="25">
        <f t="shared" si="7"/>
        <v>936201549.3414166</v>
      </c>
      <c r="AF48" s="25">
        <f t="shared" si="24"/>
        <v>82254520856.548706</v>
      </c>
      <c r="AG48" s="25">
        <f>AE48/((1+'How much will I make'!$C$5/12)^(Calculations!$B$1*12-Calculations!$A48))</f>
        <v>152770738.88844591</v>
      </c>
      <c r="AH48" s="25">
        <f t="shared" si="25"/>
        <v>12060629700.68952</v>
      </c>
    </row>
    <row r="49" spans="1:34" ht="15.75" customHeight="1">
      <c r="A49" s="22">
        <f t="shared" si="8"/>
        <v>45</v>
      </c>
      <c r="B49" s="22">
        <f t="shared" si="28"/>
        <v>578.8125</v>
      </c>
      <c r="C49" s="25">
        <f t="shared" si="0"/>
        <v>3532.330059188499</v>
      </c>
      <c r="D49" s="25">
        <f t="shared" si="10"/>
        <v>161116.50007562101</v>
      </c>
      <c r="E49" s="25">
        <f>$C49/((1+'How much will I make'!$C$5/12)^(Calculations!$B$1*12-Calculations!$A49))</f>
        <v>578.8125</v>
      </c>
      <c r="F49" s="25">
        <f t="shared" si="11"/>
        <v>24124.3125</v>
      </c>
      <c r="G49" s="25">
        <f t="shared" si="1"/>
        <v>21395.968926006179</v>
      </c>
      <c r="H49" s="25">
        <f t="shared" si="12"/>
        <v>1070708.031202445</v>
      </c>
      <c r="I49" s="25">
        <f>G49/((1+'How much will I make'!$C$5/12)^(Calculations!$B$1*12-Calculations!$A49))</f>
        <v>3505.9731272193321</v>
      </c>
      <c r="J49" s="25">
        <f t="shared" si="13"/>
        <v>159853.64681810094</v>
      </c>
      <c r="K49" s="25">
        <f t="shared" si="2"/>
        <v>128640.21944588327</v>
      </c>
      <c r="L49" s="25">
        <f t="shared" si="14"/>
        <v>7080410.0696142735</v>
      </c>
      <c r="M49" s="25">
        <f>K49/((1+'How much will I make'!$C$5/12)^(Calculations!$B$1*12-Calculations!$A49))</f>
        <v>21079.164678944548</v>
      </c>
      <c r="N49" s="25">
        <f t="shared" si="15"/>
        <v>1054032.2739112279</v>
      </c>
      <c r="O49" s="25">
        <f t="shared" si="3"/>
        <v>767754.22371453547</v>
      </c>
      <c r="P49" s="25">
        <f t="shared" si="16"/>
        <v>46591651.870698765</v>
      </c>
      <c r="Q49" s="25">
        <f>O49/((1+'How much will I make'!$C$5/12)^(Calculations!$B$1*12-Calculations!$A49))</f>
        <v>125805.27135560504</v>
      </c>
      <c r="R49" s="25">
        <f t="shared" si="17"/>
        <v>6916068.210475821</v>
      </c>
      <c r="S49" s="25">
        <f t="shared" si="4"/>
        <v>4548775.0009628329</v>
      </c>
      <c r="T49" s="25">
        <f t="shared" si="18"/>
        <v>305085916.26348805</v>
      </c>
      <c r="U49" s="25">
        <f>S49/((1+'How much will I make'!$C$5/12)^(Calculations!$B$1*12-Calculations!$A49))</f>
        <v>745368.57715093228</v>
      </c>
      <c r="V49" s="25">
        <f t="shared" si="19"/>
        <v>45159032.591005735</v>
      </c>
      <c r="W49" s="25">
        <f t="shared" si="5"/>
        <v>26755886.622269053</v>
      </c>
      <c r="X49" s="25">
        <f t="shared" si="20"/>
        <v>1987919851.2377374</v>
      </c>
      <c r="Y49" s="25">
        <f>W49/((1+'How much will I make'!$C$5/12)^(Calculations!$B$1*12-Calculations!$A49))</f>
        <v>4384256.6708247913</v>
      </c>
      <c r="Z49" s="25">
        <f t="shared" si="21"/>
        <v>293435080.26171654</v>
      </c>
      <c r="AA49" s="25">
        <f t="shared" si="6"/>
        <v>156250863.08887044</v>
      </c>
      <c r="AB49" s="25">
        <f t="shared" si="22"/>
        <v>12889415106.690842</v>
      </c>
      <c r="AC49" s="25">
        <f>AA49/((1+'How much will I make'!$C$5/12)^(Calculations!$B$1*12-Calculations!$A49))</f>
        <v>25603483.020044867</v>
      </c>
      <c r="AD49" s="25">
        <f t="shared" si="23"/>
        <v>1897404243.6557841</v>
      </c>
      <c r="AE49" s="25">
        <f t="shared" si="7"/>
        <v>906001499.36266112</v>
      </c>
      <c r="AF49" s="25">
        <f t="shared" si="24"/>
        <v>83160522355.911362</v>
      </c>
      <c r="AG49" s="25">
        <f>AE49/((1+'How much will I make'!$C$5/12)^(Calculations!$B$1*12-Calculations!$A49))</f>
        <v>148458661.58111075</v>
      </c>
      <c r="AH49" s="25">
        <f t="shared" si="25"/>
        <v>12209088362.27063</v>
      </c>
    </row>
    <row r="50" spans="1:34" ht="15.75" customHeight="1">
      <c r="A50" s="22">
        <f t="shared" si="8"/>
        <v>46</v>
      </c>
      <c r="B50" s="22">
        <f t="shared" si="28"/>
        <v>578.8125</v>
      </c>
      <c r="C50" s="25">
        <f t="shared" si="0"/>
        <v>3517.6730879885467</v>
      </c>
      <c r="D50" s="25">
        <f t="shared" si="10"/>
        <v>164634.17316360955</v>
      </c>
      <c r="E50" s="25">
        <f>$C50/((1+'How much will I make'!$C$5/12)^(Calculations!$B$1*12-Calculations!$A50))</f>
        <v>578.8125</v>
      </c>
      <c r="F50" s="25">
        <f t="shared" si="11"/>
        <v>24703.125</v>
      </c>
      <c r="G50" s="25">
        <f t="shared" si="1"/>
        <v>21219.14273653505</v>
      </c>
      <c r="H50" s="25">
        <f t="shared" si="12"/>
        <v>1091927.1739389801</v>
      </c>
      <c r="I50" s="25">
        <f>G50/((1+'How much will I make'!$C$5/12)^(Calculations!$B$1*12-Calculations!$A50))</f>
        <v>3491.485634958095</v>
      </c>
      <c r="J50" s="25">
        <f t="shared" si="13"/>
        <v>163345.13245305902</v>
      </c>
      <c r="K50" s="25">
        <f t="shared" si="2"/>
        <v>127052.0685885267</v>
      </c>
      <c r="L50" s="25">
        <f t="shared" si="14"/>
        <v>7207462.1382028004</v>
      </c>
      <c r="M50" s="25">
        <f>K50/((1+'How much will I make'!$C$5/12)^(Calculations!$B$1*12-Calculations!$A50))</f>
        <v>20905.673611628135</v>
      </c>
      <c r="N50" s="25">
        <f t="shared" si="15"/>
        <v>1074937.9475228561</v>
      </c>
      <c r="O50" s="25">
        <f t="shared" si="3"/>
        <v>755168.08889954339</v>
      </c>
      <c r="P50" s="25">
        <f t="shared" si="16"/>
        <v>47346819.95959831</v>
      </c>
      <c r="Q50" s="25">
        <f>O50/((1+'How much will I make'!$C$5/12)^(Calculations!$B$1*12-Calculations!$A50))</f>
        <v>124258.48523238045</v>
      </c>
      <c r="R50" s="25">
        <f t="shared" si="17"/>
        <v>7040326.6957082013</v>
      </c>
      <c r="S50" s="25">
        <f t="shared" si="4"/>
        <v>4455942.8580860412</v>
      </c>
      <c r="T50" s="25">
        <f t="shared" si="18"/>
        <v>309541859.1215741</v>
      </c>
      <c r="U50" s="25">
        <f>S50/((1+'How much will I make'!$C$5/12)^(Calculations!$B$1*12-Calculations!$A50))</f>
        <v>733199.29425867228</v>
      </c>
      <c r="V50" s="25">
        <f t="shared" si="19"/>
        <v>45892231.885264404</v>
      </c>
      <c r="W50" s="25">
        <f t="shared" si="5"/>
        <v>26103304.021725904</v>
      </c>
      <c r="X50" s="25">
        <f t="shared" si="20"/>
        <v>2014023155.2594633</v>
      </c>
      <c r="Y50" s="25">
        <f>W50/((1+'How much will I make'!$C$5/12)^(Calculations!$B$1*12-Calculations!$A50))</f>
        <v>4295145.762881198</v>
      </c>
      <c r="Z50" s="25">
        <f t="shared" si="21"/>
        <v>297730226.02459776</v>
      </c>
      <c r="AA50" s="25">
        <f t="shared" si="6"/>
        <v>151822700.97704008</v>
      </c>
      <c r="AB50" s="25">
        <f t="shared" si="22"/>
        <v>13041237807.667881</v>
      </c>
      <c r="AC50" s="25">
        <f>AA50/((1+'How much will I make'!$C$5/12)^(Calculations!$B$1*12-Calculations!$A50))</f>
        <v>24981536.06409236</v>
      </c>
      <c r="AD50" s="25">
        <f t="shared" si="23"/>
        <v>1922385779.7198765</v>
      </c>
      <c r="AE50" s="25">
        <f t="shared" si="7"/>
        <v>876775644.54451084</v>
      </c>
      <c r="AF50" s="25">
        <f t="shared" si="24"/>
        <v>84037298000.455872</v>
      </c>
      <c r="AG50" s="25">
        <f>AE50/((1+'How much will I make'!$C$5/12)^(Calculations!$B$1*12-Calculations!$A50))</f>
        <v>144268296.13325682</v>
      </c>
      <c r="AH50" s="25">
        <f t="shared" si="25"/>
        <v>12353356658.403887</v>
      </c>
    </row>
    <row r="51" spans="1:34" ht="15.75" customHeight="1">
      <c r="A51" s="22">
        <f t="shared" si="8"/>
        <v>47</v>
      </c>
      <c r="B51" s="22">
        <f t="shared" si="28"/>
        <v>578.8125</v>
      </c>
      <c r="C51" s="25">
        <f t="shared" si="0"/>
        <v>3503.076934096478</v>
      </c>
      <c r="D51" s="25">
        <f t="shared" si="10"/>
        <v>168137.25009770604</v>
      </c>
      <c r="E51" s="25">
        <f>$C51/((1+'How much will I make'!$C$5/12)^(Calculations!$B$1*12-Calculations!$A51))</f>
        <v>578.8125</v>
      </c>
      <c r="F51" s="25">
        <f t="shared" si="11"/>
        <v>25281.9375</v>
      </c>
      <c r="G51" s="25">
        <f t="shared" si="1"/>
        <v>21043.777920530629</v>
      </c>
      <c r="H51" s="25">
        <f t="shared" si="12"/>
        <v>1112970.9518595107</v>
      </c>
      <c r="I51" s="25">
        <f>G51/((1+'How much will I make'!$C$5/12)^(Calculations!$B$1*12-Calculations!$A51))</f>
        <v>3477.0580083673594</v>
      </c>
      <c r="J51" s="25">
        <f t="shared" si="13"/>
        <v>166822.19046142639</v>
      </c>
      <c r="K51" s="25">
        <f t="shared" si="2"/>
        <v>125483.52453187821</v>
      </c>
      <c r="L51" s="25">
        <f t="shared" si="14"/>
        <v>7332945.6627346789</v>
      </c>
      <c r="M51" s="25">
        <f>K51/((1+'How much will I make'!$C$5/12)^(Calculations!$B$1*12-Calculations!$A51))</f>
        <v>20733.610454330781</v>
      </c>
      <c r="N51" s="25">
        <f t="shared" si="15"/>
        <v>1095671.5579771867</v>
      </c>
      <c r="O51" s="25">
        <f t="shared" si="3"/>
        <v>742788.28416348516</v>
      </c>
      <c r="P51" s="25">
        <f t="shared" si="16"/>
        <v>48089608.243761793</v>
      </c>
      <c r="Q51" s="25">
        <f>O51/((1+'How much will I make'!$C$5/12)^(Calculations!$B$1*12-Calculations!$A51))</f>
        <v>122730.71697132658</v>
      </c>
      <c r="R51" s="25">
        <f t="shared" si="17"/>
        <v>7163057.4126795279</v>
      </c>
      <c r="S51" s="25">
        <f t="shared" si="4"/>
        <v>4365005.2487373464</v>
      </c>
      <c r="T51" s="25">
        <f t="shared" si="18"/>
        <v>313906864.37031144</v>
      </c>
      <c r="U51" s="25">
        <f>S51/((1+'How much will I make'!$C$5/12)^(Calculations!$B$1*12-Calculations!$A51))</f>
        <v>721228.6935360817</v>
      </c>
      <c r="V51" s="25">
        <f t="shared" si="19"/>
        <v>46613460.578800485</v>
      </c>
      <c r="W51" s="25">
        <f t="shared" si="5"/>
        <v>25466638.06997649</v>
      </c>
      <c r="X51" s="25">
        <f t="shared" si="20"/>
        <v>2039489793.3294399</v>
      </c>
      <c r="Y51" s="25">
        <f>W51/((1+'How much will I make'!$C$5/12)^(Calculations!$B$1*12-Calculations!$A51))</f>
        <v>4207846.0522535313</v>
      </c>
      <c r="Z51" s="25">
        <f t="shared" si="21"/>
        <v>301938072.07685131</v>
      </c>
      <c r="AA51" s="25">
        <f t="shared" si="6"/>
        <v>147520033.33801466</v>
      </c>
      <c r="AB51" s="25">
        <f t="shared" si="22"/>
        <v>13188757841.005896</v>
      </c>
      <c r="AC51" s="25">
        <f>AA51/((1+'How much will I make'!$C$5/12)^(Calculations!$B$1*12-Calculations!$A51))</f>
        <v>24374697.131361373</v>
      </c>
      <c r="AD51" s="25">
        <f t="shared" si="23"/>
        <v>1946760476.851238</v>
      </c>
      <c r="AE51" s="25">
        <f t="shared" si="7"/>
        <v>848492559.23662341</v>
      </c>
      <c r="AF51" s="25">
        <f t="shared" si="24"/>
        <v>84885790559.69249</v>
      </c>
      <c r="AG51" s="25">
        <f>AE51/((1+'How much will I make'!$C$5/12)^(Calculations!$B$1*12-Calculations!$A51))</f>
        <v>140196207.12949556</v>
      </c>
      <c r="AH51" s="25">
        <f t="shared" si="25"/>
        <v>12493552865.533382</v>
      </c>
    </row>
    <row r="52" spans="1:34" ht="15.75" customHeight="1">
      <c r="A52" s="22">
        <f t="shared" si="8"/>
        <v>48</v>
      </c>
      <c r="B52" s="22">
        <f t="shared" si="28"/>
        <v>578.8125</v>
      </c>
      <c r="C52" s="25">
        <f t="shared" si="0"/>
        <v>3488.5413451583186</v>
      </c>
      <c r="D52" s="25">
        <f t="shared" si="10"/>
        <v>171625.79144286437</v>
      </c>
      <c r="E52" s="25">
        <f>$C52/((1+'How much will I make'!$C$5/12)^(Calculations!$B$1*12-Calculations!$A52))</f>
        <v>578.8125</v>
      </c>
      <c r="F52" s="25">
        <f t="shared" si="11"/>
        <v>25860.75</v>
      </c>
      <c r="G52" s="25">
        <f t="shared" si="1"/>
        <v>20869.862400526246</v>
      </c>
      <c r="H52" s="25">
        <f t="shared" si="12"/>
        <v>1133840.8142600369</v>
      </c>
      <c r="I52" s="25">
        <f>G52/((1+'How much will I make'!$C$5/12)^(Calculations!$B$1*12-Calculations!$A52))</f>
        <v>3462.6900000683208</v>
      </c>
      <c r="J52" s="25">
        <f t="shared" si="13"/>
        <v>170284.8804614947</v>
      </c>
      <c r="K52" s="25">
        <f t="shared" si="2"/>
        <v>123934.34521666986</v>
      </c>
      <c r="L52" s="25">
        <f t="shared" si="14"/>
        <v>7456880.007951349</v>
      </c>
      <c r="M52" s="25">
        <f>K52/((1+'How much will I make'!$C$5/12)^(Calculations!$B$1*12-Calculations!$A52))</f>
        <v>20562.96345470666</v>
      </c>
      <c r="N52" s="25">
        <f t="shared" si="15"/>
        <v>1116234.5214318933</v>
      </c>
      <c r="O52" s="25">
        <f t="shared" si="3"/>
        <v>730611.42704605113</v>
      </c>
      <c r="P52" s="25">
        <f t="shared" si="16"/>
        <v>48820219.670807846</v>
      </c>
      <c r="Q52" s="25">
        <f>O52/((1+'How much will I make'!$C$5/12)^(Calculations!$B$1*12-Calculations!$A52))</f>
        <v>121221.73274626929</v>
      </c>
      <c r="R52" s="25">
        <f t="shared" si="17"/>
        <v>7284279.1454257974</v>
      </c>
      <c r="S52" s="25">
        <f t="shared" si="4"/>
        <v>4275923.5089671975</v>
      </c>
      <c r="T52" s="25">
        <f t="shared" si="18"/>
        <v>318182787.87927866</v>
      </c>
      <c r="U52" s="25">
        <f>S52/((1+'How much will I make'!$C$5/12)^(Calculations!$B$1*12-Calculations!$A52))</f>
        <v>709453.53119263554</v>
      </c>
      <c r="V52" s="25">
        <f t="shared" si="19"/>
        <v>47322914.109993123</v>
      </c>
      <c r="W52" s="25">
        <f t="shared" si="5"/>
        <v>24845500.55607463</v>
      </c>
      <c r="X52" s="25">
        <f t="shared" si="20"/>
        <v>2064335293.8855145</v>
      </c>
      <c r="Y52" s="25">
        <f>W52/((1+'How much will I make'!$C$5/12)^(Calculations!$B$1*12-Calculations!$A52))</f>
        <v>4122320.7259882158</v>
      </c>
      <c r="Z52" s="25">
        <f t="shared" si="21"/>
        <v>306060392.80283952</v>
      </c>
      <c r="AA52" s="25">
        <f t="shared" si="6"/>
        <v>143339303.64827341</v>
      </c>
      <c r="AB52" s="25">
        <f t="shared" si="22"/>
        <v>13332097144.654169</v>
      </c>
      <c r="AC52" s="25">
        <f>AA52/((1+'How much will I make'!$C$5/12)^(Calculations!$B$1*12-Calculations!$A52))</f>
        <v>23782599.225336406</v>
      </c>
      <c r="AD52" s="25">
        <f t="shared" si="23"/>
        <v>1970543076.0765743</v>
      </c>
      <c r="AE52" s="25">
        <f t="shared" si="7"/>
        <v>821121831.51931286</v>
      </c>
      <c r="AF52" s="25">
        <f t="shared" si="24"/>
        <v>85706912391.211807</v>
      </c>
      <c r="AG52" s="25">
        <f>AE52/((1+'How much will I make'!$C$5/12)^(Calculations!$B$1*12-Calculations!$A52))</f>
        <v>136239056.12180817</v>
      </c>
      <c r="AH52" s="25">
        <f t="shared" si="25"/>
        <v>12629791921.655191</v>
      </c>
    </row>
    <row r="53" spans="1:34" ht="15.75" customHeight="1">
      <c r="A53" s="22">
        <f t="shared" si="8"/>
        <v>49</v>
      </c>
      <c r="B53" s="22">
        <f>B52*(1+'How much will I make'!$C$4)</f>
        <v>607.75312500000007</v>
      </c>
      <c r="C53" s="25">
        <f t="shared" si="0"/>
        <v>3647.7693733605665</v>
      </c>
      <c r="D53" s="25">
        <f t="shared" si="10"/>
        <v>175273.56081622493</v>
      </c>
      <c r="E53" s="25">
        <f>$C53/((1+'How much will I make'!$C$5/12)^(Calculations!$B$1*12-Calculations!$A53))</f>
        <v>607.75312500000007</v>
      </c>
      <c r="F53" s="25">
        <f t="shared" si="11"/>
        <v>26468.503124999999</v>
      </c>
      <c r="G53" s="25">
        <f t="shared" si="1"/>
        <v>21732.253408812452</v>
      </c>
      <c r="H53" s="25">
        <f t="shared" si="12"/>
        <v>1155573.0676688494</v>
      </c>
      <c r="I53" s="25">
        <f>G53/((1+'How much will I make'!$C$5/12)^(Calculations!$B$1*12-Calculations!$A53))</f>
        <v>3620.8004318896214</v>
      </c>
      <c r="J53" s="25">
        <f t="shared" si="13"/>
        <v>173905.68089338433</v>
      </c>
      <c r="K53" s="25">
        <f t="shared" si="2"/>
        <v>128524.50615062055</v>
      </c>
      <c r="L53" s="25">
        <f t="shared" si="14"/>
        <v>7585404.51410197</v>
      </c>
      <c r="M53" s="25">
        <f>K53/((1+'How much will I make'!$C$5/12)^(Calculations!$B$1*12-Calculations!$A53))</f>
        <v>21413.407004993904</v>
      </c>
      <c r="N53" s="25">
        <f t="shared" si="15"/>
        <v>1137647.9284368872</v>
      </c>
      <c r="O53" s="25">
        <f t="shared" si="3"/>
        <v>754565.90006395441</v>
      </c>
      <c r="P53" s="25">
        <f t="shared" si="16"/>
        <v>49574785.5708718</v>
      </c>
      <c r="Q53" s="25">
        <f>O53/((1+'How much will I make'!$C$5/12)^(Calculations!$B$1*12-Calculations!$A53))</f>
        <v>125717.86668624361</v>
      </c>
      <c r="R53" s="25">
        <f t="shared" si="17"/>
        <v>7409997.012112041</v>
      </c>
      <c r="S53" s="25">
        <f t="shared" si="4"/>
        <v>4398092.7520805467</v>
      </c>
      <c r="T53" s="25">
        <f t="shared" si="18"/>
        <v>322580880.63135922</v>
      </c>
      <c r="U53" s="25">
        <f>S53/((1+'How much will I make'!$C$5/12)^(Calculations!$B$1*12-Calculations!$A53))</f>
        <v>732764.14721753646</v>
      </c>
      <c r="V53" s="25">
        <f t="shared" si="19"/>
        <v>48055678.257210657</v>
      </c>
      <c r="W53" s="25">
        <f t="shared" si="5"/>
        <v>25451488.374515478</v>
      </c>
      <c r="X53" s="25">
        <f t="shared" si="20"/>
        <v>2089786782.26003</v>
      </c>
      <c r="Y53" s="25">
        <f>W53/((1+'How much will I make'!$C$5/12)^(Calculations!$B$1*12-Calculations!$A53))</f>
        <v>4240460.4053305611</v>
      </c>
      <c r="Z53" s="25">
        <f t="shared" si="21"/>
        <v>310300853.20817006</v>
      </c>
      <c r="AA53" s="25">
        <f t="shared" si="6"/>
        <v>146240908.98528302</v>
      </c>
      <c r="AB53" s="25">
        <f t="shared" si="22"/>
        <v>13478338053.639452</v>
      </c>
      <c r="AC53" s="25">
        <f>AA53/((1+'How much will I make'!$C$5/12)^(Calculations!$B$1*12-Calculations!$A53))</f>
        <v>24365128.477616914</v>
      </c>
      <c r="AD53" s="25">
        <f t="shared" si="23"/>
        <v>1994908204.5541914</v>
      </c>
      <c r="AE53" s="25">
        <f t="shared" si="7"/>
        <v>834365732.02768862</v>
      </c>
      <c r="AF53" s="25">
        <f t="shared" si="24"/>
        <v>86541278123.239502</v>
      </c>
      <c r="AG53" s="25">
        <f>AE53/((1+'How much will I make'!$C$5/12)^(Calculations!$B$1*12-Calculations!$A53))</f>
        <v>139013278.8371917</v>
      </c>
      <c r="AH53" s="25">
        <f t="shared" si="25"/>
        <v>12768805200.492384</v>
      </c>
    </row>
    <row r="54" spans="1:34" ht="15.75" customHeight="1">
      <c r="A54" s="22">
        <f t="shared" si="8"/>
        <v>50</v>
      </c>
      <c r="B54" s="22">
        <f t="shared" ref="B54:B64" si="29">B53</f>
        <v>607.75312500000007</v>
      </c>
      <c r="C54" s="25">
        <f t="shared" si="0"/>
        <v>3632.6334008569943</v>
      </c>
      <c r="D54" s="25">
        <f t="shared" si="10"/>
        <v>178906.19421708191</v>
      </c>
      <c r="E54" s="25">
        <f>$C54/((1+'How much will I make'!$C$5/12)^(Calculations!$B$1*12-Calculations!$A54))</f>
        <v>607.75312500000007</v>
      </c>
      <c r="F54" s="25">
        <f t="shared" si="11"/>
        <v>27076.256249999999</v>
      </c>
      <c r="G54" s="25">
        <f t="shared" si="1"/>
        <v>21552.648008739627</v>
      </c>
      <c r="H54" s="25">
        <f t="shared" si="12"/>
        <v>1177125.7156775889</v>
      </c>
      <c r="I54" s="25">
        <f>G54/((1+'How much will I make'!$C$5/12)^(Calculations!$B$1*12-Calculations!$A54))</f>
        <v>3605.8384466338807</v>
      </c>
      <c r="J54" s="25">
        <f t="shared" si="13"/>
        <v>177511.51934001822</v>
      </c>
      <c r="K54" s="25">
        <f t="shared" si="2"/>
        <v>126937.7838524648</v>
      </c>
      <c r="L54" s="25">
        <f t="shared" si="14"/>
        <v>7712342.2979544345</v>
      </c>
      <c r="M54" s="25">
        <f>K54/((1+'How much will I make'!$C$5/12)^(Calculations!$B$1*12-Calculations!$A54))</f>
        <v>21237.164972031005</v>
      </c>
      <c r="N54" s="25">
        <f t="shared" si="15"/>
        <v>1158885.0934089182</v>
      </c>
      <c r="O54" s="25">
        <f t="shared" si="3"/>
        <v>742195.96727602114</v>
      </c>
      <c r="P54" s="25">
        <f t="shared" si="16"/>
        <v>50316981.538147822</v>
      </c>
      <c r="Q54" s="25">
        <f>O54/((1+'How much will I make'!$C$5/12)^(Calculations!$B$1*12-Calculations!$A54))</f>
        <v>124172.15521059318</v>
      </c>
      <c r="R54" s="25">
        <f t="shared" si="17"/>
        <v>7534169.1673226338</v>
      </c>
      <c r="S54" s="25">
        <f t="shared" si="4"/>
        <v>4308335.757140127</v>
      </c>
      <c r="T54" s="25">
        <f t="shared" si="18"/>
        <v>326889216.38849932</v>
      </c>
      <c r="U54" s="25">
        <f>S54/((1+'How much will I make'!$C$5/12)^(Calculations!$B$1*12-Calculations!$A54))</f>
        <v>720800.65093643393</v>
      </c>
      <c r="V54" s="25">
        <f t="shared" si="19"/>
        <v>48776478.908147089</v>
      </c>
      <c r="W54" s="25">
        <f t="shared" si="5"/>
        <v>24830720.365380947</v>
      </c>
      <c r="X54" s="25">
        <f t="shared" si="20"/>
        <v>2114617502.625411</v>
      </c>
      <c r="Y54" s="25">
        <f>W54/((1+'How much will I make'!$C$5/12)^(Calculations!$B$1*12-Calculations!$A54))</f>
        <v>4154272.1857100213</v>
      </c>
      <c r="Z54" s="25">
        <f t="shared" si="21"/>
        <v>314455125.39388007</v>
      </c>
      <c r="AA54" s="25">
        <f t="shared" si="6"/>
        <v>142096429.78327096</v>
      </c>
      <c r="AB54" s="25">
        <f t="shared" si="22"/>
        <v>13620434483.422724</v>
      </c>
      <c r="AC54" s="25">
        <f>AA54/((1+'How much will I make'!$C$5/12)^(Calculations!$B$1*12-Calculations!$A54))</f>
        <v>23773263.008525014</v>
      </c>
      <c r="AD54" s="25">
        <f t="shared" si="23"/>
        <v>2018681467.5627165</v>
      </c>
      <c r="AE54" s="25">
        <f t="shared" si="7"/>
        <v>807450708.41389227</v>
      </c>
      <c r="AF54" s="25">
        <f t="shared" si="24"/>
        <v>87348728831.653397</v>
      </c>
      <c r="AG54" s="25">
        <f>AE54/((1+'How much will I make'!$C$5/12)^(Calculations!$B$1*12-Calculations!$A54))</f>
        <v>135089516.93452907</v>
      </c>
      <c r="AH54" s="25">
        <f t="shared" si="25"/>
        <v>12903894717.426912</v>
      </c>
    </row>
    <row r="55" spans="1:34" ht="15.75" customHeight="1">
      <c r="A55" s="22">
        <f t="shared" si="8"/>
        <v>51</v>
      </c>
      <c r="B55" s="22">
        <f t="shared" si="29"/>
        <v>607.75312500000007</v>
      </c>
      <c r="C55" s="25">
        <f t="shared" si="0"/>
        <v>3617.5602332185831</v>
      </c>
      <c r="D55" s="25">
        <f t="shared" si="10"/>
        <v>182523.7544503005</v>
      </c>
      <c r="E55" s="25">
        <f>$C55/((1+'How much will I make'!$C$5/12)^(Calculations!$B$1*12-Calculations!$A55))</f>
        <v>607.75312500000007</v>
      </c>
      <c r="F55" s="25">
        <f t="shared" si="11"/>
        <v>27684.009374999998</v>
      </c>
      <c r="G55" s="25">
        <f t="shared" si="1"/>
        <v>21374.526950816158</v>
      </c>
      <c r="H55" s="25">
        <f t="shared" si="12"/>
        <v>1198500.2426284051</v>
      </c>
      <c r="I55" s="25">
        <f>G55/((1+'How much will I make'!$C$5/12)^(Calculations!$B$1*12-Calculations!$A55))</f>
        <v>3590.9382877634935</v>
      </c>
      <c r="J55" s="25">
        <f t="shared" si="13"/>
        <v>181102.45762778173</v>
      </c>
      <c r="K55" s="25">
        <f t="shared" si="2"/>
        <v>125370.65071848371</v>
      </c>
      <c r="L55" s="25">
        <f t="shared" si="14"/>
        <v>7837712.9486729186</v>
      </c>
      <c r="M55" s="25">
        <f>K55/((1+'How much will I make'!$C$5/12)^(Calculations!$B$1*12-Calculations!$A55))</f>
        <v>21062.373490779715</v>
      </c>
      <c r="N55" s="25">
        <f t="shared" si="15"/>
        <v>1179947.4668996979</v>
      </c>
      <c r="O55" s="25">
        <f t="shared" si="3"/>
        <v>730028.82027149596</v>
      </c>
      <c r="P55" s="25">
        <f t="shared" si="16"/>
        <v>51047010.358419321</v>
      </c>
      <c r="Q55" s="25">
        <f>O55/((1+'How much will I make'!$C$5/12)^(Calculations!$B$1*12-Calculations!$A55))</f>
        <v>122645.44838423339</v>
      </c>
      <c r="R55" s="25">
        <f t="shared" si="17"/>
        <v>7656814.6157068675</v>
      </c>
      <c r="S55" s="25">
        <f t="shared" si="4"/>
        <v>4220410.5376066575</v>
      </c>
      <c r="T55" s="25">
        <f t="shared" si="18"/>
        <v>331109626.92610598</v>
      </c>
      <c r="U55" s="25">
        <f>S55/((1+'How much will I make'!$C$5/12)^(Calculations!$B$1*12-Calculations!$A55))</f>
        <v>709032.4770435947</v>
      </c>
      <c r="V55" s="25">
        <f t="shared" si="19"/>
        <v>49485511.385190681</v>
      </c>
      <c r="W55" s="25">
        <f t="shared" si="5"/>
        <v>24225093.039396051</v>
      </c>
      <c r="X55" s="25">
        <f t="shared" si="20"/>
        <v>2138842595.6648071</v>
      </c>
      <c r="Y55" s="25">
        <f>W55/((1+'How much will I make'!$C$5/12)^(Calculations!$B$1*12-Calculations!$A55))</f>
        <v>4069835.7591712009</v>
      </c>
      <c r="Z55" s="25">
        <f t="shared" si="21"/>
        <v>318524961.15305126</v>
      </c>
      <c r="AA55" s="25">
        <f t="shared" si="6"/>
        <v>138069405.45742926</v>
      </c>
      <c r="AB55" s="25">
        <f t="shared" si="22"/>
        <v>13758503888.880154</v>
      </c>
      <c r="AC55" s="25">
        <f>AA55/((1+'How much will I make'!$C$5/12)^(Calculations!$B$1*12-Calculations!$A55))</f>
        <v>23195774.838277444</v>
      </c>
      <c r="AD55" s="25">
        <f t="shared" si="23"/>
        <v>2041877242.4009938</v>
      </c>
      <c r="AE55" s="25">
        <f t="shared" si="7"/>
        <v>781403911.36828303</v>
      </c>
      <c r="AF55" s="25">
        <f t="shared" si="24"/>
        <v>88130132743.021683</v>
      </c>
      <c r="AG55" s="25">
        <f>AE55/((1+'How much will I make'!$C$5/12)^(Calculations!$B$1*12-Calculations!$A55))</f>
        <v>131276506.37589322</v>
      </c>
      <c r="AH55" s="25">
        <f t="shared" si="25"/>
        <v>13035171223.802805</v>
      </c>
    </row>
    <row r="56" spans="1:34" ht="15.75" customHeight="1">
      <c r="A56" s="22">
        <f t="shared" si="8"/>
        <v>52</v>
      </c>
      <c r="B56" s="22">
        <f t="shared" si="29"/>
        <v>607.75312500000007</v>
      </c>
      <c r="C56" s="25">
        <f t="shared" si="0"/>
        <v>3602.5496098442327</v>
      </c>
      <c r="D56" s="25">
        <f t="shared" si="10"/>
        <v>186126.30406014473</v>
      </c>
      <c r="E56" s="25">
        <f>$C56/((1+'How much will I make'!$C$5/12)^(Calculations!$B$1*12-Calculations!$A56))</f>
        <v>607.75312500000007</v>
      </c>
      <c r="F56" s="25">
        <f t="shared" si="11"/>
        <v>28291.762499999997</v>
      </c>
      <c r="G56" s="25">
        <f t="shared" si="1"/>
        <v>21197.877967751563</v>
      </c>
      <c r="H56" s="25">
        <f t="shared" si="12"/>
        <v>1219698.1205961567</v>
      </c>
      <c r="I56" s="25">
        <f>G56/((1+'How much will I make'!$C$5/12)^(Calculations!$B$1*12-Calculations!$A56))</f>
        <v>3576.099699797528</v>
      </c>
      <c r="J56" s="25">
        <f t="shared" si="13"/>
        <v>184678.55732757924</v>
      </c>
      <c r="K56" s="25">
        <f t="shared" si="2"/>
        <v>123822.86490714445</v>
      </c>
      <c r="L56" s="25">
        <f t="shared" si="14"/>
        <v>7961535.8135800632</v>
      </c>
      <c r="M56" s="25">
        <f>K56/((1+'How much will I make'!$C$5/12)^(Calculations!$B$1*12-Calculations!$A56))</f>
        <v>20889.020622542852</v>
      </c>
      <c r="N56" s="25">
        <f t="shared" si="15"/>
        <v>1200836.4875222407</v>
      </c>
      <c r="O56" s="25">
        <f t="shared" si="3"/>
        <v>718061.13469327486</v>
      </c>
      <c r="P56" s="25">
        <f t="shared" si="16"/>
        <v>51765071.493112594</v>
      </c>
      <c r="Q56" s="25">
        <f>O56/((1+'How much will I make'!$C$5/12)^(Calculations!$B$1*12-Calculations!$A56))</f>
        <v>121137.51254344365</v>
      </c>
      <c r="R56" s="25">
        <f t="shared" si="17"/>
        <v>7777952.1282503111</v>
      </c>
      <c r="S56" s="25">
        <f t="shared" si="4"/>
        <v>4134279.7103085606</v>
      </c>
      <c r="T56" s="25">
        <f t="shared" si="18"/>
        <v>335243906.63641453</v>
      </c>
      <c r="U56" s="25">
        <f>S56/((1+'How much will I make'!$C$5/12)^(Calculations!$B$1*12-Calculations!$A56))</f>
        <v>697456.43660206627</v>
      </c>
      <c r="V56" s="25">
        <f t="shared" si="19"/>
        <v>50182967.821792744</v>
      </c>
      <c r="W56" s="25">
        <f t="shared" si="5"/>
        <v>23634237.111605901</v>
      </c>
      <c r="X56" s="25">
        <f t="shared" si="20"/>
        <v>2162476832.776413</v>
      </c>
      <c r="Y56" s="25">
        <f>W56/((1+'How much will I make'!$C$5/12)^(Calculations!$B$1*12-Calculations!$A56))</f>
        <v>3987115.5201636553</v>
      </c>
      <c r="Z56" s="25">
        <f t="shared" si="21"/>
        <v>322512076.67321491</v>
      </c>
      <c r="AA56" s="25">
        <f t="shared" si="6"/>
        <v>134156507.32705681</v>
      </c>
      <c r="AB56" s="25">
        <f t="shared" si="22"/>
        <v>13892660396.207211</v>
      </c>
      <c r="AC56" s="25">
        <f>AA56/((1+'How much will I make'!$C$5/12)^(Calculations!$B$1*12-Calculations!$A56))</f>
        <v>22632314.720748439</v>
      </c>
      <c r="AD56" s="25">
        <f t="shared" si="23"/>
        <v>2064509557.1217422</v>
      </c>
      <c r="AE56" s="25">
        <f t="shared" si="7"/>
        <v>756197333.58220923</v>
      </c>
      <c r="AF56" s="25">
        <f t="shared" si="24"/>
        <v>88886330076.603897</v>
      </c>
      <c r="AG56" s="25">
        <f>AE56/((1+'How much will I make'!$C$5/12)^(Calculations!$B$1*12-Calculations!$A56))</f>
        <v>127571121.11528328</v>
      </c>
      <c r="AH56" s="25">
        <f t="shared" si="25"/>
        <v>13162742344.918089</v>
      </c>
    </row>
    <row r="57" spans="1:34" ht="15.75" customHeight="1">
      <c r="A57" s="22">
        <f t="shared" si="8"/>
        <v>53</v>
      </c>
      <c r="B57" s="22">
        <f t="shared" si="29"/>
        <v>607.75312500000007</v>
      </c>
      <c r="C57" s="25">
        <f t="shared" si="0"/>
        <v>3587.6012712141737</v>
      </c>
      <c r="D57" s="25">
        <f t="shared" si="10"/>
        <v>189713.9053313589</v>
      </c>
      <c r="E57" s="25">
        <f>$C57/((1+'How much will I make'!$C$5/12)^(Calculations!$B$1*12-Calculations!$A57))</f>
        <v>607.75312500000007</v>
      </c>
      <c r="F57" s="25">
        <f t="shared" si="11"/>
        <v>28899.515624999996</v>
      </c>
      <c r="G57" s="25">
        <f t="shared" si="1"/>
        <v>21022.688893637915</v>
      </c>
      <c r="H57" s="25">
        <f t="shared" si="12"/>
        <v>1240720.8094897945</v>
      </c>
      <c r="I57" s="25">
        <f>G57/((1+'How much will I make'!$C$5/12)^(Calculations!$B$1*12-Calculations!$A57))</f>
        <v>3561.3224283107616</v>
      </c>
      <c r="J57" s="25">
        <f t="shared" si="13"/>
        <v>188239.87975589</v>
      </c>
      <c r="K57" s="25">
        <f t="shared" si="2"/>
        <v>122294.18756261177</v>
      </c>
      <c r="L57" s="25">
        <f t="shared" si="14"/>
        <v>8083830.0011426751</v>
      </c>
      <c r="M57" s="25">
        <f>K57/((1+'How much will I make'!$C$5/12)^(Calculations!$B$1*12-Calculations!$A57))</f>
        <v>20717.094526884055</v>
      </c>
      <c r="N57" s="25">
        <f t="shared" si="15"/>
        <v>1221553.5820491249</v>
      </c>
      <c r="O57" s="25">
        <f t="shared" si="3"/>
        <v>706289.64068190951</v>
      </c>
      <c r="P57" s="25">
        <f t="shared" si="16"/>
        <v>52471361.133794501</v>
      </c>
      <c r="Q57" s="25">
        <f>O57/((1+'How much will I make'!$C$5/12)^(Calculations!$B$1*12-Calculations!$A57))</f>
        <v>119648.11689741767</v>
      </c>
      <c r="R57" s="25">
        <f t="shared" si="17"/>
        <v>7897600.2451477284</v>
      </c>
      <c r="S57" s="25">
        <f t="shared" si="4"/>
        <v>4049906.6549961418</v>
      </c>
      <c r="T57" s="25">
        <f t="shared" si="18"/>
        <v>339293813.29141068</v>
      </c>
      <c r="U57" s="25">
        <f>S57/((1+'How much will I make'!$C$5/12)^(Calculations!$B$1*12-Calculations!$A57))</f>
        <v>686069.39273917547</v>
      </c>
      <c r="V57" s="25">
        <f t="shared" si="19"/>
        <v>50869037.214531921</v>
      </c>
      <c r="W57" s="25">
        <f t="shared" si="5"/>
        <v>23057792.304005764</v>
      </c>
      <c r="X57" s="25">
        <f t="shared" si="20"/>
        <v>2185534625.0804186</v>
      </c>
      <c r="Y57" s="25">
        <f>W57/((1+'How much will I make'!$C$5/12)^(Calculations!$B$1*12-Calculations!$A57))</f>
        <v>3906076.5868269969</v>
      </c>
      <c r="Z57" s="25">
        <f t="shared" si="21"/>
        <v>326418153.26004189</v>
      </c>
      <c r="AA57" s="25">
        <f t="shared" si="6"/>
        <v>130354501.04653296</v>
      </c>
      <c r="AB57" s="25">
        <f t="shared" si="22"/>
        <v>14023014897.253744</v>
      </c>
      <c r="AC57" s="25">
        <f>AA57/((1+'How much will I make'!$C$5/12)^(Calculations!$B$1*12-Calculations!$A57))</f>
        <v>22082541.893523786</v>
      </c>
      <c r="AD57" s="25">
        <f t="shared" si="23"/>
        <v>2086592099.0152659</v>
      </c>
      <c r="AE57" s="25">
        <f t="shared" si="7"/>
        <v>731803871.2085892</v>
      </c>
      <c r="AF57" s="25">
        <f t="shared" si="24"/>
        <v>89618133947.812485</v>
      </c>
      <c r="AG57" s="25">
        <f>AE57/((1+'How much will I make'!$C$5/12)^(Calculations!$B$1*12-Calculations!$A57))</f>
        <v>123970323.34186795</v>
      </c>
      <c r="AH57" s="25">
        <f t="shared" si="25"/>
        <v>13286712668.259956</v>
      </c>
    </row>
    <row r="58" spans="1:34" ht="15.75" customHeight="1">
      <c r="A58" s="22">
        <f t="shared" si="8"/>
        <v>54</v>
      </c>
      <c r="B58" s="22">
        <f t="shared" si="29"/>
        <v>607.75312500000007</v>
      </c>
      <c r="C58" s="25">
        <f t="shared" si="0"/>
        <v>3572.714958885485</v>
      </c>
      <c r="D58" s="25">
        <f t="shared" si="10"/>
        <v>193286.62029024438</v>
      </c>
      <c r="E58" s="25">
        <f>$C58/((1+'How much will I make'!$C$5/12)^(Calculations!$B$1*12-Calculations!$A58))</f>
        <v>607.75312500000007</v>
      </c>
      <c r="F58" s="25">
        <f t="shared" si="11"/>
        <v>29507.268749999996</v>
      </c>
      <c r="G58" s="25">
        <f t="shared" si="1"/>
        <v>20848.947663111983</v>
      </c>
      <c r="H58" s="25">
        <f t="shared" si="12"/>
        <v>1261569.7571529066</v>
      </c>
      <c r="I58" s="25">
        <f>G58/((1+'How much will I make'!$C$5/12)^(Calculations!$B$1*12-Calculations!$A58))</f>
        <v>3546.6062199293119</v>
      </c>
      <c r="J58" s="25">
        <f t="shared" si="13"/>
        <v>191786.48597581932</v>
      </c>
      <c r="K58" s="25">
        <f t="shared" si="2"/>
        <v>120784.3827778882</v>
      </c>
      <c r="L58" s="25">
        <f t="shared" si="14"/>
        <v>8204614.3839205634</v>
      </c>
      <c r="M58" s="25">
        <f>K58/((1+'How much will I make'!$C$5/12)^(Calculations!$B$1*12-Calculations!$A58))</f>
        <v>20546.583460819169</v>
      </c>
      <c r="N58" s="25">
        <f t="shared" si="15"/>
        <v>1242100.1655099441</v>
      </c>
      <c r="O58" s="25">
        <f t="shared" si="3"/>
        <v>694711.12198220624</v>
      </c>
      <c r="P58" s="25">
        <f t="shared" si="16"/>
        <v>53166072.255776711</v>
      </c>
      <c r="Q58" s="25">
        <f>O58/((1+'How much will I make'!$C$5/12)^(Calculations!$B$1*12-Calculations!$A58))</f>
        <v>118177.03349294122</v>
      </c>
      <c r="R58" s="25">
        <f t="shared" si="17"/>
        <v>8015777.2786406698</v>
      </c>
      <c r="S58" s="25">
        <f t="shared" si="4"/>
        <v>3967255.4987717331</v>
      </c>
      <c r="T58" s="25">
        <f t="shared" si="18"/>
        <v>343261068.79018241</v>
      </c>
      <c r="U58" s="25">
        <f>S58/((1+'How much will I make'!$C$5/12)^(Calculations!$B$1*12-Calculations!$A58))</f>
        <v>674868.25979649532</v>
      </c>
      <c r="V58" s="25">
        <f t="shared" si="19"/>
        <v>51543905.474328414</v>
      </c>
      <c r="W58" s="25">
        <f t="shared" si="5"/>
        <v>22495407.125859279</v>
      </c>
      <c r="X58" s="25">
        <f t="shared" si="20"/>
        <v>2208030032.2062778</v>
      </c>
      <c r="Y58" s="25">
        <f>W58/((1+'How much will I make'!$C$5/12)^(Calculations!$B$1*12-Calculations!$A58))</f>
        <v>3826684.7862817314</v>
      </c>
      <c r="Z58" s="25">
        <f t="shared" si="21"/>
        <v>330244838.0463236</v>
      </c>
      <c r="AA58" s="25">
        <f t="shared" si="6"/>
        <v>126660243.93185391</v>
      </c>
      <c r="AB58" s="25">
        <f t="shared" si="22"/>
        <v>14149675141.185598</v>
      </c>
      <c r="AC58" s="25">
        <f>AA58/((1+'How much will I make'!$C$5/12)^(Calculations!$B$1*12-Calculations!$A58))</f>
        <v>21546123.871818755</v>
      </c>
      <c r="AD58" s="25">
        <f t="shared" si="23"/>
        <v>2108138222.8870847</v>
      </c>
      <c r="AE58" s="25">
        <f t="shared" si="7"/>
        <v>708197294.71798956</v>
      </c>
      <c r="AF58" s="25">
        <f t="shared" si="24"/>
        <v>90326331242.530472</v>
      </c>
      <c r="AG58" s="25">
        <f>AE58/((1+'How much will I make'!$C$5/12)^(Calculations!$B$1*12-Calculations!$A58))</f>
        <v>120471160.9894765</v>
      </c>
      <c r="AH58" s="25">
        <f t="shared" si="25"/>
        <v>13407183829.249434</v>
      </c>
    </row>
    <row r="59" spans="1:34" ht="15.75" customHeight="1">
      <c r="A59" s="22">
        <f t="shared" si="8"/>
        <v>55</v>
      </c>
      <c r="B59" s="22">
        <f t="shared" si="29"/>
        <v>607.75312500000007</v>
      </c>
      <c r="C59" s="25">
        <f t="shared" si="0"/>
        <v>3557.8904154876191</v>
      </c>
      <c r="D59" s="25">
        <f t="shared" si="10"/>
        <v>196844.51070573198</v>
      </c>
      <c r="E59" s="25">
        <f>$C59/((1+'How much will I make'!$C$5/12)^(Calculations!$B$1*12-Calculations!$A59))</f>
        <v>607.75312500000007</v>
      </c>
      <c r="F59" s="25">
        <f t="shared" si="11"/>
        <v>30115.021874999995</v>
      </c>
      <c r="G59" s="25">
        <f t="shared" si="1"/>
        <v>20676.642310524279</v>
      </c>
      <c r="H59" s="25">
        <f t="shared" si="12"/>
        <v>1282246.399463431</v>
      </c>
      <c r="I59" s="25">
        <f>G59/((1+'How much will I make'!$C$5/12)^(Calculations!$B$1*12-Calculations!$A59))</f>
        <v>3531.9508223262987</v>
      </c>
      <c r="J59" s="25">
        <f t="shared" si="13"/>
        <v>195318.43679814562</v>
      </c>
      <c r="K59" s="25">
        <f t="shared" si="2"/>
        <v>119293.21755840811</v>
      </c>
      <c r="L59" s="25">
        <f t="shared" si="14"/>
        <v>8323907.6014789715</v>
      </c>
      <c r="M59" s="25">
        <f>K59/((1+'How much will I make'!$C$5/12)^(Calculations!$B$1*12-Calculations!$A59))</f>
        <v>20377.475778014079</v>
      </c>
      <c r="N59" s="25">
        <f t="shared" si="15"/>
        <v>1262477.6412879582</v>
      </c>
      <c r="O59" s="25">
        <f t="shared" si="3"/>
        <v>683322.41506446514</v>
      </c>
      <c r="P59" s="25">
        <f t="shared" si="16"/>
        <v>53849394.670841172</v>
      </c>
      <c r="Q59" s="25">
        <f>O59/((1+'How much will I make'!$C$5/12)^(Calculations!$B$1*12-Calculations!$A59))</f>
        <v>116724.03717950344</v>
      </c>
      <c r="R59" s="25">
        <f t="shared" si="17"/>
        <v>8132501.3158201734</v>
      </c>
      <c r="S59" s="25">
        <f t="shared" si="4"/>
        <v>3886291.1008376153</v>
      </c>
      <c r="T59" s="25">
        <f t="shared" si="18"/>
        <v>347147359.89102</v>
      </c>
      <c r="U59" s="25">
        <f>S59/((1+'How much will I make'!$C$5/12)^(Calculations!$B$1*12-Calculations!$A59))</f>
        <v>663850.00249369547</v>
      </c>
      <c r="V59" s="25">
        <f t="shared" si="19"/>
        <v>52207755.476822108</v>
      </c>
      <c r="W59" s="25">
        <f t="shared" si="5"/>
        <v>21946738.659374911</v>
      </c>
      <c r="X59" s="25">
        <f t="shared" si="20"/>
        <v>2229976770.8656526</v>
      </c>
      <c r="Y59" s="25">
        <f>W59/((1+'How much will I make'!$C$5/12)^(Calculations!$B$1*12-Calculations!$A59))</f>
        <v>3748906.6402190961</v>
      </c>
      <c r="Z59" s="25">
        <f t="shared" si="21"/>
        <v>333993744.68654269</v>
      </c>
      <c r="AA59" s="25">
        <f t="shared" si="6"/>
        <v>123070682.36293496</v>
      </c>
      <c r="AB59" s="25">
        <f t="shared" si="22"/>
        <v>14272745823.548532</v>
      </c>
      <c r="AC59" s="25">
        <f>AA59/((1+'How much will I make'!$C$5/12)^(Calculations!$B$1*12-Calculations!$A59))</f>
        <v>21022736.247402109</v>
      </c>
      <c r="AD59" s="25">
        <f t="shared" si="23"/>
        <v>2129160959.1344869</v>
      </c>
      <c r="AE59" s="25">
        <f t="shared" si="7"/>
        <v>685352220.69482851</v>
      </c>
      <c r="AF59" s="25">
        <f t="shared" si="24"/>
        <v>91011683463.225296</v>
      </c>
      <c r="AG59" s="25">
        <f>AE59/((1+'How much will I make'!$C$5/12)^(Calculations!$B$1*12-Calculations!$A59))</f>
        <v>117070765.31638646</v>
      </c>
      <c r="AH59" s="25">
        <f t="shared" si="25"/>
        <v>13524254594.565821</v>
      </c>
    </row>
    <row r="60" spans="1:34" ht="15.75" customHeight="1">
      <c r="A60" s="22">
        <f t="shared" si="8"/>
        <v>56</v>
      </c>
      <c r="B60" s="22">
        <f t="shared" si="29"/>
        <v>607.75312500000007</v>
      </c>
      <c r="C60" s="25">
        <f t="shared" si="0"/>
        <v>3543.1273847179609</v>
      </c>
      <c r="D60" s="25">
        <f t="shared" si="10"/>
        <v>200387.63809044994</v>
      </c>
      <c r="E60" s="25">
        <f>$C60/((1+'How much will I make'!$C$5/12)^(Calculations!$B$1*12-Calculations!$A60))</f>
        <v>607.75312500000007</v>
      </c>
      <c r="F60" s="25">
        <f t="shared" si="11"/>
        <v>30722.774999999994</v>
      </c>
      <c r="G60" s="25">
        <f t="shared" si="1"/>
        <v>20505.760969114985</v>
      </c>
      <c r="H60" s="25">
        <f t="shared" si="12"/>
        <v>1302752.1604325459</v>
      </c>
      <c r="I60" s="25">
        <f>G60/((1+'How much will I make'!$C$5/12)^(Calculations!$B$1*12-Calculations!$A60))</f>
        <v>3517.3559842175118</v>
      </c>
      <c r="J60" s="25">
        <f t="shared" si="13"/>
        <v>198835.79278236313</v>
      </c>
      <c r="K60" s="25">
        <f t="shared" si="2"/>
        <v>117820.46178608204</v>
      </c>
      <c r="L60" s="25">
        <f t="shared" si="14"/>
        <v>8441728.0632650536</v>
      </c>
      <c r="M60" s="25">
        <f>K60/((1+'How much will I make'!$C$5/12)^(Calculations!$B$1*12-Calculations!$A60))</f>
        <v>20209.759927989267</v>
      </c>
      <c r="N60" s="25">
        <f t="shared" si="15"/>
        <v>1282687.4012159475</v>
      </c>
      <c r="O60" s="25">
        <f t="shared" si="3"/>
        <v>672120.40826012974</v>
      </c>
      <c r="P60" s="25">
        <f t="shared" si="16"/>
        <v>54521515.079101302</v>
      </c>
      <c r="Q60" s="25">
        <f>O60/((1+'How much will I make'!$C$5/12)^(Calculations!$B$1*12-Calculations!$A60))</f>
        <v>115288.90557483744</v>
      </c>
      <c r="R60" s="25">
        <f t="shared" si="17"/>
        <v>8247790.2213950111</v>
      </c>
      <c r="S60" s="25">
        <f t="shared" si="4"/>
        <v>3806979.0375552154</v>
      </c>
      <c r="T60" s="25">
        <f t="shared" si="18"/>
        <v>350954338.92857522</v>
      </c>
      <c r="U60" s="25">
        <f>S60/((1+'How much will I make'!$C$5/12)^(Calculations!$B$1*12-Calculations!$A60))</f>
        <v>653011.63510604342</v>
      </c>
      <c r="V60" s="25">
        <f t="shared" si="19"/>
        <v>52860767.11192815</v>
      </c>
      <c r="W60" s="25">
        <f t="shared" si="5"/>
        <v>21411452.350609671</v>
      </c>
      <c r="X60" s="25">
        <f t="shared" si="20"/>
        <v>2251388223.2162623</v>
      </c>
      <c r="Y60" s="25">
        <f>W60/((1+'How much will I make'!$C$5/12)^(Calculations!$B$1*12-Calculations!$A60))</f>
        <v>3672709.350783749</v>
      </c>
      <c r="Z60" s="25">
        <f t="shared" si="21"/>
        <v>337666454.03732646</v>
      </c>
      <c r="AA60" s="25">
        <f t="shared" si="6"/>
        <v>119582849.25953196</v>
      </c>
      <c r="AB60" s="25">
        <f t="shared" si="22"/>
        <v>14392328672.808064</v>
      </c>
      <c r="AC60" s="25">
        <f>AA60/((1+'How much will I make'!$C$5/12)^(Calculations!$B$1*12-Calculations!$A60))</f>
        <v>20512062.492404491</v>
      </c>
      <c r="AD60" s="25">
        <f t="shared" si="23"/>
        <v>2149673021.6268916</v>
      </c>
      <c r="AE60" s="25">
        <f t="shared" si="7"/>
        <v>663244084.54338253</v>
      </c>
      <c r="AF60" s="25">
        <f t="shared" si="24"/>
        <v>91674927547.768677</v>
      </c>
      <c r="AG60" s="25">
        <f>AE60/((1+'How much will I make'!$C$5/12)^(Calculations!$B$1*12-Calculations!$A60))</f>
        <v>113766348.55342396</v>
      </c>
      <c r="AH60" s="25">
        <f t="shared" si="25"/>
        <v>13638020943.119246</v>
      </c>
    </row>
    <row r="61" spans="1:34" ht="15.75" customHeight="1">
      <c r="A61" s="22">
        <f t="shared" si="8"/>
        <v>57</v>
      </c>
      <c r="B61" s="22">
        <f t="shared" si="29"/>
        <v>607.75312500000007</v>
      </c>
      <c r="C61" s="25">
        <f t="shared" si="0"/>
        <v>3528.4256113373885</v>
      </c>
      <c r="D61" s="25">
        <f t="shared" si="10"/>
        <v>203916.06370178732</v>
      </c>
      <c r="E61" s="25">
        <f>$C61/((1+'How much will I make'!$C$5/12)^(Calculations!$B$1*12-Calculations!$A61))</f>
        <v>607.75312500000007</v>
      </c>
      <c r="F61" s="25">
        <f t="shared" si="11"/>
        <v>31330.528124999993</v>
      </c>
      <c r="G61" s="25">
        <f t="shared" si="1"/>
        <v>20336.291870196685</v>
      </c>
      <c r="H61" s="25">
        <f t="shared" si="12"/>
        <v>1323088.4523027425</v>
      </c>
      <c r="I61" s="25">
        <f>G61/((1+'How much will I make'!$C$5/12)^(Calculations!$B$1*12-Calculations!$A61))</f>
        <v>3502.8214553571097</v>
      </c>
      <c r="J61" s="25">
        <f t="shared" si="13"/>
        <v>202338.61423772023</v>
      </c>
      <c r="K61" s="25">
        <f t="shared" si="2"/>
        <v>116365.88818378476</v>
      </c>
      <c r="L61" s="25">
        <f t="shared" si="14"/>
        <v>8558093.9514488392</v>
      </c>
      <c r="M61" s="25">
        <f>K61/((1+'How much will I make'!$C$5/12)^(Calculations!$B$1*12-Calculations!$A61))</f>
        <v>20043.424455330922</v>
      </c>
      <c r="N61" s="25">
        <f t="shared" si="15"/>
        <v>1302730.8256712784</v>
      </c>
      <c r="O61" s="25">
        <f t="shared" si="3"/>
        <v>661102.04091160302</v>
      </c>
      <c r="P61" s="25">
        <f t="shared" si="16"/>
        <v>55182617.120012902</v>
      </c>
      <c r="Q61" s="25">
        <f>O61/((1+'How much will I make'!$C$5/12)^(Calculations!$B$1*12-Calculations!$A61))</f>
        <v>113871.41903088451</v>
      </c>
      <c r="R61" s="25">
        <f t="shared" si="17"/>
        <v>8361661.6404258953</v>
      </c>
      <c r="S61" s="25">
        <f t="shared" si="4"/>
        <v>3729285.5878091911</v>
      </c>
      <c r="T61" s="25">
        <f t="shared" si="18"/>
        <v>354683624.51638442</v>
      </c>
      <c r="U61" s="25">
        <f>S61/((1+'How much will I make'!$C$5/12)^(Calculations!$B$1*12-Calculations!$A61))</f>
        <v>642350.22065533255</v>
      </c>
      <c r="V61" s="25">
        <f t="shared" si="19"/>
        <v>53503117.33258348</v>
      </c>
      <c r="W61" s="25">
        <f t="shared" si="5"/>
        <v>20889221.805472851</v>
      </c>
      <c r="X61" s="25">
        <f t="shared" si="20"/>
        <v>2272277445.0217352</v>
      </c>
      <c r="Y61" s="25">
        <f>W61/((1+'How much will I make'!$C$5/12)^(Calculations!$B$1*12-Calculations!$A61))</f>
        <v>3598060.786743429</v>
      </c>
      <c r="Z61" s="25">
        <f t="shared" si="21"/>
        <v>341264514.82406986</v>
      </c>
      <c r="AA61" s="25">
        <f t="shared" si="6"/>
        <v>116193861.62869507</v>
      </c>
      <c r="AB61" s="25">
        <f t="shared" si="22"/>
        <v>14508522534.436758</v>
      </c>
      <c r="AC61" s="25">
        <f>AA61/((1+'How much will I make'!$C$5/12)^(Calculations!$B$1*12-Calculations!$A61))</f>
        <v>20013793.767892648</v>
      </c>
      <c r="AD61" s="25">
        <f t="shared" si="23"/>
        <v>2169686815.3947845</v>
      </c>
      <c r="AE61" s="25">
        <f t="shared" si="7"/>
        <v>641849114.07424092</v>
      </c>
      <c r="AF61" s="25">
        <f t="shared" si="24"/>
        <v>92316776661.842911</v>
      </c>
      <c r="AG61" s="25">
        <f>AE61/((1+'How much will I make'!$C$5/12)^(Calculations!$B$1*12-Calculations!$A61))</f>
        <v>110555201.61844824</v>
      </c>
      <c r="AH61" s="25">
        <f t="shared" si="25"/>
        <v>13748576144.737694</v>
      </c>
    </row>
    <row r="62" spans="1:34" ht="15.75" customHeight="1">
      <c r="A62" s="22">
        <f t="shared" si="8"/>
        <v>58</v>
      </c>
      <c r="B62" s="22">
        <f t="shared" si="29"/>
        <v>607.75312500000007</v>
      </c>
      <c r="C62" s="25">
        <f t="shared" si="0"/>
        <v>3513.7848411658642</v>
      </c>
      <c r="D62" s="25">
        <f t="shared" si="10"/>
        <v>207429.8485429532</v>
      </c>
      <c r="E62" s="25">
        <f>$C62/((1+'How much will I make'!$C$5/12)^(Calculations!$B$1*12-Calculations!$A62))</f>
        <v>607.75312500000007</v>
      </c>
      <c r="F62" s="25">
        <f t="shared" si="11"/>
        <v>31938.281249999993</v>
      </c>
      <c r="G62" s="25">
        <f t="shared" si="1"/>
        <v>20168.223342343823</v>
      </c>
      <c r="H62" s="25">
        <f t="shared" si="12"/>
        <v>1343256.6756450864</v>
      </c>
      <c r="I62" s="25">
        <f>G62/((1+'How much will I make'!$C$5/12)^(Calculations!$B$1*12-Calculations!$A62))</f>
        <v>3488.3469865333204</v>
      </c>
      <c r="J62" s="25">
        <f t="shared" si="13"/>
        <v>205826.96122425355</v>
      </c>
      <c r="K62" s="25">
        <f t="shared" si="2"/>
        <v>114929.27228028125</v>
      </c>
      <c r="L62" s="25">
        <f t="shared" si="14"/>
        <v>8673023.2237291206</v>
      </c>
      <c r="M62" s="25">
        <f>K62/((1+'How much will I make'!$C$5/12)^(Calculations!$B$1*12-Calculations!$A62))</f>
        <v>19878.457998908445</v>
      </c>
      <c r="N62" s="25">
        <f t="shared" si="15"/>
        <v>1322609.2836701868</v>
      </c>
      <c r="O62" s="25">
        <f t="shared" si="3"/>
        <v>650264.30253600306</v>
      </c>
      <c r="P62" s="25">
        <f t="shared" si="16"/>
        <v>55832881.422548905</v>
      </c>
      <c r="Q62" s="25">
        <f>O62/((1+'How much will I make'!$C$5/12)^(Calculations!$B$1*12-Calculations!$A62))</f>
        <v>112471.36060017694</v>
      </c>
      <c r="R62" s="25">
        <f t="shared" si="17"/>
        <v>8474133.0010260716</v>
      </c>
      <c r="S62" s="25">
        <f t="shared" si="4"/>
        <v>3653177.718670229</v>
      </c>
      <c r="T62" s="25">
        <f t="shared" si="18"/>
        <v>358336802.23505467</v>
      </c>
      <c r="U62" s="25">
        <f>S62/((1+'How much will I make'!$C$5/12)^(Calculations!$B$1*12-Calculations!$A62))</f>
        <v>631862.87011402112</v>
      </c>
      <c r="V62" s="25">
        <f t="shared" si="19"/>
        <v>54134980.202697501</v>
      </c>
      <c r="W62" s="25">
        <f t="shared" si="5"/>
        <v>20379728.590705216</v>
      </c>
      <c r="X62" s="25">
        <f t="shared" si="20"/>
        <v>2292657173.6124406</v>
      </c>
      <c r="Y62" s="25">
        <f>W62/((1+'How much will I make'!$C$5/12)^(Calculations!$B$1*12-Calculations!$A62))</f>
        <v>3524929.4699396999</v>
      </c>
      <c r="Z62" s="25">
        <f t="shared" si="21"/>
        <v>344789444.29400957</v>
      </c>
      <c r="AA62" s="25">
        <f t="shared" si="6"/>
        <v>112900918.18172798</v>
      </c>
      <c r="AB62" s="25">
        <f t="shared" si="22"/>
        <v>14621423452.618486</v>
      </c>
      <c r="AC62" s="25">
        <f>AA62/((1+'How much will I make'!$C$5/12)^(Calculations!$B$1*12-Calculations!$A62))</f>
        <v>19527628.737093631</v>
      </c>
      <c r="AD62" s="25">
        <f t="shared" si="23"/>
        <v>2189214444.1318779</v>
      </c>
      <c r="AE62" s="25">
        <f t="shared" si="7"/>
        <v>621144303.94281387</v>
      </c>
      <c r="AF62" s="25">
        <f t="shared" si="24"/>
        <v>92937920965.785721</v>
      </c>
      <c r="AG62" s="25">
        <f>AE62/((1+'How much will I make'!$C$5/12)^(Calculations!$B$1*12-Calculations!$A62))</f>
        <v>107434691.89534688</v>
      </c>
      <c r="AH62" s="25">
        <f t="shared" si="25"/>
        <v>13856010836.633041</v>
      </c>
    </row>
    <row r="63" spans="1:34" ht="15.75" customHeight="1">
      <c r="A63" s="22">
        <f t="shared" si="8"/>
        <v>59</v>
      </c>
      <c r="B63" s="22">
        <f t="shared" si="29"/>
        <v>607.75312500000007</v>
      </c>
      <c r="C63" s="25">
        <f t="shared" si="0"/>
        <v>3499.2048210780385</v>
      </c>
      <c r="D63" s="25">
        <f t="shared" si="10"/>
        <v>210929.05336403125</v>
      </c>
      <c r="E63" s="25">
        <f>$C63/((1+'How much will I make'!$C$5/12)^(Calculations!$B$1*12-Calculations!$A63))</f>
        <v>607.75312500000007</v>
      </c>
      <c r="F63" s="25">
        <f t="shared" si="11"/>
        <v>32546.034374999992</v>
      </c>
      <c r="G63" s="25">
        <f t="shared" si="1"/>
        <v>20001.543810588912</v>
      </c>
      <c r="H63" s="25">
        <f t="shared" si="12"/>
        <v>1363258.2194556755</v>
      </c>
      <c r="I63" s="25">
        <f>G63/((1+'How much will I make'!$C$5/12)^(Calculations!$B$1*12-Calculations!$A63))</f>
        <v>3473.9323295641743</v>
      </c>
      <c r="J63" s="25">
        <f t="shared" si="13"/>
        <v>209300.89355381773</v>
      </c>
      <c r="K63" s="25">
        <f t="shared" si="2"/>
        <v>113510.39237558642</v>
      </c>
      <c r="L63" s="25">
        <f t="shared" si="14"/>
        <v>8786533.6161047071</v>
      </c>
      <c r="M63" s="25">
        <f>K63/((1+'How much will I make'!$C$5/12)^(Calculations!$B$1*12-Calculations!$A63))</f>
        <v>19714.849291098501</v>
      </c>
      <c r="N63" s="25">
        <f t="shared" si="15"/>
        <v>1342324.1329612853</v>
      </c>
      <c r="O63" s="25">
        <f t="shared" si="3"/>
        <v>639604.23200262606</v>
      </c>
      <c r="P63" s="25">
        <f t="shared" si="16"/>
        <v>56472485.654551528</v>
      </c>
      <c r="Q63" s="25">
        <f>O63/((1+'How much will I make'!$C$5/12)^(Calculations!$B$1*12-Calculations!$A63))</f>
        <v>111088.5160026338</v>
      </c>
      <c r="R63" s="25">
        <f t="shared" si="17"/>
        <v>8585221.5170287061</v>
      </c>
      <c r="S63" s="25">
        <f t="shared" si="4"/>
        <v>3578623.0713504283</v>
      </c>
      <c r="T63" s="25">
        <f t="shared" si="18"/>
        <v>361915425.30640513</v>
      </c>
      <c r="U63" s="25">
        <f>S63/((1+'How much will I make'!$C$5/12)^(Calculations!$B$1*12-Calculations!$A63))</f>
        <v>621546.74162236368</v>
      </c>
      <c r="V63" s="25">
        <f t="shared" si="19"/>
        <v>54756526.944319867</v>
      </c>
      <c r="W63" s="25">
        <f t="shared" si="5"/>
        <v>19882662.039712414</v>
      </c>
      <c r="X63" s="25">
        <f t="shared" si="20"/>
        <v>2312539835.652153</v>
      </c>
      <c r="Y63" s="25">
        <f>W63/((1+'How much will I make'!$C$5/12)^(Calculations!$B$1*12-Calculations!$A63))</f>
        <v>3453284.5620140983</v>
      </c>
      <c r="Z63" s="25">
        <f t="shared" si="21"/>
        <v>348242728.85602367</v>
      </c>
      <c r="AA63" s="25">
        <f t="shared" si="6"/>
        <v>109701297.01868308</v>
      </c>
      <c r="AB63" s="25">
        <f t="shared" si="22"/>
        <v>14731124749.637169</v>
      </c>
      <c r="AC63" s="25">
        <f>AA63/((1+'How much will I make'!$C$5/12)^(Calculations!$B$1*12-Calculations!$A63))</f>
        <v>19053273.383156139</v>
      </c>
      <c r="AD63" s="25">
        <f t="shared" si="23"/>
        <v>2208267717.5150342</v>
      </c>
      <c r="AE63" s="25">
        <f t="shared" si="7"/>
        <v>601107390.91240036</v>
      </c>
      <c r="AF63" s="25">
        <f t="shared" si="24"/>
        <v>93539028356.69812</v>
      </c>
      <c r="AG63" s="25">
        <f>AE63/((1+'How much will I make'!$C$5/12)^(Calculations!$B$1*12-Calculations!$A63))</f>
        <v>104402261.07572015</v>
      </c>
      <c r="AH63" s="25">
        <f t="shared" si="25"/>
        <v>13960413097.708761</v>
      </c>
    </row>
    <row r="64" spans="1:34" ht="15.75" customHeight="1">
      <c r="A64" s="22">
        <f t="shared" si="8"/>
        <v>60</v>
      </c>
      <c r="B64" s="22">
        <f t="shared" si="29"/>
        <v>607.75312500000007</v>
      </c>
      <c r="C64" s="25">
        <f t="shared" si="0"/>
        <v>3484.6852989988765</v>
      </c>
      <c r="D64" s="25">
        <f t="shared" si="10"/>
        <v>214413.73866303012</v>
      </c>
      <c r="E64" s="25">
        <f>$C64/((1+'How much will I make'!$C$5/12)^(Calculations!$B$1*12-Calculations!$A64))</f>
        <v>607.75312500000007</v>
      </c>
      <c r="F64" s="25">
        <f t="shared" si="11"/>
        <v>33153.787499999991</v>
      </c>
      <c r="G64" s="25">
        <f t="shared" si="1"/>
        <v>19836.241795625367</v>
      </c>
      <c r="H64" s="25">
        <f t="shared" si="12"/>
        <v>1383094.4612513008</v>
      </c>
      <c r="I64" s="25">
        <f>G64/((1+'How much will I make'!$C$5/12)^(Calculations!$B$1*12-Calculations!$A64))</f>
        <v>3459.5772372932479</v>
      </c>
      <c r="J64" s="25">
        <f t="shared" si="13"/>
        <v>212760.47079111097</v>
      </c>
      <c r="K64" s="25">
        <f t="shared" si="2"/>
        <v>112109.02950675202</v>
      </c>
      <c r="L64" s="25">
        <f t="shared" si="14"/>
        <v>8898642.6456114594</v>
      </c>
      <c r="M64" s="25">
        <f>K64/((1+'How much will I make'!$C$5/12)^(Calculations!$B$1*12-Calculations!$A64))</f>
        <v>19552.587157015387</v>
      </c>
      <c r="N64" s="25">
        <f t="shared" si="15"/>
        <v>1361876.7201183008</v>
      </c>
      <c r="O64" s="25">
        <f t="shared" si="3"/>
        <v>629118.91672389442</v>
      </c>
      <c r="P64" s="25">
        <f t="shared" si="16"/>
        <v>57101604.57127542</v>
      </c>
      <c r="Q64" s="25">
        <f>O64/((1+'How much will I make'!$C$5/12)^(Calculations!$B$1*12-Calculations!$A64))</f>
        <v>109722.67359276535</v>
      </c>
      <c r="R64" s="25">
        <f t="shared" si="17"/>
        <v>8694944.190621471</v>
      </c>
      <c r="S64" s="25">
        <f t="shared" si="4"/>
        <v>3505589.9474453176</v>
      </c>
      <c r="T64" s="25">
        <f t="shared" si="18"/>
        <v>365421015.25385046</v>
      </c>
      <c r="U64" s="25">
        <f>S64/((1+'How much will I make'!$C$5/12)^(Calculations!$B$1*12-Calculations!$A64))</f>
        <v>611399.03971832513</v>
      </c>
      <c r="V64" s="25">
        <f t="shared" si="19"/>
        <v>55367925.984038189</v>
      </c>
      <c r="W64" s="25">
        <f t="shared" si="5"/>
        <v>19397719.063134067</v>
      </c>
      <c r="X64" s="25">
        <f t="shared" si="20"/>
        <v>2331937554.7152872</v>
      </c>
      <c r="Y64" s="25">
        <f>W64/((1+'How much will I make'!$C$5/12)^(Calculations!$B$1*12-Calculations!$A64))</f>
        <v>3383095.8514040564</v>
      </c>
      <c r="Z64" s="25">
        <f t="shared" si="21"/>
        <v>351625824.70742774</v>
      </c>
      <c r="AA64" s="25">
        <f t="shared" si="6"/>
        <v>106592353.3784775</v>
      </c>
      <c r="AB64" s="25">
        <f t="shared" si="22"/>
        <v>14837717103.015646</v>
      </c>
      <c r="AC64" s="25">
        <f>AA64/((1+'How much will I make'!$C$5/12)^(Calculations!$B$1*12-Calculations!$A64))</f>
        <v>18590440.831338584</v>
      </c>
      <c r="AD64" s="25">
        <f t="shared" si="23"/>
        <v>2226858158.3463726</v>
      </c>
      <c r="AE64" s="25">
        <f t="shared" si="7"/>
        <v>581716829.91522622</v>
      </c>
      <c r="AF64" s="25">
        <f t="shared" si="24"/>
        <v>94120745186.613342</v>
      </c>
      <c r="AG64" s="25">
        <f>AE64/((1+'How much will I make'!$C$5/12)^(Calculations!$B$1*12-Calculations!$A64))</f>
        <v>101455423.06148611</v>
      </c>
      <c r="AH64" s="25">
        <f t="shared" si="25"/>
        <v>14061868520.770247</v>
      </c>
    </row>
    <row r="65" spans="1:34" ht="15.75" customHeight="1">
      <c r="A65" s="22">
        <f t="shared" si="8"/>
        <v>61</v>
      </c>
      <c r="B65" s="22">
        <f>B64*(1+'How much will I make'!$C$4)</f>
        <v>638.14078125000015</v>
      </c>
      <c r="C65" s="25">
        <f t="shared" si="0"/>
        <v>3643.7373250942619</v>
      </c>
      <c r="D65" s="25">
        <f t="shared" si="10"/>
        <v>218057.47598812438</v>
      </c>
      <c r="E65" s="25">
        <f>$C65/((1+'How much will I make'!$C$5/12)^(Calculations!$B$1*12-Calculations!$A65))</f>
        <v>638.14078125000015</v>
      </c>
      <c r="F65" s="25">
        <f t="shared" si="11"/>
        <v>33791.928281249988</v>
      </c>
      <c r="G65" s="25">
        <f t="shared" si="1"/>
        <v>20655.921208667743</v>
      </c>
      <c r="H65" s="25">
        <f t="shared" si="12"/>
        <v>1403750.3824599686</v>
      </c>
      <c r="I65" s="25">
        <f>G65/((1+'How much will I make'!$C$5/12)^(Calculations!$B$1*12-Calculations!$A65))</f>
        <v>3617.5455367646964</v>
      </c>
      <c r="J65" s="25">
        <f t="shared" si="13"/>
        <v>216378.01632787567</v>
      </c>
      <c r="K65" s="25">
        <f t="shared" si="2"/>
        <v>116261.21578477988</v>
      </c>
      <c r="L65" s="25">
        <f t="shared" si="14"/>
        <v>9014903.8613962401</v>
      </c>
      <c r="M65" s="25">
        <f>K65/((1+'How much will I make'!$C$5/12)^(Calculations!$B$1*12-Calculations!$A65))</f>
        <v>20361.243539435156</v>
      </c>
      <c r="N65" s="25">
        <f t="shared" si="15"/>
        <v>1382237.9636577358</v>
      </c>
      <c r="O65" s="25">
        <f t="shared" si="3"/>
        <v>649745.7664525467</v>
      </c>
      <c r="P65" s="25">
        <f t="shared" si="16"/>
        <v>57751350.337727964</v>
      </c>
      <c r="Q65" s="25">
        <f>O65/((1+'How much will I make'!$C$5/12)^(Calculations!$B$1*12-Calculations!$A65))</f>
        <v>113792.30554364453</v>
      </c>
      <c r="R65" s="25">
        <f t="shared" si="17"/>
        <v>8808736.4961651154</v>
      </c>
      <c r="S65" s="25">
        <f t="shared" si="4"/>
        <v>3605749.6602294706</v>
      </c>
      <c r="T65" s="25">
        <f t="shared" si="18"/>
        <v>369026764.9140799</v>
      </c>
      <c r="U65" s="25">
        <f>S65/((1+'How much will I make'!$C$5/12)^(Calculations!$B$1*12-Calculations!$A65))</f>
        <v>631487.86530907021</v>
      </c>
      <c r="V65" s="25">
        <f t="shared" si="19"/>
        <v>55999413.849347256</v>
      </c>
      <c r="W65" s="25">
        <f t="shared" si="5"/>
        <v>19870834.162234895</v>
      </c>
      <c r="X65" s="25">
        <f t="shared" si="20"/>
        <v>2351808388.877522</v>
      </c>
      <c r="Y65" s="25">
        <f>W65/((1+'How much will I make'!$C$5/12)^(Calculations!$B$1*12-Calculations!$A65))</f>
        <v>3480050.4276333181</v>
      </c>
      <c r="Z65" s="25">
        <f t="shared" si="21"/>
        <v>355105875.13506109</v>
      </c>
      <c r="AA65" s="25">
        <f t="shared" si="6"/>
        <v>108750093.32541029</v>
      </c>
      <c r="AB65" s="25">
        <f t="shared" si="22"/>
        <v>14946467196.341057</v>
      </c>
      <c r="AC65" s="25">
        <f>AA65/((1+'How much will I make'!$C$5/12)^(Calculations!$B$1*12-Calculations!$A65))</f>
        <v>19045793.734292429</v>
      </c>
      <c r="AD65" s="25">
        <f t="shared" si="23"/>
        <v>2245903952.0806651</v>
      </c>
      <c r="AE65" s="25">
        <f t="shared" si="7"/>
        <v>591099359.42998779</v>
      </c>
      <c r="AF65" s="25">
        <f t="shared" si="24"/>
        <v>94711844546.043335</v>
      </c>
      <c r="AG65" s="25">
        <f>AE65/((1+'How much will I make'!$C$5/12)^(Calculations!$B$1*12-Calculations!$A65))</f>
        <v>103521350.02302037</v>
      </c>
      <c r="AH65" s="25">
        <f t="shared" si="25"/>
        <v>14165389870.793266</v>
      </c>
    </row>
    <row r="66" spans="1:34" ht="15.75" customHeight="1">
      <c r="A66" s="22">
        <f t="shared" si="8"/>
        <v>62</v>
      </c>
      <c r="B66" s="22">
        <f t="shared" ref="B66:B76" si="30">B65</f>
        <v>638.14078125000015</v>
      </c>
      <c r="C66" s="25">
        <f t="shared" si="0"/>
        <v>3628.6180830814219</v>
      </c>
      <c r="D66" s="25">
        <f t="shared" si="10"/>
        <v>221686.09407120579</v>
      </c>
      <c r="E66" s="25">
        <f>$C66/((1+'How much will I make'!$C$5/12)^(Calculations!$B$1*12-Calculations!$A66))</f>
        <v>638.14078125000015</v>
      </c>
      <c r="F66" s="25">
        <f t="shared" si="11"/>
        <v>34430.069062499984</v>
      </c>
      <c r="G66" s="25">
        <f t="shared" si="1"/>
        <v>20485.211116034126</v>
      </c>
      <c r="H66" s="25">
        <f t="shared" si="12"/>
        <v>1424235.5935760026</v>
      </c>
      <c r="I66" s="25">
        <f>G66/((1+'How much will I make'!$C$5/12)^(Calculations!$B$1*12-Calculations!$A66))</f>
        <v>3602.5970014888103</v>
      </c>
      <c r="J66" s="25">
        <f t="shared" si="13"/>
        <v>219980.61332936448</v>
      </c>
      <c r="K66" s="25">
        <f t="shared" si="2"/>
        <v>114825.89213311595</v>
      </c>
      <c r="L66" s="25">
        <f t="shared" si="14"/>
        <v>9129729.7535293568</v>
      </c>
      <c r="M66" s="25">
        <f>K66/((1+'How much will I make'!$C$5/12)^(Calculations!$B$1*12-Calculations!$A66))</f>
        <v>20193.661288081788</v>
      </c>
      <c r="N66" s="25">
        <f t="shared" si="15"/>
        <v>1402431.6249458177</v>
      </c>
      <c r="O66" s="25">
        <f t="shared" si="3"/>
        <v>639094.19651070179</v>
      </c>
      <c r="P66" s="25">
        <f t="shared" si="16"/>
        <v>58390444.534238666</v>
      </c>
      <c r="Q66" s="25">
        <f>O66/((1+'How much will I make'!$C$5/12)^(Calculations!$B$1*12-Calculations!$A66))</f>
        <v>112393.2198197473</v>
      </c>
      <c r="R66" s="25">
        <f t="shared" si="17"/>
        <v>8921129.7159848623</v>
      </c>
      <c r="S66" s="25">
        <f t="shared" si="4"/>
        <v>3532162.9324696856</v>
      </c>
      <c r="T66" s="25">
        <f t="shared" si="18"/>
        <v>372558927.84654957</v>
      </c>
      <c r="U66" s="25">
        <f>S66/((1+'How much will I make'!$C$5/12)^(Calculations!$B$1*12-Calculations!$A66))</f>
        <v>621177.85934484063</v>
      </c>
      <c r="V66" s="25">
        <f t="shared" si="19"/>
        <v>56620591.708692096</v>
      </c>
      <c r="W66" s="25">
        <f t="shared" si="5"/>
        <v>19386179.670473069</v>
      </c>
      <c r="X66" s="25">
        <f t="shared" si="20"/>
        <v>2371194568.5479951</v>
      </c>
      <c r="Y66" s="25">
        <f>W66/((1+'How much will I make'!$C$5/12)^(Calculations!$B$1*12-Calculations!$A66))</f>
        <v>3409317.6953643486</v>
      </c>
      <c r="Z66" s="25">
        <f t="shared" si="21"/>
        <v>358515192.83042544</v>
      </c>
      <c r="AA66" s="25">
        <f t="shared" si="6"/>
        <v>105668106.87489258</v>
      </c>
      <c r="AB66" s="25">
        <f t="shared" si="22"/>
        <v>15052135303.21595</v>
      </c>
      <c r="AC66" s="25">
        <f>AA66/((1+'How much will I make'!$C$5/12)^(Calculations!$B$1*12-Calculations!$A66))</f>
        <v>18583142.874350104</v>
      </c>
      <c r="AD66" s="25">
        <f t="shared" si="23"/>
        <v>2264487094.9550152</v>
      </c>
      <c r="AE66" s="25">
        <f t="shared" si="7"/>
        <v>572031638.15805268</v>
      </c>
      <c r="AF66" s="25">
        <f t="shared" si="24"/>
        <v>95283876184.201385</v>
      </c>
      <c r="AG66" s="25">
        <f>AE66/((1+'How much will I make'!$C$5/12)^(Calculations!$B$1*12-Calculations!$A66))</f>
        <v>100599376.43366094</v>
      </c>
      <c r="AH66" s="25">
        <f t="shared" si="25"/>
        <v>14265989247.226927</v>
      </c>
    </row>
    <row r="67" spans="1:34" ht="15.75" customHeight="1">
      <c r="A67" s="22">
        <f t="shared" si="8"/>
        <v>63</v>
      </c>
      <c r="B67" s="22">
        <f t="shared" si="30"/>
        <v>638.14078125000015</v>
      </c>
      <c r="C67" s="25">
        <f t="shared" si="0"/>
        <v>3613.5615765126195</v>
      </c>
      <c r="D67" s="25">
        <f t="shared" si="10"/>
        <v>225299.65564771841</v>
      </c>
      <c r="E67" s="25">
        <f>$C67/((1+'How much will I make'!$C$5/12)^(Calculations!$B$1*12-Calculations!$A67))</f>
        <v>638.14078125000015</v>
      </c>
      <c r="F67" s="25">
        <f t="shared" si="11"/>
        <v>35068.209843749981</v>
      </c>
      <c r="G67" s="25">
        <f t="shared" si="1"/>
        <v>20315.91185061236</v>
      </c>
      <c r="H67" s="25">
        <f t="shared" si="12"/>
        <v>1444551.505426615</v>
      </c>
      <c r="I67" s="25">
        <f>G67/((1+'How much will I make'!$C$5/12)^(Calculations!$B$1*12-Calculations!$A67))</f>
        <v>3587.7102370198486</v>
      </c>
      <c r="J67" s="25">
        <f t="shared" si="13"/>
        <v>223568.32356638432</v>
      </c>
      <c r="K67" s="25">
        <f t="shared" si="2"/>
        <v>113408.28852653428</v>
      </c>
      <c r="L67" s="25">
        <f t="shared" si="14"/>
        <v>9243138.0420558918</v>
      </c>
      <c r="M67" s="25">
        <f>K67/((1+'How much will I make'!$C$5/12)^(Calculations!$B$1*12-Calculations!$A67))</f>
        <v>20027.458314517331</v>
      </c>
      <c r="N67" s="25">
        <f t="shared" si="15"/>
        <v>1422459.083260335</v>
      </c>
      <c r="O67" s="25">
        <f t="shared" si="3"/>
        <v>628617.24246954278</v>
      </c>
      <c r="P67" s="25">
        <f t="shared" si="16"/>
        <v>59019061.776708208</v>
      </c>
      <c r="Q67" s="25">
        <f>O67/((1+'How much will I make'!$C$5/12)^(Calculations!$B$1*12-Calculations!$A67))</f>
        <v>111011.33596950451</v>
      </c>
      <c r="R67" s="25">
        <f t="shared" si="17"/>
        <v>9032141.0519543663</v>
      </c>
      <c r="S67" s="25">
        <f t="shared" si="4"/>
        <v>3460077.9746641824</v>
      </c>
      <c r="T67" s="25">
        <f t="shared" si="18"/>
        <v>376019005.82121378</v>
      </c>
      <c r="U67" s="25">
        <f>S67/((1+'How much will I make'!$C$5/12)^(Calculations!$B$1*12-Calculations!$A67))</f>
        <v>611036.18000859837</v>
      </c>
      <c r="V67" s="25">
        <f t="shared" si="19"/>
        <v>57231627.888700694</v>
      </c>
      <c r="W67" s="25">
        <f t="shared" si="5"/>
        <v>18913346.019973729</v>
      </c>
      <c r="X67" s="25">
        <f t="shared" si="20"/>
        <v>2390107914.5679688</v>
      </c>
      <c r="Y67" s="25">
        <f>W67/((1+'How much will I make'!$C$5/12)^(Calculations!$B$1*12-Calculations!$A67))</f>
        <v>3340022.6202553175</v>
      </c>
      <c r="Z67" s="25">
        <f t="shared" si="21"/>
        <v>361855215.45068073</v>
      </c>
      <c r="AA67" s="25">
        <f t="shared" si="6"/>
        <v>102673464.16993611</v>
      </c>
      <c r="AB67" s="25">
        <f t="shared" si="22"/>
        <v>15154808767.385885</v>
      </c>
      <c r="AC67" s="25">
        <f>AA67/((1+'How much will I make'!$C$5/12)^(Calculations!$B$1*12-Calculations!$A67))</f>
        <v>18131730.496835526</v>
      </c>
      <c r="AD67" s="25">
        <f t="shared" si="23"/>
        <v>2282618825.4518509</v>
      </c>
      <c r="AE67" s="25">
        <f t="shared" si="7"/>
        <v>553579004.66908324</v>
      </c>
      <c r="AF67" s="25">
        <f t="shared" si="24"/>
        <v>95837455188.870468</v>
      </c>
      <c r="AG67" s="25">
        <f>AE67/((1+'How much will I make'!$C$5/12)^(Calculations!$B$1*12-Calculations!$A67))</f>
        <v>97759877.905291468</v>
      </c>
      <c r="AH67" s="25">
        <f t="shared" si="25"/>
        <v>14363749125.132217</v>
      </c>
    </row>
    <row r="68" spans="1:34" ht="15.75" customHeight="1">
      <c r="A68" s="22">
        <f t="shared" si="8"/>
        <v>64</v>
      </c>
      <c r="B68" s="22">
        <f t="shared" si="30"/>
        <v>638.14078125000015</v>
      </c>
      <c r="C68" s="25">
        <f t="shared" si="0"/>
        <v>3598.5675450748081</v>
      </c>
      <c r="D68" s="25">
        <f t="shared" si="10"/>
        <v>228898.2231927932</v>
      </c>
      <c r="E68" s="25">
        <f>$C68/((1+'How much will I make'!$C$5/12)^(Calculations!$B$1*12-Calculations!$A68))</f>
        <v>638.14078125000015</v>
      </c>
      <c r="F68" s="25">
        <f t="shared" si="11"/>
        <v>35706.350624999977</v>
      </c>
      <c r="G68" s="25">
        <f t="shared" si="1"/>
        <v>20148.011752673414</v>
      </c>
      <c r="H68" s="25">
        <f t="shared" si="12"/>
        <v>1464699.5171792884</v>
      </c>
      <c r="I68" s="25">
        <f>G68/((1+'How much will I make'!$C$5/12)^(Calculations!$B$1*12-Calculations!$A68))</f>
        <v>3572.8849881065426</v>
      </c>
      <c r="J68" s="25">
        <f t="shared" si="13"/>
        <v>227141.20855449088</v>
      </c>
      <c r="K68" s="25">
        <f t="shared" si="2"/>
        <v>112008.18619904619</v>
      </c>
      <c r="L68" s="25">
        <f t="shared" si="14"/>
        <v>9355146.2282549385</v>
      </c>
      <c r="M68" s="25">
        <f>K68/((1+'How much will I make'!$C$5/12)^(Calculations!$B$1*12-Calculations!$A68))</f>
        <v>19862.623266661216</v>
      </c>
      <c r="N68" s="25">
        <f t="shared" si="15"/>
        <v>1442321.7065269963</v>
      </c>
      <c r="O68" s="25">
        <f t="shared" si="3"/>
        <v>618312.04177332076</v>
      </c>
      <c r="P68" s="25">
        <f t="shared" si="16"/>
        <v>59637373.818481527</v>
      </c>
      <c r="Q68" s="25">
        <f>O68/((1+'How much will I make'!$C$5/12)^(Calculations!$B$1*12-Calculations!$A68))</f>
        <v>109646.44249446961</v>
      </c>
      <c r="R68" s="25">
        <f t="shared" si="17"/>
        <v>9141787.494448835</v>
      </c>
      <c r="S68" s="25">
        <f t="shared" si="4"/>
        <v>3389464.1384465466</v>
      </c>
      <c r="T68" s="25">
        <f t="shared" si="18"/>
        <v>379408469.95966035</v>
      </c>
      <c r="U68" s="25">
        <f>S68/((1+'How much will I make'!$C$5/12)^(Calculations!$B$1*12-Calculations!$A68))</f>
        <v>601060.07911049889</v>
      </c>
      <c r="V68" s="25">
        <f t="shared" si="19"/>
        <v>57832687.96781119</v>
      </c>
      <c r="W68" s="25">
        <f t="shared" si="5"/>
        <v>18452044.897535343</v>
      </c>
      <c r="X68" s="25">
        <f t="shared" si="20"/>
        <v>2408559959.4655042</v>
      </c>
      <c r="Y68" s="25">
        <f>W68/((1+'How much will I make'!$C$5/12)^(Calculations!$B$1*12-Calculations!$A68))</f>
        <v>3272135.9816322415</v>
      </c>
      <c r="Z68" s="25">
        <f t="shared" si="21"/>
        <v>365127351.43231297</v>
      </c>
      <c r="AA68" s="25">
        <f t="shared" si="6"/>
        <v>99763689.881719306</v>
      </c>
      <c r="AB68" s="25">
        <f t="shared" si="22"/>
        <v>15254572457.267605</v>
      </c>
      <c r="AC68" s="25">
        <f>AA68/((1+'How much will I make'!$C$5/12)^(Calculations!$B$1*12-Calculations!$A68))</f>
        <v>17691283.602175552</v>
      </c>
      <c r="AD68" s="25">
        <f t="shared" si="23"/>
        <v>2300310109.0540266</v>
      </c>
      <c r="AE68" s="25">
        <f t="shared" si="7"/>
        <v>535721617.42169344</v>
      </c>
      <c r="AF68" s="25">
        <f t="shared" si="24"/>
        <v>96373176806.29216</v>
      </c>
      <c r="AG68" s="25">
        <f>AE68/((1+'How much will I make'!$C$5/12)^(Calculations!$B$1*12-Calculations!$A68))</f>
        <v>95000526.512803391</v>
      </c>
      <c r="AH68" s="25">
        <f t="shared" si="25"/>
        <v>14458749651.645021</v>
      </c>
    </row>
    <row r="69" spans="1:34" ht="15.75" customHeight="1">
      <c r="A69" s="22">
        <f t="shared" si="8"/>
        <v>65</v>
      </c>
      <c r="B69" s="22">
        <f t="shared" si="30"/>
        <v>638.14078125000015</v>
      </c>
      <c r="C69" s="25">
        <f t="shared" si="0"/>
        <v>3583.635729535079</v>
      </c>
      <c r="D69" s="25">
        <f t="shared" si="10"/>
        <v>232481.85892232828</v>
      </c>
      <c r="E69" s="25">
        <f>$C69/((1+'How much will I make'!$C$5/12)^(Calculations!$B$1*12-Calculations!$A69))</f>
        <v>638.14078125000015</v>
      </c>
      <c r="F69" s="25">
        <f t="shared" si="11"/>
        <v>36344.491406249974</v>
      </c>
      <c r="G69" s="25">
        <f t="shared" si="1"/>
        <v>19981.499258849668</v>
      </c>
      <c r="H69" s="25">
        <f t="shared" si="12"/>
        <v>1484681.0164381382</v>
      </c>
      <c r="I69" s="25">
        <f>G69/((1+'How much will I make'!$C$5/12)^(Calculations!$B$1*12-Calculations!$A69))</f>
        <v>3558.1210005523835</v>
      </c>
      <c r="J69" s="25">
        <f t="shared" si="13"/>
        <v>230699.32955504325</v>
      </c>
      <c r="K69" s="25">
        <f t="shared" si="2"/>
        <v>110625.36908547769</v>
      </c>
      <c r="L69" s="25">
        <f t="shared" si="14"/>
        <v>9465771.5973404162</v>
      </c>
      <c r="M69" s="25">
        <f>K69/((1+'How much will I make'!$C$5/12)^(Calculations!$B$1*12-Calculations!$A69))</f>
        <v>19699.144885865644</v>
      </c>
      <c r="N69" s="25">
        <f t="shared" si="15"/>
        <v>1462020.8514128621</v>
      </c>
      <c r="O69" s="25">
        <f t="shared" si="3"/>
        <v>608175.77879343019</v>
      </c>
      <c r="P69" s="25">
        <f t="shared" si="16"/>
        <v>60245549.597274959</v>
      </c>
      <c r="Q69" s="25">
        <f>O69/((1+'How much will I make'!$C$5/12)^(Calculations!$B$1*12-Calculations!$A69))</f>
        <v>108298.33049658676</v>
      </c>
      <c r="R69" s="25">
        <f t="shared" si="17"/>
        <v>9250085.8249454219</v>
      </c>
      <c r="S69" s="25">
        <f t="shared" si="4"/>
        <v>3320291.4009272298</v>
      </c>
      <c r="T69" s="25">
        <f t="shared" si="18"/>
        <v>382728761.3605876</v>
      </c>
      <c r="U69" s="25">
        <f>S69/((1+'How much will I make'!$C$5/12)^(Calculations!$B$1*12-Calculations!$A69))</f>
        <v>591246.85332910297</v>
      </c>
      <c r="V69" s="25">
        <f t="shared" si="19"/>
        <v>58423934.821140289</v>
      </c>
      <c r="W69" s="25">
        <f t="shared" si="5"/>
        <v>18001995.021985706</v>
      </c>
      <c r="X69" s="25">
        <f t="shared" si="20"/>
        <v>2426561954.4874897</v>
      </c>
      <c r="Y69" s="25">
        <f>W69/((1+'How much will I make'!$C$5/12)^(Calculations!$B$1*12-Calculations!$A69))</f>
        <v>3205629.1527372776</v>
      </c>
      <c r="Z69" s="25">
        <f t="shared" si="21"/>
        <v>368332980.58505023</v>
      </c>
      <c r="AA69" s="25">
        <f t="shared" si="6"/>
        <v>96936378.832439855</v>
      </c>
      <c r="AB69" s="25">
        <f t="shared" si="22"/>
        <v>15351508836.100044</v>
      </c>
      <c r="AC69" s="25">
        <f>AA69/((1+'How much will I make'!$C$5/12)^(Calculations!$B$1*12-Calculations!$A69))</f>
        <v>17261535.822365627</v>
      </c>
      <c r="AD69" s="25">
        <f t="shared" si="23"/>
        <v>2317571644.8763924</v>
      </c>
      <c r="AE69" s="25">
        <f t="shared" si="7"/>
        <v>518440274.92421937</v>
      </c>
      <c r="AF69" s="25">
        <f t="shared" si="24"/>
        <v>96891617081.216385</v>
      </c>
      <c r="AG69" s="25">
        <f>AE69/((1+'How much will I make'!$C$5/12)^(Calculations!$B$1*12-Calculations!$A69))</f>
        <v>92319060.03865166</v>
      </c>
      <c r="AH69" s="25">
        <f t="shared" si="25"/>
        <v>14551068711.683674</v>
      </c>
    </row>
    <row r="70" spans="1:34" ht="15.75" customHeight="1">
      <c r="A70" s="22">
        <f t="shared" si="8"/>
        <v>66</v>
      </c>
      <c r="B70" s="22">
        <f t="shared" si="30"/>
        <v>638.14078125000015</v>
      </c>
      <c r="C70" s="25">
        <f t="shared" si="0"/>
        <v>3568.7658717361765</v>
      </c>
      <c r="D70" s="25">
        <f t="shared" si="10"/>
        <v>236050.62479406444</v>
      </c>
      <c r="E70" s="25">
        <f>$C70/((1+'How much will I make'!$C$5/12)^(Calculations!$B$1*12-Calculations!$A70))</f>
        <v>638.14078125000015</v>
      </c>
      <c r="F70" s="25">
        <f t="shared" si="11"/>
        <v>36982.63218749997</v>
      </c>
      <c r="G70" s="25">
        <f t="shared" si="1"/>
        <v>19816.362901338514</v>
      </c>
      <c r="H70" s="25">
        <f t="shared" si="12"/>
        <v>1504497.3793394768</v>
      </c>
      <c r="I70" s="25">
        <f>G70/((1+'How much will I make'!$C$5/12)^(Calculations!$B$1*12-Calculations!$A70))</f>
        <v>3543.4180212112597</v>
      </c>
      <c r="J70" s="25">
        <f t="shared" si="13"/>
        <v>234242.74757625451</v>
      </c>
      <c r="K70" s="25">
        <f t="shared" si="2"/>
        <v>109259.62378812615</v>
      </c>
      <c r="L70" s="25">
        <f t="shared" si="14"/>
        <v>9575031.221128542</v>
      </c>
      <c r="M70" s="25">
        <f>K70/((1+'How much will I make'!$C$5/12)^(Calculations!$B$1*12-Calculations!$A70))</f>
        <v>19537.0120061466</v>
      </c>
      <c r="N70" s="25">
        <f t="shared" si="15"/>
        <v>1481557.8634190087</v>
      </c>
      <c r="O70" s="25">
        <f t="shared" si="3"/>
        <v>598205.68405911198</v>
      </c>
      <c r="P70" s="25">
        <f t="shared" si="16"/>
        <v>60843755.281334072</v>
      </c>
      <c r="Q70" s="25">
        <f>O70/((1+'How much will I make'!$C$5/12)^(Calculations!$B$1*12-Calculations!$A70))</f>
        <v>106966.79364621901</v>
      </c>
      <c r="R70" s="25">
        <f t="shared" si="17"/>
        <v>9357052.6185916401</v>
      </c>
      <c r="S70" s="25">
        <f t="shared" si="4"/>
        <v>3252530.3519287151</v>
      </c>
      <c r="T70" s="25">
        <f t="shared" si="18"/>
        <v>385981291.71251631</v>
      </c>
      <c r="U70" s="25">
        <f>S70/((1+'How much will I make'!$C$5/12)^(Calculations!$B$1*12-Calculations!$A70))</f>
        <v>581593.84347883228</v>
      </c>
      <c r="V70" s="25">
        <f t="shared" si="19"/>
        <v>59005528.664619118</v>
      </c>
      <c r="W70" s="25">
        <f t="shared" si="5"/>
        <v>17562921.972668979</v>
      </c>
      <c r="X70" s="25">
        <f t="shared" si="20"/>
        <v>2444124876.4601588</v>
      </c>
      <c r="Y70" s="25">
        <f>W70/((1+'How much will I make'!$C$5/12)^(Calculations!$B$1*12-Calculations!$A70))</f>
        <v>3140474.088657253</v>
      </c>
      <c r="Z70" s="25">
        <f t="shared" si="21"/>
        <v>371473454.67370749</v>
      </c>
      <c r="AA70" s="25">
        <f t="shared" si="6"/>
        <v>94189194.007229015</v>
      </c>
      <c r="AB70" s="25">
        <f t="shared" si="22"/>
        <v>15445698030.107273</v>
      </c>
      <c r="AC70" s="25">
        <f>AA70/((1+'How much will I make'!$C$5/12)^(Calculations!$B$1*12-Calculations!$A70))</f>
        <v>16842227.259879023</v>
      </c>
      <c r="AD70" s="25">
        <f t="shared" si="23"/>
        <v>2334413872.1362715</v>
      </c>
      <c r="AE70" s="25">
        <f t="shared" si="7"/>
        <v>501716395.08795422</v>
      </c>
      <c r="AF70" s="25">
        <f t="shared" si="24"/>
        <v>97393333476.304337</v>
      </c>
      <c r="AG70" s="25">
        <f>AE70/((1+'How much will I make'!$C$5/12)^(Calculations!$B$1*12-Calculations!$A70))</f>
        <v>89713280.11820589</v>
      </c>
      <c r="AH70" s="25">
        <f t="shared" si="25"/>
        <v>14640781991.80188</v>
      </c>
    </row>
    <row r="71" spans="1:34" ht="15.75" customHeight="1">
      <c r="A71" s="22">
        <f t="shared" si="8"/>
        <v>67</v>
      </c>
      <c r="B71" s="22">
        <f t="shared" si="30"/>
        <v>638.14078125000015</v>
      </c>
      <c r="C71" s="25">
        <f t="shared" si="0"/>
        <v>3553.9577145920434</v>
      </c>
      <c r="D71" s="25">
        <f t="shared" si="10"/>
        <v>239604.58250865649</v>
      </c>
      <c r="E71" s="25">
        <f>$C71/((1+'How much will I make'!$C$5/12)^(Calculations!$B$1*12-Calculations!$A71))</f>
        <v>638.14078125000015</v>
      </c>
      <c r="F71" s="25">
        <f t="shared" si="11"/>
        <v>37620.772968749967</v>
      </c>
      <c r="G71" s="25">
        <f t="shared" si="1"/>
        <v>19652.591307112572</v>
      </c>
      <c r="H71" s="25">
        <f t="shared" si="12"/>
        <v>1524149.9706465893</v>
      </c>
      <c r="I71" s="25">
        <f>G71/((1+'How much will I make'!$C$5/12)^(Calculations!$B$1*12-Calculations!$A71))</f>
        <v>3528.7757979831126</v>
      </c>
      <c r="J71" s="25">
        <f t="shared" si="13"/>
        <v>237771.52337423761</v>
      </c>
      <c r="K71" s="25">
        <f t="shared" si="2"/>
        <v>107910.73954382827</v>
      </c>
      <c r="L71" s="25">
        <f t="shared" si="14"/>
        <v>9682941.9606723711</v>
      </c>
      <c r="M71" s="25">
        <f>K71/((1+'How much will I make'!$C$5/12)^(Calculations!$B$1*12-Calculations!$A71))</f>
        <v>19376.213553421108</v>
      </c>
      <c r="N71" s="25">
        <f t="shared" si="15"/>
        <v>1500934.0769724299</v>
      </c>
      <c r="O71" s="25">
        <f t="shared" si="3"/>
        <v>588399.03350076592</v>
      </c>
      <c r="P71" s="25">
        <f t="shared" si="16"/>
        <v>61432154.314834841</v>
      </c>
      <c r="Q71" s="25">
        <f>O71/((1+'How much will I make'!$C$5/12)^(Calculations!$B$1*12-Calculations!$A71))</f>
        <v>105651.62815056877</v>
      </c>
      <c r="R71" s="25">
        <f t="shared" si="17"/>
        <v>9462704.2467422094</v>
      </c>
      <c r="S71" s="25">
        <f t="shared" si="4"/>
        <v>3186152.181481191</v>
      </c>
      <c r="T71" s="25">
        <f t="shared" si="18"/>
        <v>389167443.89399749</v>
      </c>
      <c r="U71" s="25">
        <f>S71/((1+'How much will I make'!$C$5/12)^(Calculations!$B$1*12-Calculations!$A71))</f>
        <v>572098.43378938199</v>
      </c>
      <c r="V71" s="25">
        <f t="shared" si="19"/>
        <v>59577627.098408498</v>
      </c>
      <c r="W71" s="25">
        <f t="shared" si="5"/>
        <v>17134558.02211608</v>
      </c>
      <c r="X71" s="25">
        <f t="shared" si="20"/>
        <v>2461259434.482275</v>
      </c>
      <c r="Y71" s="25">
        <f>W71/((1+'How much will I make'!$C$5/12)^(Calculations!$B$1*12-Calculations!$A71))</f>
        <v>3076643.3144975528</v>
      </c>
      <c r="Z71" s="25">
        <f t="shared" si="21"/>
        <v>374550097.98820502</v>
      </c>
      <c r="AA71" s="25">
        <f t="shared" si="6"/>
        <v>91519864.622408748</v>
      </c>
      <c r="AB71" s="25">
        <f t="shared" si="22"/>
        <v>15537217894.729681</v>
      </c>
      <c r="AC71" s="25">
        <f>AA71/((1+'How much will I make'!$C$5/12)^(Calculations!$B$1*12-Calculations!$A71))</f>
        <v>16433104.330489244</v>
      </c>
      <c r="AD71" s="25">
        <f t="shared" si="23"/>
        <v>2350846976.4667606</v>
      </c>
      <c r="AE71" s="25">
        <f t="shared" si="7"/>
        <v>485531995.24640721</v>
      </c>
      <c r="AF71" s="25">
        <f t="shared" si="24"/>
        <v>97878865471.550751</v>
      </c>
      <c r="AG71" s="25">
        <f>AE71/((1+'How much will I make'!$C$5/12)^(Calculations!$B$1*12-Calculations!$A71))</f>
        <v>87181050.437450051</v>
      </c>
      <c r="AH71" s="25">
        <f t="shared" si="25"/>
        <v>14727963042.23933</v>
      </c>
    </row>
    <row r="72" spans="1:34" ht="15.75" customHeight="1">
      <c r="A72" s="22">
        <f t="shared" si="8"/>
        <v>68</v>
      </c>
      <c r="B72" s="22">
        <f t="shared" si="30"/>
        <v>638.14078125000015</v>
      </c>
      <c r="C72" s="25">
        <f t="shared" si="0"/>
        <v>3539.2110020833629</v>
      </c>
      <c r="D72" s="25">
        <f t="shared" si="10"/>
        <v>243143.79351073984</v>
      </c>
      <c r="E72" s="25">
        <f>$C72/((1+'How much will I make'!$C$5/12)^(Calculations!$B$1*12-Calculations!$A72))</f>
        <v>638.14078125000015</v>
      </c>
      <c r="F72" s="25">
        <f t="shared" si="11"/>
        <v>38258.913749999963</v>
      </c>
      <c r="G72" s="25">
        <f t="shared" si="1"/>
        <v>19490.173197136442</v>
      </c>
      <c r="H72" s="25">
        <f t="shared" si="12"/>
        <v>1543640.1438437258</v>
      </c>
      <c r="I72" s="25">
        <f>G72/((1+'How much will I make'!$C$5/12)^(Calculations!$B$1*12-Calculations!$A72))</f>
        <v>3514.1940798096302</v>
      </c>
      <c r="J72" s="25">
        <f t="shared" si="13"/>
        <v>241285.71745404723</v>
      </c>
      <c r="K72" s="25">
        <f t="shared" si="2"/>
        <v>106578.50819143534</v>
      </c>
      <c r="L72" s="25">
        <f t="shared" si="14"/>
        <v>9789520.4688638058</v>
      </c>
      <c r="M72" s="25">
        <f>K72/((1+'How much will I make'!$C$5/12)^(Calculations!$B$1*12-Calculations!$A72))</f>
        <v>19216.738544750977</v>
      </c>
      <c r="N72" s="25">
        <f t="shared" si="15"/>
        <v>1520150.8155171808</v>
      </c>
      <c r="O72" s="25">
        <f t="shared" si="3"/>
        <v>578753.14770567126</v>
      </c>
      <c r="P72" s="25">
        <f t="shared" si="16"/>
        <v>62010907.462540515</v>
      </c>
      <c r="Q72" s="25">
        <f>O72/((1+'How much will I make'!$C$5/12)^(Calculations!$B$1*12-Calculations!$A72))</f>
        <v>104352.63272248798</v>
      </c>
      <c r="R72" s="25">
        <f t="shared" si="17"/>
        <v>9567056.8794646971</v>
      </c>
      <c r="S72" s="25">
        <f t="shared" si="4"/>
        <v>3121128.6675734115</v>
      </c>
      <c r="T72" s="25">
        <f t="shared" si="18"/>
        <v>392288572.56157088</v>
      </c>
      <c r="U72" s="25">
        <f>S72/((1+'How much will I make'!$C$5/12)^(Calculations!$B$1*12-Calculations!$A72))</f>
        <v>562758.05119690229</v>
      </c>
      <c r="V72" s="25">
        <f t="shared" si="19"/>
        <v>60140385.149605401</v>
      </c>
      <c r="W72" s="25">
        <f t="shared" si="5"/>
        <v>16716641.972796172</v>
      </c>
      <c r="X72" s="25">
        <f t="shared" si="20"/>
        <v>2477976076.455071</v>
      </c>
      <c r="Y72" s="25">
        <f>W72/((1+'How much will I make'!$C$5/12)^(Calculations!$B$1*12-Calculations!$A72))</f>
        <v>3014109.9137963825</v>
      </c>
      <c r="Z72" s="25">
        <f t="shared" si="21"/>
        <v>377564207.90200138</v>
      </c>
      <c r="AA72" s="25">
        <f t="shared" si="6"/>
        <v>88926184.248494357</v>
      </c>
      <c r="AB72" s="25">
        <f t="shared" si="22"/>
        <v>15626144078.978176</v>
      </c>
      <c r="AC72" s="25">
        <f>AA72/((1+'How much will I make'!$C$5/12)^(Calculations!$B$1*12-Calculations!$A72))</f>
        <v>16033919.609910563</v>
      </c>
      <c r="AD72" s="25">
        <f t="shared" si="23"/>
        <v>2366880896.0766711</v>
      </c>
      <c r="AE72" s="25">
        <f t="shared" si="7"/>
        <v>469869672.81910378</v>
      </c>
      <c r="AF72" s="25">
        <f t="shared" si="24"/>
        <v>98348735144.369858</v>
      </c>
      <c r="AG72" s="25">
        <f>AE72/((1+'How much will I make'!$C$5/12)^(Calculations!$B$1*12-Calculations!$A72))</f>
        <v>84720294.981554285</v>
      </c>
      <c r="AH72" s="25">
        <f t="shared" si="25"/>
        <v>14812683337.220884</v>
      </c>
    </row>
    <row r="73" spans="1:34" ht="15.75" customHeight="1">
      <c r="A73" s="22">
        <f t="shared" si="8"/>
        <v>69</v>
      </c>
      <c r="B73" s="22">
        <f t="shared" si="30"/>
        <v>638.14078125000015</v>
      </c>
      <c r="C73" s="25">
        <f t="shared" si="0"/>
        <v>3524.5254792531414</v>
      </c>
      <c r="D73" s="25">
        <f t="shared" si="10"/>
        <v>246668.31898999299</v>
      </c>
      <c r="E73" s="25">
        <f>$C73/((1+'How much will I make'!$C$5/12)^(Calculations!$B$1*12-Calculations!$A73))</f>
        <v>638.14078125000015</v>
      </c>
      <c r="F73" s="25">
        <f t="shared" si="11"/>
        <v>38897.05453124996</v>
      </c>
      <c r="G73" s="25">
        <f t="shared" si="1"/>
        <v>19329.097385589859</v>
      </c>
      <c r="H73" s="25">
        <f t="shared" si="12"/>
        <v>1562969.2412293158</v>
      </c>
      <c r="I73" s="25">
        <f>G73/((1+'How much will I make'!$C$5/12)^(Calculations!$B$1*12-Calculations!$A73))</f>
        <v>3499.6726166699204</v>
      </c>
      <c r="J73" s="25">
        <f t="shared" si="13"/>
        <v>244785.39007071714</v>
      </c>
      <c r="K73" s="25">
        <f t="shared" si="2"/>
        <v>105262.72413968922</v>
      </c>
      <c r="L73" s="25">
        <f t="shared" si="14"/>
        <v>9894783.1930034943</v>
      </c>
      <c r="M73" s="25">
        <f>K73/((1+'How much will I make'!$C$5/12)^(Calculations!$B$1*12-Calculations!$A73))</f>
        <v>19058.57608759253</v>
      </c>
      <c r="N73" s="25">
        <f t="shared" si="15"/>
        <v>1539209.3916047735</v>
      </c>
      <c r="O73" s="25">
        <f t="shared" si="3"/>
        <v>569265.39118590613</v>
      </c>
      <c r="P73" s="25">
        <f t="shared" si="16"/>
        <v>62580172.853726424</v>
      </c>
      <c r="Q73" s="25">
        <f>O73/((1+'How much will I make'!$C$5/12)^(Calculations!$B$1*12-Calculations!$A73))</f>
        <v>103069.60854967049</v>
      </c>
      <c r="R73" s="25">
        <f t="shared" si="17"/>
        <v>9670126.4880143683</v>
      </c>
      <c r="S73" s="25">
        <f t="shared" si="4"/>
        <v>3057432.1641535466</v>
      </c>
      <c r="T73" s="25">
        <f t="shared" si="18"/>
        <v>395346004.72572446</v>
      </c>
      <c r="U73" s="25">
        <f>S73/((1+'How much will I make'!$C$5/12)^(Calculations!$B$1*12-Calculations!$A73))</f>
        <v>553570.1646467488</v>
      </c>
      <c r="V73" s="25">
        <f t="shared" si="19"/>
        <v>60693955.314252153</v>
      </c>
      <c r="W73" s="25">
        <f t="shared" si="5"/>
        <v>16308918.997849924</v>
      </c>
      <c r="X73" s="25">
        <f t="shared" si="20"/>
        <v>2494284995.4529209</v>
      </c>
      <c r="Y73" s="25">
        <f>W73/((1+'How much will I make'!$C$5/12)^(Calculations!$B$1*12-Calculations!$A73))</f>
        <v>2952847.5171745047</v>
      </c>
      <c r="Z73" s="25">
        <f t="shared" si="21"/>
        <v>380517055.41917586</v>
      </c>
      <c r="AA73" s="25">
        <f t="shared" si="6"/>
        <v>86406008.986391291</v>
      </c>
      <c r="AB73" s="25">
        <f t="shared" si="22"/>
        <v>15712550087.964567</v>
      </c>
      <c r="AC73" s="25">
        <f>AA73/((1+'How much will I make'!$C$5/12)^(Calculations!$B$1*12-Calculations!$A73))</f>
        <v>15644431.684163749</v>
      </c>
      <c r="AD73" s="25">
        <f t="shared" si="23"/>
        <v>2382525327.7608347</v>
      </c>
      <c r="AE73" s="25">
        <f t="shared" si="7"/>
        <v>454712586.59913254</v>
      </c>
      <c r="AF73" s="25">
        <f t="shared" si="24"/>
        <v>98803447730.968994</v>
      </c>
      <c r="AG73" s="25">
        <f>AE73/((1+'How much will I make'!$C$5/12)^(Calculations!$B$1*12-Calculations!$A73))</f>
        <v>82328996.332881346</v>
      </c>
      <c r="AH73" s="25">
        <f t="shared" si="25"/>
        <v>14895012333.553766</v>
      </c>
    </row>
    <row r="74" spans="1:34" ht="15.75" customHeight="1">
      <c r="A74" s="22">
        <f t="shared" si="8"/>
        <v>70</v>
      </c>
      <c r="B74" s="22">
        <f t="shared" si="30"/>
        <v>638.14078125000015</v>
      </c>
      <c r="C74" s="25">
        <f t="shared" si="0"/>
        <v>3509.9008922022995</v>
      </c>
      <c r="D74" s="25">
        <f t="shared" si="10"/>
        <v>250178.21988219529</v>
      </c>
      <c r="E74" s="25">
        <f>$C74/((1+'How much will I make'!$C$5/12)^(Calculations!$B$1*12-Calculations!$A74))</f>
        <v>638.14078125000015</v>
      </c>
      <c r="F74" s="25">
        <f t="shared" si="11"/>
        <v>39535.195312499956</v>
      </c>
      <c r="G74" s="25">
        <f t="shared" si="1"/>
        <v>19169.352779097382</v>
      </c>
      <c r="H74" s="25">
        <f t="shared" si="12"/>
        <v>1582138.5940084131</v>
      </c>
      <c r="I74" s="25">
        <f>G74/((1+'How much will I make'!$C$5/12)^(Calculations!$B$1*12-Calculations!$A74))</f>
        <v>3485.2111595762426</v>
      </c>
      <c r="J74" s="25">
        <f t="shared" si="13"/>
        <v>248270.6012302934</v>
      </c>
      <c r="K74" s="25">
        <f t="shared" si="2"/>
        <v>103963.18433549555</v>
      </c>
      <c r="L74" s="25">
        <f t="shared" si="14"/>
        <v>9998746.3773389906</v>
      </c>
      <c r="M74" s="25">
        <f>K74/((1+'How much will I make'!$C$5/12)^(Calculations!$B$1*12-Calculations!$A74))</f>
        <v>18901.715379052675</v>
      </c>
      <c r="N74" s="25">
        <f t="shared" si="15"/>
        <v>1558111.106983826</v>
      </c>
      <c r="O74" s="25">
        <f t="shared" si="3"/>
        <v>559933.17165826843</v>
      </c>
      <c r="P74" s="25">
        <f t="shared" si="16"/>
        <v>63140106.025384694</v>
      </c>
      <c r="Q74" s="25">
        <f>O74/((1+'How much will I make'!$C$5/12)^(Calculations!$B$1*12-Calculations!$A74))</f>
        <v>101802.35926422372</v>
      </c>
      <c r="R74" s="25">
        <f t="shared" si="17"/>
        <v>9771928.8472785912</v>
      </c>
      <c r="S74" s="25">
        <f t="shared" si="4"/>
        <v>2995035.5893749031</v>
      </c>
      <c r="T74" s="25">
        <f t="shared" si="18"/>
        <v>398341040.31509936</v>
      </c>
      <c r="U74" s="25">
        <f>S74/((1+'How much will I make'!$C$5/12)^(Calculations!$B$1*12-Calculations!$A74))</f>
        <v>544532.28440761822</v>
      </c>
      <c r="V74" s="25">
        <f t="shared" si="19"/>
        <v>61238487.598659769</v>
      </c>
      <c r="W74" s="25">
        <f t="shared" si="5"/>
        <v>15911140.485707244</v>
      </c>
      <c r="X74" s="25">
        <f t="shared" si="20"/>
        <v>2510196135.9386282</v>
      </c>
      <c r="Y74" s="25">
        <f>W74/((1+'How much will I make'!$C$5/12)^(Calculations!$B$1*12-Calculations!$A74))</f>
        <v>2892830.2912156726</v>
      </c>
      <c r="Z74" s="25">
        <f t="shared" si="21"/>
        <v>383409885.71039152</v>
      </c>
      <c r="AA74" s="25">
        <f t="shared" si="6"/>
        <v>83957255.695279002</v>
      </c>
      <c r="AB74" s="25">
        <f t="shared" si="22"/>
        <v>15796507343.659845</v>
      </c>
      <c r="AC74" s="25">
        <f>AA74/((1+'How much will I make'!$C$5/12)^(Calculations!$B$1*12-Calculations!$A74))</f>
        <v>15264405.003576776</v>
      </c>
      <c r="AD74" s="25">
        <f t="shared" si="23"/>
        <v>2397789732.7644114</v>
      </c>
      <c r="AE74" s="25">
        <f t="shared" si="7"/>
        <v>440044438.6443218</v>
      </c>
      <c r="AF74" s="25">
        <f t="shared" si="24"/>
        <v>99243492169.613312</v>
      </c>
      <c r="AG74" s="25">
        <f>AE74/((1+'How much will I make'!$C$5/12)^(Calculations!$B$1*12-Calculations!$A74))</f>
        <v>80005194.017033875</v>
      </c>
      <c r="AH74" s="25">
        <f t="shared" si="25"/>
        <v>14975017527.570801</v>
      </c>
    </row>
    <row r="75" spans="1:34" ht="15.75" customHeight="1">
      <c r="A75" s="22">
        <f t="shared" si="8"/>
        <v>71</v>
      </c>
      <c r="B75" s="22">
        <f t="shared" si="30"/>
        <v>638.14078125000015</v>
      </c>
      <c r="C75" s="25">
        <f t="shared" si="0"/>
        <v>3495.3369880852765</v>
      </c>
      <c r="D75" s="25">
        <f t="shared" si="10"/>
        <v>253673.55687028056</v>
      </c>
      <c r="E75" s="25">
        <f>$C75/((1+'How much will I make'!$C$5/12)^(Calculations!$B$1*12-Calculations!$A75))</f>
        <v>638.14078125000015</v>
      </c>
      <c r="F75" s="25">
        <f t="shared" si="11"/>
        <v>40173.336093749953</v>
      </c>
      <c r="G75" s="25">
        <f t="shared" si="1"/>
        <v>19010.928375964344</v>
      </c>
      <c r="H75" s="25">
        <f t="shared" si="12"/>
        <v>1601149.5223843774</v>
      </c>
      <c r="I75" s="25">
        <f>G75/((1+'How much will I make'!$C$5/12)^(Calculations!$B$1*12-Calculations!$A75))</f>
        <v>3470.8094605697302</v>
      </c>
      <c r="J75" s="25">
        <f t="shared" si="13"/>
        <v>251741.41069086312</v>
      </c>
      <c r="K75" s="25">
        <f t="shared" si="2"/>
        <v>102679.68823258819</v>
      </c>
      <c r="L75" s="25">
        <f t="shared" si="14"/>
        <v>10101426.065571578</v>
      </c>
      <c r="M75" s="25">
        <f>K75/((1+'How much will I make'!$C$5/12)^(Calculations!$B$1*12-Calculations!$A75))</f>
        <v>18746.145705151011</v>
      </c>
      <c r="N75" s="25">
        <f t="shared" si="15"/>
        <v>1576857.2526889769</v>
      </c>
      <c r="O75" s="25">
        <f t="shared" si="3"/>
        <v>550753.93933600176</v>
      </c>
      <c r="P75" s="25">
        <f t="shared" si="16"/>
        <v>63690859.964720696</v>
      </c>
      <c r="Q75" s="25">
        <f>O75/((1+'How much will I make'!$C$5/12)^(Calculations!$B$1*12-Calculations!$A75))</f>
        <v>100550.69091261445</v>
      </c>
      <c r="R75" s="25">
        <f t="shared" si="17"/>
        <v>9872479.5381912049</v>
      </c>
      <c r="S75" s="25">
        <f t="shared" si="4"/>
        <v>2933912.4140815381</v>
      </c>
      <c r="T75" s="25">
        <f t="shared" si="18"/>
        <v>401274952.72918087</v>
      </c>
      <c r="U75" s="25">
        <f>S75/((1+'How much will I make'!$C$5/12)^(Calculations!$B$1*12-Calculations!$A75))</f>
        <v>535641.96139688184</v>
      </c>
      <c r="V75" s="25">
        <f t="shared" si="19"/>
        <v>61774129.560056649</v>
      </c>
      <c r="W75" s="25">
        <f t="shared" si="5"/>
        <v>15523063.888494875</v>
      </c>
      <c r="X75" s="25">
        <f t="shared" si="20"/>
        <v>2525719199.8271232</v>
      </c>
      <c r="Y75" s="25">
        <f>W75/((1+'How much will I make'!$C$5/12)^(Calculations!$B$1*12-Calculations!$A75))</f>
        <v>2834032.9275730792</v>
      </c>
      <c r="Z75" s="25">
        <f t="shared" si="21"/>
        <v>386243918.63796461</v>
      </c>
      <c r="AA75" s="25">
        <f t="shared" si="6"/>
        <v>81577900.270716444</v>
      </c>
      <c r="AB75" s="25">
        <f t="shared" si="22"/>
        <v>15878085243.930561</v>
      </c>
      <c r="AC75" s="25">
        <f>AA75/((1+'How much will I make'!$C$5/12)^(Calculations!$B$1*12-Calculations!$A75))</f>
        <v>14893609.740332</v>
      </c>
      <c r="AD75" s="25">
        <f t="shared" si="23"/>
        <v>2412683342.5047436</v>
      </c>
      <c r="AE75" s="25">
        <f t="shared" si="7"/>
        <v>425849456.7525695</v>
      </c>
      <c r="AF75" s="25">
        <f t="shared" si="24"/>
        <v>99669341626.365875</v>
      </c>
      <c r="AG75" s="25">
        <f>AE75/((1+'How much will I make'!$C$5/12)^(Calculations!$B$1*12-Calculations!$A75))</f>
        <v>77746982.895585373</v>
      </c>
      <c r="AH75" s="25">
        <f t="shared" si="25"/>
        <v>15052764510.466387</v>
      </c>
    </row>
    <row r="76" spans="1:34" ht="15.75" customHeight="1">
      <c r="A76" s="22">
        <f t="shared" si="8"/>
        <v>72</v>
      </c>
      <c r="B76" s="22">
        <f t="shared" si="30"/>
        <v>638.14078125000015</v>
      </c>
      <c r="C76" s="25">
        <f t="shared" si="0"/>
        <v>3480.8335151056699</v>
      </c>
      <c r="D76" s="25">
        <f t="shared" si="10"/>
        <v>257154.39038538624</v>
      </c>
      <c r="E76" s="25">
        <f>$C76/((1+'How much will I make'!$C$5/12)^(Calculations!$B$1*12-Calculations!$A76))</f>
        <v>638.14078125000015</v>
      </c>
      <c r="F76" s="25">
        <f t="shared" si="11"/>
        <v>40811.476874999949</v>
      </c>
      <c r="G76" s="25">
        <f t="shared" si="1"/>
        <v>18853.813265419187</v>
      </c>
      <c r="H76" s="25">
        <f t="shared" si="12"/>
        <v>1620003.3356497965</v>
      </c>
      <c r="I76" s="25">
        <f>G76/((1+'How much will I make'!$C$5/12)^(Calculations!$B$1*12-Calculations!$A76))</f>
        <v>3456.467272716136</v>
      </c>
      <c r="J76" s="25">
        <f t="shared" si="13"/>
        <v>255197.87796357926</v>
      </c>
      <c r="K76" s="25">
        <f t="shared" si="2"/>
        <v>101412.03776058092</v>
      </c>
      <c r="L76" s="25">
        <f t="shared" si="14"/>
        <v>10202838.10333216</v>
      </c>
      <c r="M76" s="25">
        <f>K76/((1+'How much will I make'!$C$5/12)^(Calculations!$B$1*12-Calculations!$A76))</f>
        <v>18591.856440088035</v>
      </c>
      <c r="N76" s="25">
        <f t="shared" si="15"/>
        <v>1595449.1091290649</v>
      </c>
      <c r="O76" s="25">
        <f t="shared" si="3"/>
        <v>541725.18623213284</v>
      </c>
      <c r="P76" s="25">
        <f t="shared" si="16"/>
        <v>64232585.150952831</v>
      </c>
      <c r="Q76" s="25">
        <f>O76/((1+'How much will I make'!$C$5/12)^(Calculations!$B$1*12-Calculations!$A76))</f>
        <v>99314.411925983921</v>
      </c>
      <c r="R76" s="25">
        <f t="shared" si="17"/>
        <v>9971793.9501171894</v>
      </c>
      <c r="S76" s="25">
        <f t="shared" si="4"/>
        <v>2874036.6505288542</v>
      </c>
      <c r="T76" s="25">
        <f t="shared" si="18"/>
        <v>404148989.37970972</v>
      </c>
      <c r="U76" s="25">
        <f>S76/((1+'How much will I make'!$C$5/12)^(Calculations!$B$1*12-Calculations!$A76))</f>
        <v>526896.78651693277</v>
      </c>
      <c r="V76" s="25">
        <f t="shared" si="19"/>
        <v>62301026.346573584</v>
      </c>
      <c r="W76" s="25">
        <f t="shared" si="5"/>
        <v>15144452.574141344</v>
      </c>
      <c r="X76" s="25">
        <f t="shared" si="20"/>
        <v>2540863652.4012647</v>
      </c>
      <c r="Y76" s="25">
        <f>W76/((1+'How much will I make'!$C$5/12)^(Calculations!$B$1*12-Calculations!$A76))</f>
        <v>2776430.6322972039</v>
      </c>
      <c r="Z76" s="25">
        <f t="shared" si="21"/>
        <v>389020349.27026182</v>
      </c>
      <c r="AA76" s="25">
        <f t="shared" si="6"/>
        <v>79265975.971546337</v>
      </c>
      <c r="AB76" s="25">
        <f t="shared" si="22"/>
        <v>15957351219.902107</v>
      </c>
      <c r="AC76" s="25">
        <f>AA76/((1+'How much will I make'!$C$5/12)^(Calculations!$B$1*12-Calculations!$A76))</f>
        <v>14531821.64947373</v>
      </c>
      <c r="AD76" s="25">
        <f t="shared" si="23"/>
        <v>2427215164.1542172</v>
      </c>
      <c r="AE76" s="25">
        <f t="shared" si="7"/>
        <v>412112377.50248653</v>
      </c>
      <c r="AF76" s="25">
        <f t="shared" si="24"/>
        <v>100081454003.86836</v>
      </c>
      <c r="AG76" s="25">
        <f>AE76/((1+'How much will I make'!$C$5/12)^(Calculations!$B$1*12-Calculations!$A76))</f>
        <v>75552511.604177684</v>
      </c>
      <c r="AH76" s="25">
        <f t="shared" si="25"/>
        <v>15128317022.070564</v>
      </c>
    </row>
    <row r="77" spans="1:34" ht="15.75" customHeight="1">
      <c r="A77" s="22">
        <f t="shared" si="8"/>
        <v>73</v>
      </c>
      <c r="B77" s="22">
        <f>B76*(1+'How much will I make'!$C$4)</f>
        <v>670.04782031250022</v>
      </c>
      <c r="C77" s="25">
        <f t="shared" si="0"/>
        <v>3639.7097336374645</v>
      </c>
      <c r="D77" s="25">
        <f t="shared" si="10"/>
        <v>260794.1001190237</v>
      </c>
      <c r="E77" s="25">
        <f>$C77/((1+'How much will I make'!$C$5/12)^(Calculations!$B$1*12-Calculations!$A77))</f>
        <v>670.04782031250022</v>
      </c>
      <c r="F77" s="25">
        <f t="shared" si="11"/>
        <v>41481.524695312452</v>
      </c>
      <c r="G77" s="25">
        <f t="shared" si="1"/>
        <v>19632.896458205109</v>
      </c>
      <c r="H77" s="25">
        <f t="shared" si="12"/>
        <v>1639636.2321080016</v>
      </c>
      <c r="I77" s="25">
        <f>G77/((1+'How much will I make'!$C$5/12)^(Calculations!$B$1*12-Calculations!$A77))</f>
        <v>3614.2935676066877</v>
      </c>
      <c r="J77" s="25">
        <f t="shared" si="13"/>
        <v>258812.17153118594</v>
      </c>
      <c r="K77" s="25">
        <f t="shared" si="2"/>
        <v>105168.03915912096</v>
      </c>
      <c r="L77" s="25">
        <f t="shared" si="14"/>
        <v>10308006.142491281</v>
      </c>
      <c r="M77" s="25">
        <f>K77/((1+'How much will I make'!$C$5/12)^(Calculations!$B$1*12-Calculations!$A77))</f>
        <v>19360.778897795379</v>
      </c>
      <c r="N77" s="25">
        <f t="shared" si="15"/>
        <v>1614809.8880268603</v>
      </c>
      <c r="O77" s="25">
        <f t="shared" si="3"/>
        <v>559486.66774794052</v>
      </c>
      <c r="P77" s="25">
        <f t="shared" si="16"/>
        <v>64792071.818700768</v>
      </c>
      <c r="Q77" s="25">
        <f>O77/((1+'How much will I make'!$C$5/12)^(Calculations!$B$1*12-Calculations!$A77))</f>
        <v>102997.9997453698</v>
      </c>
      <c r="R77" s="25">
        <f t="shared" si="17"/>
        <v>10074791.949862558</v>
      </c>
      <c r="S77" s="25">
        <f t="shared" si="4"/>
        <v>2956151.9834011071</v>
      </c>
      <c r="T77" s="25">
        <f t="shared" si="18"/>
        <v>407105141.36311084</v>
      </c>
      <c r="U77" s="25">
        <f>S77/((1+'How much will I make'!$C$5/12)^(Calculations!$B$1*12-Calculations!$A77))</f>
        <v>544209.10950248898</v>
      </c>
      <c r="V77" s="25">
        <f t="shared" si="19"/>
        <v>62845235.456076071</v>
      </c>
      <c r="W77" s="25">
        <f t="shared" si="5"/>
        <v>15513829.466193574</v>
      </c>
      <c r="X77" s="25">
        <f t="shared" si="20"/>
        <v>2556377481.8674583</v>
      </c>
      <c r="Y77" s="25">
        <f>W77/((1+'How much will I make'!$C$5/12)^(Calculations!$B$1*12-Calculations!$A77))</f>
        <v>2855999.0711496235</v>
      </c>
      <c r="Z77" s="25">
        <f t="shared" si="21"/>
        <v>391876348.34141147</v>
      </c>
      <c r="AA77" s="25">
        <f t="shared" si="6"/>
        <v>80870550.383925855</v>
      </c>
      <c r="AB77" s="25">
        <f t="shared" si="22"/>
        <v>16038221770.286034</v>
      </c>
      <c r="AC77" s="25">
        <f>AA77/((1+'How much will I make'!$C$5/12)^(Calculations!$B$1*12-Calculations!$A77))</f>
        <v>14887763.029956797</v>
      </c>
      <c r="AD77" s="25">
        <f t="shared" si="23"/>
        <v>2442102927.1841741</v>
      </c>
      <c r="AE77" s="25">
        <f t="shared" si="7"/>
        <v>418759351.33317178</v>
      </c>
      <c r="AF77" s="25">
        <f t="shared" si="24"/>
        <v>100500213355.20154</v>
      </c>
      <c r="AG77" s="25">
        <f>AE77/((1+'How much will I make'!$C$5/12)^(Calculations!$B$1*12-Calculations!$A77))</f>
        <v>77090980.086440176</v>
      </c>
      <c r="AH77" s="25">
        <f t="shared" si="25"/>
        <v>15205408002.157005</v>
      </c>
    </row>
    <row r="78" spans="1:34" ht="15.75" customHeight="1">
      <c r="A78" s="22">
        <f t="shared" si="8"/>
        <v>74</v>
      </c>
      <c r="B78" s="22">
        <f t="shared" ref="B78:B88" si="31">B77</f>
        <v>670.04782031250022</v>
      </c>
      <c r="C78" s="25">
        <f t="shared" si="0"/>
        <v>3624.60720362237</v>
      </c>
      <c r="D78" s="25">
        <f t="shared" si="10"/>
        <v>264418.70732264605</v>
      </c>
      <c r="E78" s="25">
        <f>$C78/((1+'How much will I make'!$C$5/12)^(Calculations!$B$1*12-Calculations!$A78))</f>
        <v>670.04782031250022</v>
      </c>
      <c r="F78" s="25">
        <f t="shared" si="11"/>
        <v>42151.572515624954</v>
      </c>
      <c r="G78" s="25">
        <f t="shared" si="1"/>
        <v>19470.641115575312</v>
      </c>
      <c r="H78" s="25">
        <f t="shared" si="12"/>
        <v>1659106.8732235769</v>
      </c>
      <c r="I78" s="25">
        <f>G78/((1+'How much will I make'!$C$5/12)^(Calculations!$B$1*12-Calculations!$A78))</f>
        <v>3599.3584702198841</v>
      </c>
      <c r="J78" s="25">
        <f t="shared" si="13"/>
        <v>262411.5300014058</v>
      </c>
      <c r="K78" s="25">
        <f t="shared" si="2"/>
        <v>103869.66830530467</v>
      </c>
      <c r="L78" s="25">
        <f t="shared" si="14"/>
        <v>10411875.810796585</v>
      </c>
      <c r="M78" s="25">
        <f>K78/((1+'How much will I make'!$C$5/12)^(Calculations!$B$1*12-Calculations!$A78))</f>
        <v>19201.430923327938</v>
      </c>
      <c r="N78" s="25">
        <f t="shared" si="15"/>
        <v>1634011.3189501883</v>
      </c>
      <c r="O78" s="25">
        <f t="shared" si="3"/>
        <v>550314.7551619088</v>
      </c>
      <c r="P78" s="25">
        <f t="shared" si="16"/>
        <v>65342386.573862679</v>
      </c>
      <c r="Q78" s="25">
        <f>O78/((1+'How much will I make'!$C$5/12)^(Calculations!$B$1*12-Calculations!$A78))</f>
        <v>101731.63089604153</v>
      </c>
      <c r="R78" s="25">
        <f t="shared" si="17"/>
        <v>10176523.5807586</v>
      </c>
      <c r="S78" s="25">
        <f t="shared" si="4"/>
        <v>2895822.3510867995</v>
      </c>
      <c r="T78" s="25">
        <f t="shared" si="18"/>
        <v>410000963.71419764</v>
      </c>
      <c r="U78" s="25">
        <f>S78/((1+'How much will I make'!$C$5/12)^(Calculations!$B$1*12-Calculations!$A78))</f>
        <v>535324.06281673443</v>
      </c>
      <c r="V78" s="25">
        <f t="shared" si="19"/>
        <v>63380559.518892802</v>
      </c>
      <c r="W78" s="25">
        <f t="shared" si="5"/>
        <v>15135443.381652266</v>
      </c>
      <c r="X78" s="25">
        <f t="shared" si="20"/>
        <v>2571512925.2491107</v>
      </c>
      <c r="Y78" s="25">
        <f>W78/((1+'How much will I make'!$C$5/12)^(Calculations!$B$1*12-Calculations!$A78))</f>
        <v>2797950.309540892</v>
      </c>
      <c r="Z78" s="25">
        <f t="shared" si="21"/>
        <v>394674298.65095234</v>
      </c>
      <c r="AA78" s="25">
        <f t="shared" si="6"/>
        <v>78578672.437822685</v>
      </c>
      <c r="AB78" s="25">
        <f t="shared" si="22"/>
        <v>16116800442.723856</v>
      </c>
      <c r="AC78" s="25">
        <f>AA78/((1+'How much will I make'!$C$5/12)^(Calculations!$B$1*12-Calculations!$A78))</f>
        <v>14526116.964451777</v>
      </c>
      <c r="AD78" s="25">
        <f t="shared" si="23"/>
        <v>2456629044.1486259</v>
      </c>
      <c r="AE78" s="25">
        <f t="shared" si="7"/>
        <v>405250985.16113394</v>
      </c>
      <c r="AF78" s="25">
        <f t="shared" si="24"/>
        <v>100905464340.36267</v>
      </c>
      <c r="AG78" s="25">
        <f>AE78/((1+'How much will I make'!$C$5/12)^(Calculations!$B$1*12-Calculations!$A78))</f>
        <v>74915025.003355175</v>
      </c>
      <c r="AH78" s="25">
        <f t="shared" si="25"/>
        <v>15280323027.16036</v>
      </c>
    </row>
    <row r="79" spans="1:34" ht="15.75" customHeight="1">
      <c r="A79" s="22">
        <f t="shared" si="8"/>
        <v>75</v>
      </c>
      <c r="B79" s="22">
        <f t="shared" si="31"/>
        <v>670.04782031250022</v>
      </c>
      <c r="C79" s="25">
        <f t="shared" si="0"/>
        <v>3609.5673397069249</v>
      </c>
      <c r="D79" s="25">
        <f t="shared" si="10"/>
        <v>268028.27466235298</v>
      </c>
      <c r="E79" s="25">
        <f>$C79/((1+'How much will I make'!$C$5/12)^(Calculations!$B$1*12-Calculations!$A79))</f>
        <v>670.04782031250022</v>
      </c>
      <c r="F79" s="25">
        <f t="shared" si="11"/>
        <v>42821.620335937456</v>
      </c>
      <c r="G79" s="25">
        <f t="shared" si="1"/>
        <v>19309.726726190391</v>
      </c>
      <c r="H79" s="25">
        <f t="shared" si="12"/>
        <v>1678416.5999497673</v>
      </c>
      <c r="I79" s="25">
        <f>G79/((1+'How much will I make'!$C$5/12)^(Calculations!$B$1*12-Calculations!$A79))</f>
        <v>3584.4850881115367</v>
      </c>
      <c r="J79" s="25">
        <f t="shared" si="13"/>
        <v>265996.01508951734</v>
      </c>
      <c r="K79" s="25">
        <f t="shared" si="2"/>
        <v>102587.32672128855</v>
      </c>
      <c r="L79" s="25">
        <f t="shared" si="14"/>
        <v>10514463.137517873</v>
      </c>
      <c r="M79" s="25">
        <f>K79/((1+'How much will I make'!$C$5/12)^(Calculations!$B$1*12-Calculations!$A79))</f>
        <v>19043.394454823178</v>
      </c>
      <c r="N79" s="25">
        <f t="shared" si="15"/>
        <v>1653054.7134050115</v>
      </c>
      <c r="O79" s="25">
        <f t="shared" si="3"/>
        <v>541293.20179859886</v>
      </c>
      <c r="P79" s="25">
        <f t="shared" si="16"/>
        <v>65883679.775661275</v>
      </c>
      <c r="Q79" s="25">
        <f>O79/((1+'How much will I make'!$C$5/12)^(Calculations!$B$1*12-Calculations!$A79))</f>
        <v>100480.83215551643</v>
      </c>
      <c r="R79" s="25">
        <f t="shared" si="17"/>
        <v>10277004.412914116</v>
      </c>
      <c r="S79" s="25">
        <f t="shared" si="4"/>
        <v>2836723.935758498</v>
      </c>
      <c r="T79" s="25">
        <f t="shared" si="18"/>
        <v>412837687.64995611</v>
      </c>
      <c r="U79" s="25">
        <f>S79/((1+'How much will I make'!$C$5/12)^(Calculations!$B$1*12-Calculations!$A79))</f>
        <v>526584.07811768574</v>
      </c>
      <c r="V79" s="25">
        <f t="shared" si="19"/>
        <v>63907143.597010486</v>
      </c>
      <c r="W79" s="25">
        <f t="shared" si="5"/>
        <v>14766286.226002213</v>
      </c>
      <c r="X79" s="25">
        <f t="shared" si="20"/>
        <v>2586279211.4751129</v>
      </c>
      <c r="Y79" s="25">
        <f>W79/((1+'How much will I make'!$C$5/12)^(Calculations!$B$1*12-Calculations!$A79))</f>
        <v>2741081.4008103861</v>
      </c>
      <c r="Z79" s="25">
        <f t="shared" si="21"/>
        <v>397415380.0517627</v>
      </c>
      <c r="AA79" s="25">
        <f t="shared" si="6"/>
        <v>76351746.498289257</v>
      </c>
      <c r="AB79" s="25">
        <f t="shared" si="22"/>
        <v>16193152189.222145</v>
      </c>
      <c r="AC79" s="25">
        <f>AA79/((1+'How much will I make'!$C$5/12)^(Calculations!$B$1*12-Calculations!$A79))</f>
        <v>14173255.823614892</v>
      </c>
      <c r="AD79" s="25">
        <f t="shared" si="23"/>
        <v>2470802299.9722409</v>
      </c>
      <c r="AE79" s="25">
        <f t="shared" si="7"/>
        <v>392178372.73658121</v>
      </c>
      <c r="AF79" s="25">
        <f t="shared" si="24"/>
        <v>101297642713.09926</v>
      </c>
      <c r="AG79" s="25">
        <f>AE79/((1+'How much will I make'!$C$5/12)^(Calculations!$B$1*12-Calculations!$A79))</f>
        <v>72800488.007292718</v>
      </c>
      <c r="AH79" s="25">
        <f t="shared" si="25"/>
        <v>15353123515.167652</v>
      </c>
    </row>
    <row r="80" spans="1:34" ht="15.75" customHeight="1">
      <c r="A80" s="22">
        <f t="shared" si="8"/>
        <v>76</v>
      </c>
      <c r="B80" s="22">
        <f t="shared" si="31"/>
        <v>670.04782031250022</v>
      </c>
      <c r="C80" s="25">
        <f t="shared" si="0"/>
        <v>3594.5898818658175</v>
      </c>
      <c r="D80" s="25">
        <f t="shared" si="10"/>
        <v>271622.86454421881</v>
      </c>
      <c r="E80" s="25">
        <f>$C80/((1+'How much will I make'!$C$5/12)^(Calculations!$B$1*12-Calculations!$A80))</f>
        <v>670.04782031250022</v>
      </c>
      <c r="F80" s="25">
        <f t="shared" si="11"/>
        <v>43491.668156249958</v>
      </c>
      <c r="G80" s="25">
        <f t="shared" si="1"/>
        <v>19150.142207792123</v>
      </c>
      <c r="H80" s="25">
        <f t="shared" si="12"/>
        <v>1697566.7421575594</v>
      </c>
      <c r="I80" s="25">
        <f>G80/((1+'How much will I make'!$C$5/12)^(Calculations!$B$1*12-Calculations!$A80))</f>
        <v>3569.6731662598363</v>
      </c>
      <c r="J80" s="25">
        <f t="shared" si="13"/>
        <v>269565.68825577718</v>
      </c>
      <c r="K80" s="25">
        <f t="shared" si="2"/>
        <v>101320.81651485291</v>
      </c>
      <c r="L80" s="25">
        <f t="shared" si="14"/>
        <v>10615783.954032727</v>
      </c>
      <c r="M80" s="25">
        <f>K80/((1+'How much will I make'!$C$5/12)^(Calculations!$B$1*12-Calculations!$A80))</f>
        <v>18886.65869799336</v>
      </c>
      <c r="N80" s="25">
        <f t="shared" si="15"/>
        <v>1671941.3721030047</v>
      </c>
      <c r="O80" s="25">
        <f t="shared" si="3"/>
        <v>532419.54275272018</v>
      </c>
      <c r="P80" s="25">
        <f t="shared" si="16"/>
        <v>66416099.318413995</v>
      </c>
      <c r="Q80" s="25">
        <f>O80/((1+'How much will I make'!$C$5/12)^(Calculations!$B$1*12-Calculations!$A80))</f>
        <v>99245.412088030571</v>
      </c>
      <c r="R80" s="25">
        <f t="shared" si="17"/>
        <v>10376249.825002147</v>
      </c>
      <c r="S80" s="25">
        <f t="shared" si="4"/>
        <v>2778831.6105389367</v>
      </c>
      <c r="T80" s="25">
        <f t="shared" si="18"/>
        <v>415616519.26049507</v>
      </c>
      <c r="U80" s="25">
        <f>S80/((1+'How much will I make'!$C$5/12)^(Calculations!$B$1*12-Calculations!$A80))</f>
        <v>517986.78704637656</v>
      </c>
      <c r="V80" s="25">
        <f t="shared" si="19"/>
        <v>64425130.384056859</v>
      </c>
      <c r="W80" s="25">
        <f t="shared" si="5"/>
        <v>14406132.903416794</v>
      </c>
      <c r="X80" s="25">
        <f t="shared" si="20"/>
        <v>2600685344.3785295</v>
      </c>
      <c r="Y80" s="25">
        <f>W80/((1+'How much will I make'!$C$5/12)^(Calculations!$B$1*12-Calculations!$A80))</f>
        <v>2685368.3642085493</v>
      </c>
      <c r="Z80" s="25">
        <f t="shared" si="21"/>
        <v>400100748.41597128</v>
      </c>
      <c r="AA80" s="25">
        <f t="shared" si="6"/>
        <v>74187931.820200101</v>
      </c>
      <c r="AB80" s="25">
        <f t="shared" si="22"/>
        <v>16267340121.042345</v>
      </c>
      <c r="AC80" s="25">
        <f>AA80/((1+'How much will I make'!$C$5/12)^(Calculations!$B$1*12-Calculations!$A80))</f>
        <v>13828966.208466355</v>
      </c>
      <c r="AD80" s="25">
        <f t="shared" si="23"/>
        <v>2484631266.1807075</v>
      </c>
      <c r="AE80" s="25">
        <f t="shared" si="7"/>
        <v>379527457.48701406</v>
      </c>
      <c r="AF80" s="25">
        <f t="shared" si="24"/>
        <v>101677170170.58627</v>
      </c>
      <c r="AG80" s="25">
        <f>AE80/((1+'How much will I make'!$C$5/12)^(Calculations!$B$1*12-Calculations!$A80))</f>
        <v>70745635.523215905</v>
      </c>
      <c r="AH80" s="25">
        <f t="shared" si="25"/>
        <v>15423869150.690868</v>
      </c>
    </row>
    <row r="81" spans="1:34" ht="15.75" customHeight="1">
      <c r="A81" s="22">
        <f t="shared" si="8"/>
        <v>77</v>
      </c>
      <c r="B81" s="22">
        <f t="shared" si="31"/>
        <v>670.04782031250022</v>
      </c>
      <c r="C81" s="25">
        <f t="shared" si="0"/>
        <v>3579.6745711526814</v>
      </c>
      <c r="D81" s="25">
        <f t="shared" si="10"/>
        <v>275202.53911537147</v>
      </c>
      <c r="E81" s="25">
        <f>$C81/((1+'How much will I make'!$C$5/12)^(Calculations!$B$1*12-Calculations!$A81))</f>
        <v>670.04782031250022</v>
      </c>
      <c r="F81" s="25">
        <f t="shared" si="11"/>
        <v>44161.71597656246</v>
      </c>
      <c r="G81" s="25">
        <f t="shared" si="1"/>
        <v>18991.876569711203</v>
      </c>
      <c r="H81" s="25">
        <f t="shared" si="12"/>
        <v>1716558.6187272705</v>
      </c>
      <c r="I81" s="25">
        <f>G81/((1+'How much will I make'!$C$5/12)^(Calculations!$B$1*12-Calculations!$A81))</f>
        <v>3554.9224506967803</v>
      </c>
      <c r="J81" s="25">
        <f t="shared" si="13"/>
        <v>273120.61070647393</v>
      </c>
      <c r="K81" s="25">
        <f t="shared" si="2"/>
        <v>100069.94223689176</v>
      </c>
      <c r="L81" s="25">
        <f t="shared" si="14"/>
        <v>10715853.896269618</v>
      </c>
      <c r="M81" s="25">
        <f>K81/((1+'How much will I make'!$C$5/12)^(Calculations!$B$1*12-Calculations!$A81))</f>
        <v>18731.212947392592</v>
      </c>
      <c r="N81" s="25">
        <f t="shared" si="15"/>
        <v>1690672.5850503973</v>
      </c>
      <c r="O81" s="25">
        <f t="shared" si="3"/>
        <v>523691.35352726578</v>
      </c>
      <c r="P81" s="25">
        <f t="shared" si="16"/>
        <v>66939790.671941258</v>
      </c>
      <c r="Q81" s="25">
        <f>O81/((1+'How much will I make'!$C$5/12)^(Calculations!$B$1*12-Calculations!$A81))</f>
        <v>98025.181611538399</v>
      </c>
      <c r="R81" s="25">
        <f t="shared" si="17"/>
        <v>10474275.006613685</v>
      </c>
      <c r="S81" s="25">
        <f t="shared" si="4"/>
        <v>2722120.7613442647</v>
      </c>
      <c r="T81" s="25">
        <f t="shared" si="18"/>
        <v>418338640.02183932</v>
      </c>
      <c r="U81" s="25">
        <f>S81/((1+'How much will I make'!$C$5/12)^(Calculations!$B$1*12-Calculations!$A81))</f>
        <v>509529.85991092556</v>
      </c>
      <c r="V81" s="25">
        <f t="shared" si="19"/>
        <v>64934660.243967786</v>
      </c>
      <c r="W81" s="25">
        <f t="shared" si="5"/>
        <v>14054763.808211509</v>
      </c>
      <c r="X81" s="25">
        <f t="shared" si="20"/>
        <v>2614740108.1867409</v>
      </c>
      <c r="Y81" s="25">
        <f>W81/((1+'How much will I make'!$C$5/12)^(Calculations!$B$1*12-Calculations!$A81))</f>
        <v>2630787.7063994328</v>
      </c>
      <c r="Z81" s="25">
        <f t="shared" si="21"/>
        <v>402731536.12237072</v>
      </c>
      <c r="AA81" s="25">
        <f t="shared" si="6"/>
        <v>72085439.825295657</v>
      </c>
      <c r="AB81" s="25">
        <f t="shared" si="22"/>
        <v>16339425560.867641</v>
      </c>
      <c r="AC81" s="25">
        <f>AA81/((1+'How much will I make'!$C$5/12)^(Calculations!$B$1*12-Calculations!$A81))</f>
        <v>13493039.903807255</v>
      </c>
      <c r="AD81" s="25">
        <f t="shared" si="23"/>
        <v>2498124306.0845146</v>
      </c>
      <c r="AE81" s="25">
        <f t="shared" si="7"/>
        <v>367284636.27775538</v>
      </c>
      <c r="AF81" s="25">
        <f t="shared" si="24"/>
        <v>102044454806.86403</v>
      </c>
      <c r="AG81" s="25">
        <f>AE81/((1+'How much will I make'!$C$5/12)^(Calculations!$B$1*12-Calculations!$A81))</f>
        <v>68748782.907641232</v>
      </c>
      <c r="AH81" s="25">
        <f t="shared" si="25"/>
        <v>15492617933.598509</v>
      </c>
    </row>
    <row r="82" spans="1:34" ht="15.75" customHeight="1">
      <c r="A82" s="22">
        <f t="shared" si="8"/>
        <v>78</v>
      </c>
      <c r="B82" s="22">
        <f t="shared" si="31"/>
        <v>670.04782031250022</v>
      </c>
      <c r="C82" s="25">
        <f t="shared" si="0"/>
        <v>3564.821149695616</v>
      </c>
      <c r="D82" s="25">
        <f t="shared" si="10"/>
        <v>278767.36026506708</v>
      </c>
      <c r="E82" s="25">
        <f>$C82/((1+'How much will I make'!$C$5/12)^(Calculations!$B$1*12-Calculations!$A82))</f>
        <v>670.04782031250022</v>
      </c>
      <c r="F82" s="25">
        <f t="shared" si="11"/>
        <v>44831.763796874962</v>
      </c>
      <c r="G82" s="25">
        <f t="shared" si="1"/>
        <v>18834.918912110286</v>
      </c>
      <c r="H82" s="25">
        <f t="shared" si="12"/>
        <v>1735393.5376393809</v>
      </c>
      <c r="I82" s="25">
        <f>G82/((1+'How much will I make'!$C$5/12)^(Calculations!$B$1*12-Calculations!$A82))</f>
        <v>3540.2326885038187</v>
      </c>
      <c r="J82" s="25">
        <f t="shared" si="13"/>
        <v>276660.84339497774</v>
      </c>
      <c r="K82" s="25">
        <f t="shared" si="2"/>
        <v>98834.510851251151</v>
      </c>
      <c r="L82" s="25">
        <f t="shared" si="14"/>
        <v>10814688.407120869</v>
      </c>
      <c r="M82" s="25">
        <f>K82/((1+'How much will I make'!$C$5/12)^(Calculations!$B$1*12-Calculations!$A82))</f>
        <v>18577.046585685664</v>
      </c>
      <c r="N82" s="25">
        <f t="shared" si="15"/>
        <v>1709249.6316360829</v>
      </c>
      <c r="O82" s="25">
        <f t="shared" si="3"/>
        <v>515106.24937108112</v>
      </c>
      <c r="P82" s="25">
        <f t="shared" si="16"/>
        <v>67454896.921312332</v>
      </c>
      <c r="Q82" s="25">
        <f>O82/((1+'How much will I make'!$C$5/12)^(Calculations!$B$1*12-Calculations!$A82))</f>
        <v>96819.953968773596</v>
      </c>
      <c r="R82" s="25">
        <f t="shared" si="17"/>
        <v>10571094.960582457</v>
      </c>
      <c r="S82" s="25">
        <f t="shared" si="4"/>
        <v>2666567.2764188717</v>
      </c>
      <c r="T82" s="25">
        <f t="shared" si="18"/>
        <v>421005207.29825819</v>
      </c>
      <c r="U82" s="25">
        <f>S82/((1+'How much will I make'!$C$5/12)^(Calculations!$B$1*12-Calculations!$A82))</f>
        <v>501211.00505523704</v>
      </c>
      <c r="V82" s="25">
        <f t="shared" si="19"/>
        <v>65435871.24902302</v>
      </c>
      <c r="W82" s="25">
        <f t="shared" si="5"/>
        <v>13711964.690938056</v>
      </c>
      <c r="X82" s="25">
        <f t="shared" si="20"/>
        <v>2628452072.8776789</v>
      </c>
      <c r="Y82" s="25">
        <f>W82/((1+'How much will I make'!$C$5/12)^(Calculations!$B$1*12-Calculations!$A82))</f>
        <v>2577316.4115539161</v>
      </c>
      <c r="Z82" s="25">
        <f t="shared" si="21"/>
        <v>405308852.53392464</v>
      </c>
      <c r="AA82" s="25">
        <f t="shared" si="6"/>
        <v>70042532.62376906</v>
      </c>
      <c r="AB82" s="25">
        <f t="shared" si="22"/>
        <v>16409468093.491411</v>
      </c>
      <c r="AC82" s="25">
        <f>AA82/((1+'How much will I make'!$C$5/12)^(Calculations!$B$1*12-Calculations!$A82))</f>
        <v>13165273.752297768</v>
      </c>
      <c r="AD82" s="25">
        <f t="shared" si="23"/>
        <v>2511289579.8368125</v>
      </c>
      <c r="AE82" s="25">
        <f t="shared" si="7"/>
        <v>355436744.78492463</v>
      </c>
      <c r="AF82" s="25">
        <f t="shared" si="24"/>
        <v>102399891551.64896</v>
      </c>
      <c r="AG82" s="25">
        <f>AE82/((1+'How much will I make'!$C$5/12)^(Calculations!$B$1*12-Calculations!$A82))</f>
        <v>66808293.067506224</v>
      </c>
      <c r="AH82" s="25">
        <f t="shared" si="25"/>
        <v>15559426226.666016</v>
      </c>
    </row>
    <row r="83" spans="1:34" ht="15.75" customHeight="1">
      <c r="A83" s="22">
        <f t="shared" si="8"/>
        <v>79</v>
      </c>
      <c r="B83" s="22">
        <f t="shared" si="31"/>
        <v>670.04782031250022</v>
      </c>
      <c r="C83" s="25">
        <f t="shared" si="0"/>
        <v>3550.0293606927298</v>
      </c>
      <c r="D83" s="25">
        <f t="shared" si="10"/>
        <v>282317.3896257598</v>
      </c>
      <c r="E83" s="25">
        <f>$C83/((1+'How much will I make'!$C$5/12)^(Calculations!$B$1*12-Calculations!$A83))</f>
        <v>670.04782031250022</v>
      </c>
      <c r="F83" s="25">
        <f t="shared" si="11"/>
        <v>45501.811617187464</v>
      </c>
      <c r="G83" s="25">
        <f t="shared" si="1"/>
        <v>18679.258425233336</v>
      </c>
      <c r="H83" s="25">
        <f t="shared" si="12"/>
        <v>1754072.7960646143</v>
      </c>
      <c r="I83" s="25">
        <f>G83/((1+'How much will I make'!$C$5/12)^(Calculations!$B$1*12-Calculations!$A83))</f>
        <v>3525.6036278075208</v>
      </c>
      <c r="J83" s="25">
        <f t="shared" si="13"/>
        <v>280186.44702278526</v>
      </c>
      <c r="K83" s="25">
        <f t="shared" si="2"/>
        <v>97614.331704939366</v>
      </c>
      <c r="L83" s="25">
        <f t="shared" si="14"/>
        <v>10912302.738825807</v>
      </c>
      <c r="M83" s="25">
        <f>K83/((1+'How much will I make'!$C$5/12)^(Calculations!$B$1*12-Calculations!$A83))</f>
        <v>18424.14908292281</v>
      </c>
      <c r="N83" s="25">
        <f t="shared" si="15"/>
        <v>1727673.7807190057</v>
      </c>
      <c r="O83" s="25">
        <f t="shared" si="3"/>
        <v>506661.88462729292</v>
      </c>
      <c r="P83" s="25">
        <f t="shared" si="16"/>
        <v>67961558.80593963</v>
      </c>
      <c r="Q83" s="25">
        <f>O83/((1+'How much will I make'!$C$5/12)^(Calculations!$B$1*12-Calculations!$A83))</f>
        <v>95629.544698665719</v>
      </c>
      <c r="R83" s="25">
        <f t="shared" si="17"/>
        <v>10666724.505281122</v>
      </c>
      <c r="S83" s="25">
        <f t="shared" si="4"/>
        <v>2612147.5360837933</v>
      </c>
      <c r="T83" s="25">
        <f t="shared" si="18"/>
        <v>423617354.834342</v>
      </c>
      <c r="U83" s="25">
        <f>S83/((1+'How much will I make'!$C$5/12)^(Calculations!$B$1*12-Calculations!$A83))</f>
        <v>493027.96823800873</v>
      </c>
      <c r="V83" s="25">
        <f t="shared" si="19"/>
        <v>65928899.217261031</v>
      </c>
      <c r="W83" s="25">
        <f t="shared" si="5"/>
        <v>13377526.527744444</v>
      </c>
      <c r="X83" s="25">
        <f t="shared" si="20"/>
        <v>2641829599.4054232</v>
      </c>
      <c r="Y83" s="25">
        <f>W83/((1+'How much will I make'!$C$5/12)^(Calculations!$B$1*12-Calculations!$A83))</f>
        <v>2524931.9316442832</v>
      </c>
      <c r="Z83" s="25">
        <f t="shared" si="21"/>
        <v>407833784.4655689</v>
      </c>
      <c r="AA83" s="25">
        <f t="shared" si="6"/>
        <v>68057521.577751324</v>
      </c>
      <c r="AB83" s="25">
        <f t="shared" si="22"/>
        <v>16477525615.069162</v>
      </c>
      <c r="AC83" s="25">
        <f>AA83/((1+'How much will I make'!$C$5/12)^(Calculations!$B$1*12-Calculations!$A83))</f>
        <v>12845469.53159418</v>
      </c>
      <c r="AD83" s="25">
        <f t="shared" si="23"/>
        <v>2524135049.3684068</v>
      </c>
      <c r="AE83" s="25">
        <f t="shared" si="7"/>
        <v>343971043.34024966</v>
      </c>
      <c r="AF83" s="25">
        <f t="shared" si="24"/>
        <v>102743862594.98921</v>
      </c>
      <c r="AG83" s="25">
        <f>AE83/((1+'How much will I make'!$C$5/12)^(Calculations!$B$1*12-Calculations!$A83))</f>
        <v>64922575.118020155</v>
      </c>
      <c r="AH83" s="25">
        <f t="shared" si="25"/>
        <v>15624348801.784037</v>
      </c>
    </row>
    <row r="84" spans="1:34" ht="15.75" customHeight="1">
      <c r="A84" s="22">
        <f t="shared" si="8"/>
        <v>80</v>
      </c>
      <c r="B84" s="22">
        <f t="shared" si="31"/>
        <v>670.04782031250022</v>
      </c>
      <c r="C84" s="25">
        <f t="shared" si="0"/>
        <v>3535.2989484076979</v>
      </c>
      <c r="D84" s="25">
        <f t="shared" si="10"/>
        <v>285852.68857416749</v>
      </c>
      <c r="E84" s="25">
        <f>$C84/((1+'How much will I make'!$C$5/12)^(Calculations!$B$1*12-Calculations!$A84))</f>
        <v>670.04782031250022</v>
      </c>
      <c r="F84" s="25">
        <f t="shared" si="11"/>
        <v>46171.859437499967</v>
      </c>
      <c r="G84" s="25">
        <f t="shared" si="1"/>
        <v>18524.884388661165</v>
      </c>
      <c r="H84" s="25">
        <f t="shared" si="12"/>
        <v>1772597.6804532756</v>
      </c>
      <c r="I84" s="25">
        <f>G84/((1+'How much will I make'!$C$5/12)^(Calculations!$B$1*12-Calculations!$A84))</f>
        <v>3511.0350177752593</v>
      </c>
      <c r="J84" s="25">
        <f t="shared" si="13"/>
        <v>283697.48204056051</v>
      </c>
      <c r="K84" s="25">
        <f t="shared" si="2"/>
        <v>96409.216498705558</v>
      </c>
      <c r="L84" s="25">
        <f t="shared" si="14"/>
        <v>11008711.955324512</v>
      </c>
      <c r="M84" s="25">
        <f>K84/((1+'How much will I make'!$C$5/12)^(Calculations!$B$1*12-Calculations!$A84))</f>
        <v>18272.509995820565</v>
      </c>
      <c r="N84" s="25">
        <f t="shared" si="15"/>
        <v>1745946.2907148262</v>
      </c>
      <c r="O84" s="25">
        <f t="shared" si="3"/>
        <v>498355.95209241926</v>
      </c>
      <c r="P84" s="25">
        <f t="shared" si="16"/>
        <v>68459914.758032054</v>
      </c>
      <c r="Q84" s="25">
        <f>O84/((1+'How much will I make'!$C$5/12)^(Calculations!$B$1*12-Calculations!$A84))</f>
        <v>94453.771608108349</v>
      </c>
      <c r="R84" s="25">
        <f t="shared" si="17"/>
        <v>10761178.276889231</v>
      </c>
      <c r="S84" s="25">
        <f t="shared" si="4"/>
        <v>2558838.4026943282</v>
      </c>
      <c r="T84" s="25">
        <f t="shared" si="18"/>
        <v>426176193.23703635</v>
      </c>
      <c r="U84" s="25">
        <f>S84/((1+'How much will I make'!$C$5/12)^(Calculations!$B$1*12-Calculations!$A84))</f>
        <v>484978.532021878</v>
      </c>
      <c r="V84" s="25">
        <f t="shared" si="19"/>
        <v>66413877.749282911</v>
      </c>
      <c r="W84" s="25">
        <f t="shared" si="5"/>
        <v>13051245.392921414</v>
      </c>
      <c r="X84" s="25">
        <f t="shared" si="20"/>
        <v>2654880844.7983446</v>
      </c>
      <c r="Y84" s="25">
        <f>W84/((1+'How much will I make'!$C$5/12)^(Calculations!$B$1*12-Calculations!$A84))</f>
        <v>2473612.1769360672</v>
      </c>
      <c r="Z84" s="25">
        <f t="shared" si="21"/>
        <v>410307396.64250499</v>
      </c>
      <c r="AA84" s="25">
        <f t="shared" si="6"/>
        <v>66128765.905507363</v>
      </c>
      <c r="AB84" s="25">
        <f t="shared" si="22"/>
        <v>16543654380.97467</v>
      </c>
      <c r="AC84" s="25">
        <f>AA84/((1+'How much will I make'!$C$5/12)^(Calculations!$B$1*12-Calculations!$A84))</f>
        <v>12533433.834470434</v>
      </c>
      <c r="AD84" s="25">
        <f t="shared" si="23"/>
        <v>2536668483.202877</v>
      </c>
      <c r="AE84" s="25">
        <f t="shared" si="7"/>
        <v>332875203.2324996</v>
      </c>
      <c r="AF84" s="25">
        <f t="shared" si="24"/>
        <v>103076737798.22171</v>
      </c>
      <c r="AG84" s="25">
        <f>AE84/((1+'How much will I make'!$C$5/12)^(Calculations!$B$1*12-Calculations!$A84))</f>
        <v>63090083.078398608</v>
      </c>
      <c r="AH84" s="25">
        <f t="shared" si="25"/>
        <v>15687438884.862434</v>
      </c>
    </row>
    <row r="85" spans="1:34" ht="15.75" customHeight="1">
      <c r="A85" s="22">
        <f t="shared" si="8"/>
        <v>81</v>
      </c>
      <c r="B85" s="22">
        <f t="shared" si="31"/>
        <v>670.04782031250022</v>
      </c>
      <c r="C85" s="25">
        <f t="shared" si="0"/>
        <v>3520.6296581653423</v>
      </c>
      <c r="D85" s="25">
        <f t="shared" si="10"/>
        <v>289373.31823233282</v>
      </c>
      <c r="E85" s="25">
        <f>$C85/((1+'How much will I make'!$C$5/12)^(Calculations!$B$1*12-Calculations!$A85))</f>
        <v>670.04782031250022</v>
      </c>
      <c r="F85" s="25">
        <f t="shared" si="11"/>
        <v>46841.907257812469</v>
      </c>
      <c r="G85" s="25">
        <f t="shared" si="1"/>
        <v>18371.786170573054</v>
      </c>
      <c r="H85" s="25">
        <f t="shared" si="12"/>
        <v>1790969.4666238485</v>
      </c>
      <c r="I85" s="25">
        <f>G85/((1+'How much will I make'!$C$5/12)^(Calculations!$B$1*12-Calculations!$A85))</f>
        <v>3496.5266086108982</v>
      </c>
      <c r="J85" s="25">
        <f t="shared" si="13"/>
        <v>287194.00864917139</v>
      </c>
      <c r="K85" s="25">
        <f t="shared" si="2"/>
        <v>95218.979257980784</v>
      </c>
      <c r="L85" s="25">
        <f t="shared" si="14"/>
        <v>11103930.934582492</v>
      </c>
      <c r="M85" s="25">
        <f>K85/((1+'How much will I make'!$C$5/12)^(Calculations!$B$1*12-Calculations!$A85))</f>
        <v>18122.118967048376</v>
      </c>
      <c r="N85" s="25">
        <f t="shared" si="15"/>
        <v>1764068.4096818746</v>
      </c>
      <c r="O85" s="25">
        <f t="shared" si="3"/>
        <v>490186.18238598621</v>
      </c>
      <c r="P85" s="25">
        <f t="shared" si="16"/>
        <v>68950100.940418035</v>
      </c>
      <c r="Q85" s="25">
        <f>O85/((1+'How much will I make'!$C$5/12)^(Calculations!$B$1*12-Calculations!$A85))</f>
        <v>93292.454744074232</v>
      </c>
      <c r="R85" s="25">
        <f t="shared" si="17"/>
        <v>10854470.731633306</v>
      </c>
      <c r="S85" s="25">
        <f t="shared" si="4"/>
        <v>2506617.2108026077</v>
      </c>
      <c r="T85" s="25">
        <f t="shared" si="18"/>
        <v>428682810.44783896</v>
      </c>
      <c r="U85" s="25">
        <f>S85/((1+'How much will I make'!$C$5/12)^(Calculations!$B$1*12-Calculations!$A85))</f>
        <v>477060.51517254126</v>
      </c>
      <c r="V85" s="25">
        <f t="shared" si="19"/>
        <v>66890938.264455453</v>
      </c>
      <c r="W85" s="25">
        <f t="shared" si="5"/>
        <v>12732922.334557477</v>
      </c>
      <c r="X85" s="25">
        <f t="shared" si="20"/>
        <v>2667613767.1329021</v>
      </c>
      <c r="Y85" s="25">
        <f>W85/((1+'How much will I make'!$C$5/12)^(Calculations!$B$1*12-Calculations!$A85))</f>
        <v>2423335.5066731386</v>
      </c>
      <c r="Z85" s="25">
        <f t="shared" si="21"/>
        <v>412730732.14917815</v>
      </c>
      <c r="AA85" s="25">
        <f t="shared" si="6"/>
        <v>64254671.325189359</v>
      </c>
      <c r="AB85" s="25">
        <f t="shared" si="22"/>
        <v>16607909052.29986</v>
      </c>
      <c r="AC85" s="25">
        <f>AA85/((1+'How much will I make'!$C$5/12)^(Calculations!$B$1*12-Calculations!$A85))</f>
        <v>12228977.951851722</v>
      </c>
      <c r="AD85" s="25">
        <f t="shared" si="23"/>
        <v>2548897461.1547289</v>
      </c>
      <c r="AE85" s="25">
        <f t="shared" si="7"/>
        <v>322137293.45080602</v>
      </c>
      <c r="AF85" s="25">
        <f t="shared" si="24"/>
        <v>103398875091.67252</v>
      </c>
      <c r="AG85" s="25">
        <f>AE85/((1+'How much will I make'!$C$5/12)^(Calculations!$B$1*12-Calculations!$A85))</f>
        <v>61309314.604411535</v>
      </c>
      <c r="AH85" s="25">
        <f t="shared" si="25"/>
        <v>15748748199.466846</v>
      </c>
    </row>
    <row r="86" spans="1:34" ht="15.75" customHeight="1">
      <c r="A86" s="22">
        <f t="shared" si="8"/>
        <v>82</v>
      </c>
      <c r="B86" s="22">
        <f t="shared" si="31"/>
        <v>670.04782031250022</v>
      </c>
      <c r="C86" s="25">
        <f t="shared" si="0"/>
        <v>3506.0212363472283</v>
      </c>
      <c r="D86" s="25">
        <f t="shared" si="10"/>
        <v>292879.33946868003</v>
      </c>
      <c r="E86" s="25">
        <f>$C86/((1+'How much will I make'!$C$5/12)^(Calculations!$B$1*12-Calculations!$A86))</f>
        <v>670.04782031250022</v>
      </c>
      <c r="F86" s="25">
        <f t="shared" si="11"/>
        <v>47511.955078124971</v>
      </c>
      <c r="G86" s="25">
        <f t="shared" si="1"/>
        <v>18219.953227014601</v>
      </c>
      <c r="H86" s="25">
        <f t="shared" si="12"/>
        <v>1809189.4198508631</v>
      </c>
      <c r="I86" s="25">
        <f>G86/((1+'How much will I make'!$C$5/12)^(Calculations!$B$1*12-Calculations!$A86))</f>
        <v>3482.0781515505237</v>
      </c>
      <c r="J86" s="25">
        <f t="shared" si="13"/>
        <v>290676.08680072194</v>
      </c>
      <c r="K86" s="25">
        <f t="shared" si="2"/>
        <v>94043.436304178569</v>
      </c>
      <c r="L86" s="25">
        <f t="shared" si="14"/>
        <v>11197974.37088667</v>
      </c>
      <c r="M86" s="25">
        <f>K86/((1+'How much will I make'!$C$5/12)^(Calculations!$B$1*12-Calculations!$A86))</f>
        <v>17972.965724521237</v>
      </c>
      <c r="N86" s="25">
        <f t="shared" si="15"/>
        <v>1782041.3754063959</v>
      </c>
      <c r="O86" s="25">
        <f t="shared" si="3"/>
        <v>482150.34333047841</v>
      </c>
      <c r="P86" s="25">
        <f t="shared" si="16"/>
        <v>69432251.283748507</v>
      </c>
      <c r="Q86" s="25">
        <f>O86/((1+'How much will I make'!$C$5/12)^(Calculations!$B$1*12-Calculations!$A86))</f>
        <v>92145.416366073376</v>
      </c>
      <c r="R86" s="25">
        <f t="shared" si="17"/>
        <v>10946616.14799938</v>
      </c>
      <c r="S86" s="25">
        <f t="shared" si="4"/>
        <v>2455461.7575209225</v>
      </c>
      <c r="T86" s="25">
        <f t="shared" si="18"/>
        <v>431138272.20535988</v>
      </c>
      <c r="U86" s="25">
        <f>S86/((1+'How much will I make'!$C$5/12)^(Calculations!$B$1*12-Calculations!$A86))</f>
        <v>469271.77206768369</v>
      </c>
      <c r="V86" s="25">
        <f t="shared" si="19"/>
        <v>67360210.036523134</v>
      </c>
      <c r="W86" s="25">
        <f t="shared" si="5"/>
        <v>12422363.253226805</v>
      </c>
      <c r="X86" s="25">
        <f t="shared" si="20"/>
        <v>2680036130.3861289</v>
      </c>
      <c r="Y86" s="25">
        <f>W86/((1+'How much will I make'!$C$5/12)^(Calculations!$B$1*12-Calculations!$A86))</f>
        <v>2374080.71995214</v>
      </c>
      <c r="Z86" s="25">
        <f t="shared" si="21"/>
        <v>415104812.86913031</v>
      </c>
      <c r="AA86" s="25">
        <f t="shared" si="6"/>
        <v>62433688.737026095</v>
      </c>
      <c r="AB86" s="25">
        <f t="shared" si="22"/>
        <v>16670342741.036886</v>
      </c>
      <c r="AC86" s="25">
        <f>AA86/((1+'How much will I make'!$C$5/12)^(Calculations!$B$1*12-Calculations!$A86))</f>
        <v>11931917.758689335</v>
      </c>
      <c r="AD86" s="25">
        <f t="shared" si="23"/>
        <v>2560829378.9134183</v>
      </c>
      <c r="AE86" s="25">
        <f t="shared" si="7"/>
        <v>311745767.85561872</v>
      </c>
      <c r="AF86" s="25">
        <f t="shared" si="24"/>
        <v>103710620859.52814</v>
      </c>
      <c r="AG86" s="25">
        <f>AE86/((1+'How much will I make'!$C$5/12)^(Calculations!$B$1*12-Calculations!$A86))</f>
        <v>59578809.756706379</v>
      </c>
      <c r="AH86" s="25">
        <f t="shared" si="25"/>
        <v>15808327009.223553</v>
      </c>
    </row>
    <row r="87" spans="1:34" ht="15.75" customHeight="1">
      <c r="A87" s="22">
        <f t="shared" si="8"/>
        <v>83</v>
      </c>
      <c r="B87" s="22">
        <f t="shared" si="31"/>
        <v>670.04782031250022</v>
      </c>
      <c r="C87" s="25">
        <f t="shared" si="0"/>
        <v>3491.473430387281</v>
      </c>
      <c r="D87" s="25">
        <f t="shared" si="10"/>
        <v>296370.8128990673</v>
      </c>
      <c r="E87" s="25">
        <f>$C87/((1+'How much will I make'!$C$5/12)^(Calculations!$B$1*12-Calculations!$A87))</f>
        <v>670.04782031250022</v>
      </c>
      <c r="F87" s="25">
        <f t="shared" si="11"/>
        <v>48182.002898437473</v>
      </c>
      <c r="G87" s="25">
        <f t="shared" si="1"/>
        <v>18069.375101171507</v>
      </c>
      <c r="H87" s="25">
        <f t="shared" si="12"/>
        <v>1827258.7949520345</v>
      </c>
      <c r="I87" s="25">
        <f>G87/((1+'How much will I make'!$C$5/12)^(Calculations!$B$1*12-Calculations!$A87))</f>
        <v>3467.6893988581664</v>
      </c>
      <c r="J87" s="25">
        <f t="shared" si="13"/>
        <v>294143.77619958011</v>
      </c>
      <c r="K87" s="25">
        <f t="shared" si="2"/>
        <v>92882.406226349194</v>
      </c>
      <c r="L87" s="25">
        <f t="shared" si="14"/>
        <v>11290856.77711302</v>
      </c>
      <c r="M87" s="25">
        <f>K87/((1+'How much will I make'!$C$5/12)^(Calculations!$B$1*12-Calculations!$A87))</f>
        <v>17825.040080698014</v>
      </c>
      <c r="N87" s="25">
        <f t="shared" si="15"/>
        <v>1799866.4154870939</v>
      </c>
      <c r="O87" s="25">
        <f t="shared" si="3"/>
        <v>474246.23934145411</v>
      </c>
      <c r="P87" s="25">
        <f t="shared" si="16"/>
        <v>69906497.52308996</v>
      </c>
      <c r="Q87" s="25">
        <f>O87/((1+'How much will I make'!$C$5/12)^(Calculations!$B$1*12-Calculations!$A87))</f>
        <v>91012.480918949514</v>
      </c>
      <c r="R87" s="25">
        <f t="shared" si="17"/>
        <v>11037628.628918329</v>
      </c>
      <c r="S87" s="25">
        <f t="shared" si="4"/>
        <v>2405350.2930817204</v>
      </c>
      <c r="T87" s="25">
        <f t="shared" si="18"/>
        <v>433543622.49844158</v>
      </c>
      <c r="U87" s="25">
        <f>S87/((1+'How much will I make'!$C$5/12)^(Calculations!$B$1*12-Calculations!$A87))</f>
        <v>461610.19211555831</v>
      </c>
      <c r="V87" s="25">
        <f t="shared" si="19"/>
        <v>67821820.228638694</v>
      </c>
      <c r="W87" s="25">
        <f t="shared" si="5"/>
        <v>12119378.783635909</v>
      </c>
      <c r="X87" s="25">
        <f t="shared" si="20"/>
        <v>2692155509.169765</v>
      </c>
      <c r="Y87" s="25">
        <f>W87/((1+'How much will I make'!$C$5/12)^(Calculations!$B$1*12-Calculations!$A87))</f>
        <v>2325827.0467823814</v>
      </c>
      <c r="Z87" s="25">
        <f t="shared" si="21"/>
        <v>417430639.91591269</v>
      </c>
      <c r="AA87" s="25">
        <f t="shared" si="6"/>
        <v>60664312.942859367</v>
      </c>
      <c r="AB87" s="25">
        <f t="shared" si="22"/>
        <v>16731007053.979746</v>
      </c>
      <c r="AC87" s="25">
        <f>AA87/((1+'How much will I make'!$C$5/12)^(Calculations!$B$1*12-Calculations!$A87))</f>
        <v>11642073.602607813</v>
      </c>
      <c r="AD87" s="25">
        <f t="shared" si="23"/>
        <v>2572471452.516026</v>
      </c>
      <c r="AE87" s="25">
        <f t="shared" si="7"/>
        <v>301689452.76350194</v>
      </c>
      <c r="AF87" s="25">
        <f t="shared" si="24"/>
        <v>104012310312.29164</v>
      </c>
      <c r="AG87" s="25">
        <f>AE87/((1+'How much will I make'!$C$5/12)^(Calculations!$B$1*12-Calculations!$A87))</f>
        <v>57897149.803896114</v>
      </c>
      <c r="AH87" s="25">
        <f t="shared" si="25"/>
        <v>15866224159.027449</v>
      </c>
    </row>
    <row r="88" spans="1:34" ht="15.75" customHeight="1">
      <c r="A88" s="22">
        <f t="shared" si="8"/>
        <v>84</v>
      </c>
      <c r="B88" s="22">
        <f t="shared" si="31"/>
        <v>670.04782031250022</v>
      </c>
      <c r="C88" s="25">
        <f t="shared" si="0"/>
        <v>3476.9859887674174</v>
      </c>
      <c r="D88" s="25">
        <f t="shared" si="10"/>
        <v>299847.79888783471</v>
      </c>
      <c r="E88" s="25">
        <f>$C88/((1+'How much will I make'!$C$5/12)^(Calculations!$B$1*12-Calculations!$A88))</f>
        <v>670.04782031250022</v>
      </c>
      <c r="F88" s="25">
        <f t="shared" si="11"/>
        <v>48852.050718749975</v>
      </c>
      <c r="G88" s="25">
        <f t="shared" si="1"/>
        <v>17920.041422649429</v>
      </c>
      <c r="H88" s="25">
        <f t="shared" si="12"/>
        <v>1845178.836374684</v>
      </c>
      <c r="I88" s="25">
        <f>G88/((1+'How much will I make'!$C$5/12)^(Calculations!$B$1*12-Calculations!$A88))</f>
        <v>3453.360103821562</v>
      </c>
      <c r="J88" s="25">
        <f t="shared" si="13"/>
        <v>297597.13630340167</v>
      </c>
      <c r="K88" s="25">
        <f t="shared" si="2"/>
        <v>91735.709853184424</v>
      </c>
      <c r="L88" s="25">
        <f t="shared" si="14"/>
        <v>11382592.486966206</v>
      </c>
      <c r="M88" s="25">
        <f>K88/((1+'How much will I make'!$C$5/12)^(Calculations!$B$1*12-Calculations!$A88))</f>
        <v>17678.331931885688</v>
      </c>
      <c r="N88" s="25">
        <f t="shared" si="15"/>
        <v>1817544.7474189796</v>
      </c>
      <c r="O88" s="25">
        <f t="shared" si="3"/>
        <v>466471.71082765976</v>
      </c>
      <c r="P88" s="25">
        <f t="shared" si="16"/>
        <v>70372969.233917624</v>
      </c>
      <c r="Q88" s="25">
        <f>O88/((1+'How much will I make'!$C$5/12)^(Calculations!$B$1*12-Calculations!$A88))</f>
        <v>89893.475006011591</v>
      </c>
      <c r="R88" s="25">
        <f t="shared" si="17"/>
        <v>11127522.103924341</v>
      </c>
      <c r="S88" s="25">
        <f t="shared" si="4"/>
        <v>2356261.5115902564</v>
      </c>
      <c r="T88" s="25">
        <f t="shared" si="18"/>
        <v>435899884.01003182</v>
      </c>
      <c r="U88" s="25">
        <f>S88/((1+'How much will I make'!$C$5/12)^(Calculations!$B$1*12-Calculations!$A88))</f>
        <v>454073.69918305927</v>
      </c>
      <c r="V88" s="25">
        <f t="shared" si="19"/>
        <v>68275893.927821755</v>
      </c>
      <c r="W88" s="25">
        <f t="shared" si="5"/>
        <v>11823784.179156985</v>
      </c>
      <c r="X88" s="25">
        <f t="shared" si="20"/>
        <v>2703979293.3489218</v>
      </c>
      <c r="Y88" s="25">
        <f>W88/((1+'How much will I make'!$C$5/12)^(Calculations!$B$1*12-Calculations!$A88))</f>
        <v>2278554.1393274548</v>
      </c>
      <c r="Z88" s="25">
        <f t="shared" si="21"/>
        <v>419709194.05524015</v>
      </c>
      <c r="AA88" s="25">
        <f t="shared" si="6"/>
        <v>58945081.401968628</v>
      </c>
      <c r="AB88" s="25">
        <f t="shared" si="22"/>
        <v>16789952135.381714</v>
      </c>
      <c r="AC88" s="25">
        <f>AA88/((1+'How much will I make'!$C$5/12)^(Calculations!$B$1*12-Calculations!$A88))</f>
        <v>11359270.195257017</v>
      </c>
      <c r="AD88" s="25">
        <f t="shared" si="23"/>
        <v>2583830722.7112832</v>
      </c>
      <c r="AE88" s="25">
        <f t="shared" si="7"/>
        <v>291957534.93242121</v>
      </c>
      <c r="AF88" s="25">
        <f t="shared" si="24"/>
        <v>104304267847.22406</v>
      </c>
      <c r="AG88" s="25">
        <f>AE88/((1+'How much will I make'!$C$5/12)^(Calculations!$B$1*12-Calculations!$A88))</f>
        <v>56262956.059431292</v>
      </c>
      <c r="AH88" s="25">
        <f t="shared" si="25"/>
        <v>15922487115.08688</v>
      </c>
    </row>
    <row r="89" spans="1:34" ht="15.75" customHeight="1">
      <c r="A89" s="22">
        <f t="shared" si="8"/>
        <v>85</v>
      </c>
      <c r="B89" s="22">
        <f>B88*(1+'How much will I make'!$C$4)</f>
        <v>703.55021132812522</v>
      </c>
      <c r="C89" s="25">
        <f t="shared" si="0"/>
        <v>3635.686594063855</v>
      </c>
      <c r="D89" s="25">
        <f t="shared" si="10"/>
        <v>303483.48548189859</v>
      </c>
      <c r="E89" s="25">
        <f>$C89/((1+'How much will I make'!$C$5/12)^(Calculations!$B$1*12-Calculations!$A89))</f>
        <v>703.55021132812522</v>
      </c>
      <c r="F89" s="25">
        <f t="shared" si="11"/>
        <v>49555.600930078101</v>
      </c>
      <c r="G89" s="25">
        <f t="shared" si="1"/>
        <v>18660.53900209775</v>
      </c>
      <c r="H89" s="25">
        <f t="shared" si="12"/>
        <v>1863839.3753767817</v>
      </c>
      <c r="I89" s="25">
        <f>G89/((1+'How much will I make'!$C$5/12)^(Calculations!$B$1*12-Calculations!$A89))</f>
        <v>3611.0445217853153</v>
      </c>
      <c r="J89" s="25">
        <f t="shared" si="13"/>
        <v>301208.18082518701</v>
      </c>
      <c r="K89" s="25">
        <f t="shared" si="2"/>
        <v>95133.328736635667</v>
      </c>
      <c r="L89" s="25">
        <f t="shared" si="14"/>
        <v>11477725.815702841</v>
      </c>
      <c r="M89" s="25">
        <f>K89/((1+'How much will I make'!$C$5/12)^(Calculations!$B$1*12-Calculations!$A89))</f>
        <v>18409.472820426639</v>
      </c>
      <c r="N89" s="25">
        <f t="shared" si="15"/>
        <v>1835954.2202394062</v>
      </c>
      <c r="O89" s="25">
        <f t="shared" si="3"/>
        <v>481765.86528102553</v>
      </c>
      <c r="P89" s="25">
        <f t="shared" si="16"/>
        <v>70854735.099198654</v>
      </c>
      <c r="Q89" s="25">
        <f>O89/((1+'How much will I make'!$C$5/12)^(Calculations!$B$1*12-Calculations!$A89))</f>
        <v>93227.638730619801</v>
      </c>
      <c r="R89" s="25">
        <f t="shared" si="17"/>
        <v>11220749.742654961</v>
      </c>
      <c r="S89" s="25">
        <f t="shared" si="4"/>
        <v>2423583.2690642644</v>
      </c>
      <c r="T89" s="25">
        <f t="shared" si="18"/>
        <v>438323467.27909607</v>
      </c>
      <c r="U89" s="25">
        <f>S89/((1+'How much will I make'!$C$5/12)^(Calculations!$B$1*12-Calculations!$A89))</f>
        <v>468993.2635847886</v>
      </c>
      <c r="V89" s="25">
        <f t="shared" si="19"/>
        <v>68744887.191406548</v>
      </c>
      <c r="W89" s="25">
        <f t="shared" si="5"/>
        <v>12112169.159136422</v>
      </c>
      <c r="X89" s="25">
        <f t="shared" si="20"/>
        <v>2716091462.5080581</v>
      </c>
      <c r="Y89" s="25">
        <f>W89/((1+'How much will I make'!$C$5/12)^(Calculations!$B$1*12-Calculations!$A89))</f>
        <v>2343854.1664911075</v>
      </c>
      <c r="Z89" s="25">
        <f t="shared" si="21"/>
        <v>422053048.22173125</v>
      </c>
      <c r="AA89" s="25">
        <f t="shared" si="6"/>
        <v>60138301.67326355</v>
      </c>
      <c r="AB89" s="25">
        <f t="shared" si="22"/>
        <v>16850090437.054977</v>
      </c>
      <c r="AC89" s="25">
        <f>AA89/((1+'How much will I make'!$C$5/12)^(Calculations!$B$1*12-Calculations!$A89))</f>
        <v>11637503.331618579</v>
      </c>
      <c r="AD89" s="25">
        <f t="shared" si="23"/>
        <v>2595468226.042902</v>
      </c>
      <c r="AE89" s="25">
        <f t="shared" si="7"/>
        <v>296666527.43133116</v>
      </c>
      <c r="AF89" s="25">
        <f t="shared" si="24"/>
        <v>104600934374.6554</v>
      </c>
      <c r="AG89" s="25">
        <f>AE89/((1+'How much will I make'!$C$5/12)^(Calculations!$B$1*12-Calculations!$A89))</f>
        <v>57408633.188867286</v>
      </c>
      <c r="AH89" s="25">
        <f t="shared" si="25"/>
        <v>15979895748.275747</v>
      </c>
    </row>
    <row r="90" spans="1:34" ht="15.75" customHeight="1">
      <c r="A90" s="22">
        <f t="shared" si="8"/>
        <v>86</v>
      </c>
      <c r="B90" s="22">
        <f t="shared" ref="B90:B100" si="32">B89</f>
        <v>703.55021132812522</v>
      </c>
      <c r="C90" s="25">
        <f t="shared" si="0"/>
        <v>3620.6007575739636</v>
      </c>
      <c r="D90" s="25">
        <f t="shared" si="10"/>
        <v>307104.08623947256</v>
      </c>
      <c r="E90" s="25">
        <f>$C90/((1+'How much will I make'!$C$5/12)^(Calculations!$B$1*12-Calculations!$A90))</f>
        <v>703.55021132812522</v>
      </c>
      <c r="F90" s="25">
        <f t="shared" si="11"/>
        <v>50259.151141406226</v>
      </c>
      <c r="G90" s="25">
        <f t="shared" si="1"/>
        <v>18506.319671501904</v>
      </c>
      <c r="H90" s="25">
        <f t="shared" si="12"/>
        <v>1882345.6950482836</v>
      </c>
      <c r="I90" s="25">
        <f>G90/((1+'How much will I make'!$C$5/12)^(Calculations!$B$1*12-Calculations!$A90))</f>
        <v>3596.1228502076901</v>
      </c>
      <c r="J90" s="25">
        <f t="shared" si="13"/>
        <v>304804.30367539468</v>
      </c>
      <c r="K90" s="25">
        <f t="shared" si="2"/>
        <v>93958.843196677233</v>
      </c>
      <c r="L90" s="25">
        <f t="shared" si="14"/>
        <v>11571684.658899518</v>
      </c>
      <c r="M90" s="25">
        <f>K90/((1+'How much will I make'!$C$5/12)^(Calculations!$B$1*12-Calculations!$A90))</f>
        <v>18257.954525608315</v>
      </c>
      <c r="N90" s="25">
        <f t="shared" si="15"/>
        <v>1854212.1747650146</v>
      </c>
      <c r="O90" s="25">
        <f t="shared" si="3"/>
        <v>473868.06421084492</v>
      </c>
      <c r="P90" s="25">
        <f t="shared" si="16"/>
        <v>71328603.163409501</v>
      </c>
      <c r="Q90" s="25">
        <f>O90/((1+'How much will I make'!$C$5/12)^(Calculations!$B$1*12-Calculations!$A90))</f>
        <v>92081.397270817106</v>
      </c>
      <c r="R90" s="25">
        <f t="shared" si="17"/>
        <v>11312831.139925778</v>
      </c>
      <c r="S90" s="25">
        <f t="shared" si="4"/>
        <v>2374122.3860221365</v>
      </c>
      <c r="T90" s="25">
        <f t="shared" si="18"/>
        <v>440697589.66511822</v>
      </c>
      <c r="U90" s="25">
        <f>S90/((1+'How much will I make'!$C$5/12)^(Calculations!$B$1*12-Calculations!$A90))</f>
        <v>461336.23070993484</v>
      </c>
      <c r="V90" s="25">
        <f t="shared" si="19"/>
        <v>69206223.422116488</v>
      </c>
      <c r="W90" s="25">
        <f t="shared" si="5"/>
        <v>11816750.399157485</v>
      </c>
      <c r="X90" s="25">
        <f t="shared" si="20"/>
        <v>2727908212.9072156</v>
      </c>
      <c r="Y90" s="25">
        <f>W90/((1+'How much will I make'!$C$5/12)^(Calculations!$B$1*12-Calculations!$A90))</f>
        <v>2296214.8541640523</v>
      </c>
      <c r="Z90" s="25">
        <f t="shared" si="21"/>
        <v>424349263.07589531</v>
      </c>
      <c r="AA90" s="25">
        <f t="shared" si="6"/>
        <v>58433977.334345154</v>
      </c>
      <c r="AB90" s="25">
        <f t="shared" si="22"/>
        <v>16908524414.389322</v>
      </c>
      <c r="AC90" s="25">
        <f>AA90/((1+'How much will I make'!$C$5/12)^(Calculations!$B$1*12-Calculations!$A90))</f>
        <v>11354810.942996265</v>
      </c>
      <c r="AD90" s="25">
        <f t="shared" si="23"/>
        <v>2606823036.9858985</v>
      </c>
      <c r="AE90" s="25">
        <f t="shared" si="7"/>
        <v>287096639.44967532</v>
      </c>
      <c r="AF90" s="25">
        <f t="shared" si="24"/>
        <v>104888031014.10507</v>
      </c>
      <c r="AG90" s="25">
        <f>AE90/((1+'How much will I make'!$C$5/12)^(Calculations!$B$1*12-Calculations!$A90))</f>
        <v>55788228.219826676</v>
      </c>
      <c r="AH90" s="25">
        <f t="shared" si="25"/>
        <v>16035683976.495573</v>
      </c>
    </row>
    <row r="91" spans="1:34" ht="15.75" customHeight="1">
      <c r="A91" s="22">
        <f t="shared" si="8"/>
        <v>87</v>
      </c>
      <c r="B91" s="22">
        <f t="shared" si="32"/>
        <v>703.55021132812522</v>
      </c>
      <c r="C91" s="25">
        <f t="shared" si="0"/>
        <v>3605.57751791598</v>
      </c>
      <c r="D91" s="25">
        <f t="shared" si="10"/>
        <v>310709.66375738854</v>
      </c>
      <c r="E91" s="25">
        <f>$C91/((1+'How much will I make'!$C$5/12)^(Calculations!$B$1*12-Calculations!$A91))</f>
        <v>703.55021132812522</v>
      </c>
      <c r="F91" s="25">
        <f t="shared" si="11"/>
        <v>50962.701352734352</v>
      </c>
      <c r="G91" s="25">
        <f t="shared" si="1"/>
        <v>18353.374880828331</v>
      </c>
      <c r="H91" s="25">
        <f t="shared" si="12"/>
        <v>1900699.069929112</v>
      </c>
      <c r="I91" s="25">
        <f>G91/((1+'How much will I make'!$C$5/12)^(Calculations!$B$1*12-Calculations!$A91))</f>
        <v>3581.2628384299724</v>
      </c>
      <c r="J91" s="25">
        <f t="shared" si="13"/>
        <v>308385.56651382463</v>
      </c>
      <c r="K91" s="25">
        <f t="shared" si="2"/>
        <v>92798.857478199716</v>
      </c>
      <c r="L91" s="25">
        <f t="shared" si="14"/>
        <v>11664483.516377717</v>
      </c>
      <c r="M91" s="25">
        <f>K91/((1+'How much will I make'!$C$5/12)^(Calculations!$B$1*12-Calculations!$A91))</f>
        <v>18107.683294944873</v>
      </c>
      <c r="N91" s="25">
        <f t="shared" si="15"/>
        <v>1872319.8580599595</v>
      </c>
      <c r="O91" s="25">
        <f t="shared" si="3"/>
        <v>466099.73528935568</v>
      </c>
      <c r="P91" s="25">
        <f t="shared" si="16"/>
        <v>71794702.898698851</v>
      </c>
      <c r="Q91" s="25">
        <f>O91/((1+'How much will I make'!$C$5/12)^(Calculations!$B$1*12-Calculations!$A91))</f>
        <v>90949.248943716913</v>
      </c>
      <c r="R91" s="25">
        <f t="shared" si="17"/>
        <v>11403780.388869494</v>
      </c>
      <c r="S91" s="25">
        <f t="shared" si="4"/>
        <v>2325670.9087563786</v>
      </c>
      <c r="T91" s="25">
        <f t="shared" si="18"/>
        <v>443023260.57387459</v>
      </c>
      <c r="U91" s="25">
        <f>S91/((1+'How much will I make'!$C$5/12)^(Calculations!$B$1*12-Calculations!$A91))</f>
        <v>453804.21061671147</v>
      </c>
      <c r="V91" s="25">
        <f t="shared" si="19"/>
        <v>69660027.632733196</v>
      </c>
      <c r="W91" s="25">
        <f t="shared" si="5"/>
        <v>11528536.97478779</v>
      </c>
      <c r="X91" s="25">
        <f t="shared" si="20"/>
        <v>2739436749.8820033</v>
      </c>
      <c r="Y91" s="25">
        <f>W91/((1+'How much will I make'!$C$5/12)^(Calculations!$B$1*12-Calculations!$A91))</f>
        <v>2249543.8205428319</v>
      </c>
      <c r="Z91" s="25">
        <f t="shared" si="21"/>
        <v>426598806.89643812</v>
      </c>
      <c r="AA91" s="25">
        <f t="shared" si="6"/>
        <v>56777953.68519368</v>
      </c>
      <c r="AB91" s="25">
        <f t="shared" si="22"/>
        <v>16965302368.074516</v>
      </c>
      <c r="AC91" s="25">
        <f>AA91/((1+'How much will I make'!$C$5/12)^(Calculations!$B$1*12-Calculations!$A91))</f>
        <v>11078985.575959923</v>
      </c>
      <c r="AD91" s="25">
        <f t="shared" si="23"/>
        <v>2617902022.5618587</v>
      </c>
      <c r="AE91" s="25">
        <f t="shared" si="7"/>
        <v>277835457.53194386</v>
      </c>
      <c r="AF91" s="25">
        <f t="shared" si="24"/>
        <v>105165866471.63701</v>
      </c>
      <c r="AG91" s="25">
        <f>AE91/((1+'How much will I make'!$C$5/12)^(Calculations!$B$1*12-Calculations!$A91))</f>
        <v>54213560.487815447</v>
      </c>
      <c r="AH91" s="25">
        <f t="shared" si="25"/>
        <v>16089897536.983389</v>
      </c>
    </row>
    <row r="92" spans="1:34" ht="15.75" customHeight="1">
      <c r="A92" s="22">
        <f t="shared" si="8"/>
        <v>88</v>
      </c>
      <c r="B92" s="22">
        <f t="shared" si="32"/>
        <v>703.55021132812522</v>
      </c>
      <c r="C92" s="25">
        <f t="shared" si="0"/>
        <v>3590.6166153520139</v>
      </c>
      <c r="D92" s="25">
        <f t="shared" si="10"/>
        <v>314300.28037274053</v>
      </c>
      <c r="E92" s="25">
        <f>$C92/((1+'How much will I make'!$C$5/12)^(Calculations!$B$1*12-Calculations!$A92))</f>
        <v>703.55021132812522</v>
      </c>
      <c r="F92" s="25">
        <f t="shared" si="11"/>
        <v>51666.251564062477</v>
      </c>
      <c r="G92" s="25">
        <f t="shared" si="1"/>
        <v>18201.694096689262</v>
      </c>
      <c r="H92" s="25">
        <f t="shared" si="12"/>
        <v>1918900.7640258013</v>
      </c>
      <c r="I92" s="25">
        <f>G92/((1+'How much will I make'!$C$5/12)^(Calculations!$B$1*12-Calculations!$A92))</f>
        <v>3566.4642316596019</v>
      </c>
      <c r="J92" s="25">
        <f t="shared" si="13"/>
        <v>311952.03074548423</v>
      </c>
      <c r="K92" s="25">
        <f t="shared" si="2"/>
        <v>91653.19257106146</v>
      </c>
      <c r="L92" s="25">
        <f t="shared" si="14"/>
        <v>11756136.708948778</v>
      </c>
      <c r="M92" s="25">
        <f>K92/((1+'How much will I make'!$C$5/12)^(Calculations!$B$1*12-Calculations!$A92))</f>
        <v>17958.648864533803</v>
      </c>
      <c r="N92" s="25">
        <f t="shared" si="15"/>
        <v>1890278.5069244932</v>
      </c>
      <c r="O92" s="25">
        <f t="shared" si="3"/>
        <v>458458.75602231704</v>
      </c>
      <c r="P92" s="25">
        <f t="shared" si="16"/>
        <v>72253161.654721171</v>
      </c>
      <c r="Q92" s="25">
        <f>O92/((1+'How much will I make'!$C$5/12)^(Calculations!$B$1*12-Calculations!$A92))</f>
        <v>89831.020473097436</v>
      </c>
      <c r="R92" s="25">
        <f t="shared" si="17"/>
        <v>11493611.409342591</v>
      </c>
      <c r="S92" s="25">
        <f t="shared" si="4"/>
        <v>2278208.2371491059</v>
      </c>
      <c r="T92" s="25">
        <f t="shared" si="18"/>
        <v>445301468.81102371</v>
      </c>
      <c r="U92" s="25">
        <f>S92/((1+'How much will I make'!$C$5/12)^(Calculations!$B$1*12-Calculations!$A92))</f>
        <v>446395.1622801121</v>
      </c>
      <c r="V92" s="25">
        <f t="shared" si="19"/>
        <v>70106422.795013309</v>
      </c>
      <c r="W92" s="25">
        <f t="shared" si="5"/>
        <v>11247353.146134432</v>
      </c>
      <c r="X92" s="25">
        <f t="shared" si="20"/>
        <v>2750684103.0281377</v>
      </c>
      <c r="Y92" s="25">
        <f>W92/((1+'How much will I make'!$C$5/12)^(Calculations!$B$1*12-Calculations!$A92))</f>
        <v>2203821.3851659456</v>
      </c>
      <c r="Z92" s="25">
        <f t="shared" si="21"/>
        <v>428802628.28160405</v>
      </c>
      <c r="AA92" s="25">
        <f t="shared" si="6"/>
        <v>55168861.880350143</v>
      </c>
      <c r="AB92" s="25">
        <f t="shared" si="22"/>
        <v>17020471229.954866</v>
      </c>
      <c r="AC92" s="25">
        <f>AA92/((1+'How much will I make'!$C$5/12)^(Calculations!$B$1*12-Calculations!$A92))</f>
        <v>10809860.420268588</v>
      </c>
      <c r="AD92" s="25">
        <f t="shared" si="23"/>
        <v>2628711882.9821272</v>
      </c>
      <c r="AE92" s="25">
        <f t="shared" si="7"/>
        <v>268873023.41801012</v>
      </c>
      <c r="AF92" s="25">
        <f t="shared" si="24"/>
        <v>105434739495.05502</v>
      </c>
      <c r="AG92" s="25">
        <f>AE92/((1+'How much will I make'!$C$5/12)^(Calculations!$B$1*12-Calculations!$A92))</f>
        <v>52683339.022433534</v>
      </c>
      <c r="AH92" s="25">
        <f t="shared" si="25"/>
        <v>16142580876.005823</v>
      </c>
    </row>
    <row r="93" spans="1:34" ht="15.75" customHeight="1">
      <c r="A93" s="22">
        <f t="shared" si="8"/>
        <v>89</v>
      </c>
      <c r="B93" s="22">
        <f t="shared" si="32"/>
        <v>703.55021132812522</v>
      </c>
      <c r="C93" s="25">
        <f t="shared" si="0"/>
        <v>3575.7177912219231</v>
      </c>
      <c r="D93" s="25">
        <f t="shared" si="10"/>
        <v>317875.99816396245</v>
      </c>
      <c r="E93" s="25">
        <f>$C93/((1+'How much will I make'!$C$5/12)^(Calculations!$B$1*12-Calculations!$A93))</f>
        <v>703.55021132812522</v>
      </c>
      <c r="F93" s="25">
        <f t="shared" si="11"/>
        <v>52369.801775390602</v>
      </c>
      <c r="G93" s="25">
        <f t="shared" si="1"/>
        <v>18051.266872749678</v>
      </c>
      <c r="H93" s="25">
        <f t="shared" si="12"/>
        <v>1936952.030898551</v>
      </c>
      <c r="I93" s="25">
        <f>G93/((1+'How much will I make'!$C$5/12)^(Calculations!$B$1*12-Calculations!$A93))</f>
        <v>3551.7267761568751</v>
      </c>
      <c r="J93" s="25">
        <f t="shared" si="13"/>
        <v>315503.75752164109</v>
      </c>
      <c r="K93" s="25">
        <f t="shared" si="2"/>
        <v>90521.671675122401</v>
      </c>
      <c r="L93" s="25">
        <f t="shared" si="14"/>
        <v>11846658.380623901</v>
      </c>
      <c r="M93" s="25">
        <f>K93/((1+'How much will I make'!$C$5/12)^(Calculations!$B$1*12-Calculations!$A93))</f>
        <v>17810.841054949153</v>
      </c>
      <c r="N93" s="25">
        <f t="shared" si="15"/>
        <v>1908089.3479794424</v>
      </c>
      <c r="O93" s="25">
        <f t="shared" si="3"/>
        <v>450943.03871047578</v>
      </c>
      <c r="P93" s="25">
        <f t="shared" si="16"/>
        <v>72704104.693431646</v>
      </c>
      <c r="Q93" s="25">
        <f>O93/((1+'How much will I make'!$C$5/12)^(Calculations!$B$1*12-Calculations!$A93))</f>
        <v>88726.540713182287</v>
      </c>
      <c r="R93" s="25">
        <f t="shared" si="17"/>
        <v>11582337.950055772</v>
      </c>
      <c r="S93" s="25">
        <f t="shared" si="4"/>
        <v>2231714.1914930018</v>
      </c>
      <c r="T93" s="25">
        <f t="shared" si="18"/>
        <v>447533183.00251669</v>
      </c>
      <c r="U93" s="25">
        <f>S93/((1+'How much will I make'!$C$5/12)^(Calculations!$B$1*12-Calculations!$A93))</f>
        <v>439107.0779979878</v>
      </c>
      <c r="V93" s="25">
        <f t="shared" si="19"/>
        <v>70545529.873011291</v>
      </c>
      <c r="W93" s="25">
        <f t="shared" si="5"/>
        <v>10973027.459643349</v>
      </c>
      <c r="X93" s="25">
        <f t="shared" si="20"/>
        <v>2761657130.487781</v>
      </c>
      <c r="Y93" s="25">
        <f>W93/((1+'How much will I make'!$C$5/12)^(Calculations!$B$1*12-Calculations!$A93))</f>
        <v>2159028.2675812715</v>
      </c>
      <c r="Z93" s="25">
        <f t="shared" si="21"/>
        <v>430961656.54918534</v>
      </c>
      <c r="AA93" s="25">
        <f t="shared" si="6"/>
        <v>53605371.867546707</v>
      </c>
      <c r="AB93" s="25">
        <f t="shared" si="22"/>
        <v>17074076601.822412</v>
      </c>
      <c r="AC93" s="25">
        <f>AA93/((1+'How much will I make'!$C$5/12)^(Calculations!$B$1*12-Calculations!$A93))</f>
        <v>10547272.717751943</v>
      </c>
      <c r="AD93" s="25">
        <f t="shared" si="23"/>
        <v>2639259155.6998792</v>
      </c>
      <c r="AE93" s="25">
        <f t="shared" si="7"/>
        <v>260199700.08194521</v>
      </c>
      <c r="AF93" s="25">
        <f t="shared" si="24"/>
        <v>105694939195.13696</v>
      </c>
      <c r="AG93" s="25">
        <f>AE93/((1+'How much will I make'!$C$5/12)^(Calculations!$B$1*12-Calculations!$A93))</f>
        <v>51196309.291961603</v>
      </c>
      <c r="AH93" s="25">
        <f t="shared" si="25"/>
        <v>16193777185.297785</v>
      </c>
    </row>
    <row r="94" spans="1:34" ht="15.75" customHeight="1">
      <c r="A94" s="22">
        <f t="shared" si="8"/>
        <v>90</v>
      </c>
      <c r="B94" s="22">
        <f t="shared" si="32"/>
        <v>703.55021132812522</v>
      </c>
      <c r="C94" s="25">
        <f t="shared" si="0"/>
        <v>3560.8807879388437</v>
      </c>
      <c r="D94" s="25">
        <f t="shared" si="10"/>
        <v>321436.87895190128</v>
      </c>
      <c r="E94" s="25">
        <f>$C94/((1+'How much will I make'!$C$5/12)^(Calculations!$B$1*12-Calculations!$A94))</f>
        <v>703.55021132812522</v>
      </c>
      <c r="F94" s="25">
        <f t="shared" si="11"/>
        <v>53073.351986718728</v>
      </c>
      <c r="G94" s="25">
        <f t="shared" si="1"/>
        <v>17902.082849007944</v>
      </c>
      <c r="H94" s="25">
        <f t="shared" si="12"/>
        <v>1954854.113747559</v>
      </c>
      <c r="I94" s="25">
        <f>G94/((1+'How much will I make'!$C$5/12)^(Calculations!$B$1*12-Calculations!$A94))</f>
        <v>3537.0502192306076</v>
      </c>
      <c r="J94" s="25">
        <f t="shared" si="13"/>
        <v>319040.80774087168</v>
      </c>
      <c r="K94" s="25">
        <f t="shared" si="2"/>
        <v>89404.120172960422</v>
      </c>
      <c r="L94" s="25">
        <f t="shared" si="14"/>
        <v>11936062.500796862</v>
      </c>
      <c r="M94" s="25">
        <f>K94/((1+'How much will I make'!$C$5/12)^(Calculations!$B$1*12-Calculations!$A94))</f>
        <v>17664.249770546288</v>
      </c>
      <c r="N94" s="25">
        <f t="shared" si="15"/>
        <v>1925753.5977499888</v>
      </c>
      <c r="O94" s="25">
        <f t="shared" si="3"/>
        <v>443550.52987915662</v>
      </c>
      <c r="P94" s="25">
        <f t="shared" si="16"/>
        <v>73147655.223310798</v>
      </c>
      <c r="Q94" s="25">
        <f>O94/((1+'How much will I make'!$C$5/12)^(Calculations!$B$1*12-Calculations!$A94))</f>
        <v>87635.640622446488</v>
      </c>
      <c r="R94" s="25">
        <f t="shared" si="17"/>
        <v>11669973.590678219</v>
      </c>
      <c r="S94" s="25">
        <f t="shared" si="4"/>
        <v>2186169.0039115124</v>
      </c>
      <c r="T94" s="25">
        <f t="shared" si="18"/>
        <v>449719352.00642818</v>
      </c>
      <c r="U94" s="25">
        <f>S94/((1+'How much will I make'!$C$5/12)^(Calculations!$B$1*12-Calculations!$A94))</f>
        <v>431937.98284700041</v>
      </c>
      <c r="V94" s="25">
        <f t="shared" si="19"/>
        <v>70977467.855858296</v>
      </c>
      <c r="W94" s="25">
        <f t="shared" si="5"/>
        <v>10705392.643554486</v>
      </c>
      <c r="X94" s="25">
        <f t="shared" si="20"/>
        <v>2772362523.1313357</v>
      </c>
      <c r="Y94" s="25">
        <f>W94/((1+'How much will I make'!$C$5/12)^(Calculations!$B$1*12-Calculations!$A94))</f>
        <v>2115145.579215799</v>
      </c>
      <c r="Z94" s="25">
        <f t="shared" si="21"/>
        <v>433076802.12840116</v>
      </c>
      <c r="AA94" s="25">
        <f t="shared" si="6"/>
        <v>52086191.288304485</v>
      </c>
      <c r="AB94" s="25">
        <f t="shared" si="22"/>
        <v>17126162793.110718</v>
      </c>
      <c r="AC94" s="25">
        <f>AA94/((1+'How much will I make'!$C$5/12)^(Calculations!$B$1*12-Calculations!$A94))</f>
        <v>10291063.663879426</v>
      </c>
      <c r="AD94" s="25">
        <f t="shared" si="23"/>
        <v>2649550219.3637586</v>
      </c>
      <c r="AE94" s="25">
        <f t="shared" si="7"/>
        <v>251806161.36962444</v>
      </c>
      <c r="AF94" s="25">
        <f t="shared" si="24"/>
        <v>105946745356.50659</v>
      </c>
      <c r="AG94" s="25">
        <f>AE94/((1+'How much will I make'!$C$5/12)^(Calculations!$B$1*12-Calculations!$A94))</f>
        <v>49751252.174849801</v>
      </c>
      <c r="AH94" s="25">
        <f t="shared" si="25"/>
        <v>16243528437.472635</v>
      </c>
    </row>
    <row r="95" spans="1:34" ht="15.75" customHeight="1">
      <c r="A95" s="22">
        <f t="shared" si="8"/>
        <v>91</v>
      </c>
      <c r="B95" s="22">
        <f t="shared" si="32"/>
        <v>703.55021132812522</v>
      </c>
      <c r="C95" s="25">
        <f t="shared" si="0"/>
        <v>3546.1053489847404</v>
      </c>
      <c r="D95" s="25">
        <f t="shared" si="10"/>
        <v>324982.98430088605</v>
      </c>
      <c r="E95" s="25">
        <f>$C95/((1+'How much will I make'!$C$5/12)^(Calculations!$B$1*12-Calculations!$A95))</f>
        <v>703.55021132812522</v>
      </c>
      <c r="F95" s="25">
        <f t="shared" si="11"/>
        <v>53776.902198046853</v>
      </c>
      <c r="G95" s="25">
        <f t="shared" si="1"/>
        <v>17754.131751082259</v>
      </c>
      <c r="H95" s="25">
        <f t="shared" si="12"/>
        <v>1972608.2454986414</v>
      </c>
      <c r="I95" s="25">
        <f>G95/((1+'How much will I make'!$C$5/12)^(Calculations!$B$1*12-Calculations!$A95))</f>
        <v>3522.4343092337872</v>
      </c>
      <c r="J95" s="25">
        <f t="shared" si="13"/>
        <v>322563.24205010547</v>
      </c>
      <c r="K95" s="25">
        <f t="shared" si="2"/>
        <v>88300.365602923863</v>
      </c>
      <c r="L95" s="25">
        <f t="shared" si="14"/>
        <v>12024362.866399786</v>
      </c>
      <c r="M95" s="25">
        <f>K95/((1+'How much will I make'!$C$5/12)^(Calculations!$B$1*12-Calculations!$A95))</f>
        <v>17518.864998772246</v>
      </c>
      <c r="N95" s="25">
        <f t="shared" si="15"/>
        <v>1943272.4627487611</v>
      </c>
      <c r="O95" s="25">
        <f t="shared" si="3"/>
        <v>436279.20971720322</v>
      </c>
      <c r="P95" s="25">
        <f t="shared" si="16"/>
        <v>73583934.433027998</v>
      </c>
      <c r="Q95" s="25">
        <f>O95/((1+'How much will I make'!$C$5/12)^(Calculations!$B$1*12-Calculations!$A95))</f>
        <v>86558.153237744278</v>
      </c>
      <c r="R95" s="25">
        <f t="shared" si="17"/>
        <v>11756531.743915964</v>
      </c>
      <c r="S95" s="25">
        <f t="shared" si="4"/>
        <v>2141553.3099541352</v>
      </c>
      <c r="T95" s="25">
        <f t="shared" si="18"/>
        <v>451860905.31638229</v>
      </c>
      <c r="U95" s="25">
        <f>S95/((1+'How much will I make'!$C$5/12)^(Calculations!$B$1*12-Calculations!$A95))</f>
        <v>424885.93414745771</v>
      </c>
      <c r="V95" s="25">
        <f t="shared" si="19"/>
        <v>71402353.790005758</v>
      </c>
      <c r="W95" s="25">
        <f t="shared" si="5"/>
        <v>10444285.505906817</v>
      </c>
      <c r="X95" s="25">
        <f t="shared" si="20"/>
        <v>2782806808.6372423</v>
      </c>
      <c r="Y95" s="25">
        <f>W95/((1+'How much will I make'!$C$5/12)^(Calculations!$B$1*12-Calculations!$A95))</f>
        <v>2072154.8154106</v>
      </c>
      <c r="Z95" s="25">
        <f t="shared" si="21"/>
        <v>435148956.94381177</v>
      </c>
      <c r="AA95" s="25">
        <f t="shared" si="6"/>
        <v>50610064.409688585</v>
      </c>
      <c r="AB95" s="25">
        <f t="shared" si="22"/>
        <v>17176772857.520407</v>
      </c>
      <c r="AC95" s="25">
        <f>AA95/((1+'How much will I make'!$C$5/12)^(Calculations!$B$1*12-Calculations!$A95))</f>
        <v>10041078.311720416</v>
      </c>
      <c r="AD95" s="25">
        <f t="shared" si="23"/>
        <v>2659591297.6754789</v>
      </c>
      <c r="AE95" s="25">
        <f t="shared" si="7"/>
        <v>243683381.97060421</v>
      </c>
      <c r="AF95" s="25">
        <f t="shared" si="24"/>
        <v>106190428738.4772</v>
      </c>
      <c r="AG95" s="25">
        <f>AE95/((1+'How much will I make'!$C$5/12)^(Calculations!$B$1*12-Calculations!$A95))</f>
        <v>48346982.960237093</v>
      </c>
      <c r="AH95" s="25">
        <f t="shared" si="25"/>
        <v>16291875420.432873</v>
      </c>
    </row>
    <row r="96" spans="1:34" ht="15.75" customHeight="1">
      <c r="A96" s="22">
        <f t="shared" si="8"/>
        <v>92</v>
      </c>
      <c r="B96" s="22">
        <f t="shared" si="32"/>
        <v>703.55021132812522</v>
      </c>
      <c r="C96" s="25">
        <f t="shared" si="0"/>
        <v>3531.3912189059652</v>
      </c>
      <c r="D96" s="25">
        <f t="shared" si="10"/>
        <v>328514.37551979203</v>
      </c>
      <c r="E96" s="25">
        <f>$C96/((1+'How much will I make'!$C$5/12)^(Calculations!$B$1*12-Calculations!$A96))</f>
        <v>703.55021132812522</v>
      </c>
      <c r="F96" s="25">
        <f t="shared" si="11"/>
        <v>54480.452409374979</v>
      </c>
      <c r="G96" s="25">
        <f t="shared" si="1"/>
        <v>17607.403389503066</v>
      </c>
      <c r="H96" s="25">
        <f t="shared" si="12"/>
        <v>1990215.6488881444</v>
      </c>
      <c r="I96" s="25">
        <f>G96/((1+'How much will I make'!$C$5/12)^(Calculations!$B$1*12-Calculations!$A96))</f>
        <v>3507.8787955592675</v>
      </c>
      <c r="J96" s="25">
        <f t="shared" si="13"/>
        <v>326071.12084566476</v>
      </c>
      <c r="K96" s="25">
        <f t="shared" si="2"/>
        <v>87210.237632517412</v>
      </c>
      <c r="L96" s="25">
        <f t="shared" si="14"/>
        <v>12111573.104032302</v>
      </c>
      <c r="M96" s="25">
        <f>K96/((1+'How much will I make'!$C$5/12)^(Calculations!$B$1*12-Calculations!$A96))</f>
        <v>17374.676809481942</v>
      </c>
      <c r="N96" s="25">
        <f t="shared" si="15"/>
        <v>1960647.1395582431</v>
      </c>
      <c r="O96" s="25">
        <f t="shared" si="3"/>
        <v>429127.09152511792</v>
      </c>
      <c r="P96" s="25">
        <f t="shared" si="16"/>
        <v>74013061.52455312</v>
      </c>
      <c r="Q96" s="25">
        <f>O96/((1+'How much will I make'!$C$5/12)^(Calculations!$B$1*12-Calculations!$A96))</f>
        <v>85493.913648755624</v>
      </c>
      <c r="R96" s="25">
        <f t="shared" si="17"/>
        <v>11842025.65756472</v>
      </c>
      <c r="S96" s="25">
        <f t="shared" si="4"/>
        <v>2097848.1403632346</v>
      </c>
      <c r="T96" s="25">
        <f t="shared" si="18"/>
        <v>453958753.45674551</v>
      </c>
      <c r="U96" s="25">
        <f>S96/((1+'How much will I make'!$C$5/12)^(Calculations!$B$1*12-Calculations!$A96))</f>
        <v>417949.02093688701</v>
      </c>
      <c r="V96" s="25">
        <f t="shared" si="19"/>
        <v>71820302.81094265</v>
      </c>
      <c r="W96" s="25">
        <f t="shared" si="5"/>
        <v>10189546.835031042</v>
      </c>
      <c r="X96" s="25">
        <f t="shared" si="20"/>
        <v>2792996355.4722733</v>
      </c>
      <c r="Y96" s="25">
        <f>W96/((1+'How much will I make'!$C$5/12)^(Calculations!$B$1*12-Calculations!$A96))</f>
        <v>2030037.8476177021</v>
      </c>
      <c r="Z96" s="25">
        <f t="shared" si="21"/>
        <v>437178994.79142946</v>
      </c>
      <c r="AA96" s="25">
        <f t="shared" si="6"/>
        <v>49175771.086337082</v>
      </c>
      <c r="AB96" s="25">
        <f t="shared" si="22"/>
        <v>17225948628.606743</v>
      </c>
      <c r="AC96" s="25">
        <f>AA96/((1+'How much will I make'!$C$5/12)^(Calculations!$B$1*12-Calculations!$A96))</f>
        <v>9797165.4782373291</v>
      </c>
      <c r="AD96" s="25">
        <f t="shared" si="23"/>
        <v>2669388463.1537161</v>
      </c>
      <c r="AE96" s="25">
        <f t="shared" si="7"/>
        <v>235822627.71348798</v>
      </c>
      <c r="AF96" s="25">
        <f t="shared" si="24"/>
        <v>106426251366.19069</v>
      </c>
      <c r="AG96" s="25">
        <f>AE96/((1+'How much will I make'!$C$5/12)^(Calculations!$B$1*12-Calculations!$A96))</f>
        <v>46982350.376682028</v>
      </c>
      <c r="AH96" s="25">
        <f t="shared" si="25"/>
        <v>16338857770.809555</v>
      </c>
    </row>
    <row r="97" spans="1:34" ht="15.75" customHeight="1">
      <c r="A97" s="22">
        <f t="shared" si="8"/>
        <v>93</v>
      </c>
      <c r="B97" s="22">
        <f t="shared" si="32"/>
        <v>703.55021132812522</v>
      </c>
      <c r="C97" s="25">
        <f t="shared" si="0"/>
        <v>3516.7381433088453</v>
      </c>
      <c r="D97" s="25">
        <f t="shared" si="10"/>
        <v>332031.11366310087</v>
      </c>
      <c r="E97" s="25">
        <f>$C97/((1+'How much will I make'!$C$5/12)^(Calculations!$B$1*12-Calculations!$A97))</f>
        <v>703.55021132812522</v>
      </c>
      <c r="F97" s="25">
        <f t="shared" si="11"/>
        <v>55184.002620703104</v>
      </c>
      <c r="G97" s="25">
        <f t="shared" si="1"/>
        <v>17461.887659011307</v>
      </c>
      <c r="H97" s="25">
        <f t="shared" si="12"/>
        <v>2007677.5365471558</v>
      </c>
      <c r="I97" s="25">
        <f>G97/((1+'How much will I make'!$C$5/12)^(Calculations!$B$1*12-Calculations!$A97))</f>
        <v>3493.383428635469</v>
      </c>
      <c r="J97" s="25">
        <f t="shared" si="13"/>
        <v>329564.50427430024</v>
      </c>
      <c r="K97" s="25">
        <f t="shared" si="2"/>
        <v>86133.56803211596</v>
      </c>
      <c r="L97" s="25">
        <f t="shared" si="14"/>
        <v>12197706.672064418</v>
      </c>
      <c r="M97" s="25">
        <f>K97/((1+'How much will I make'!$C$5/12)^(Calculations!$B$1*12-Calculations!$A97))</f>
        <v>17231.675354259867</v>
      </c>
      <c r="N97" s="25">
        <f t="shared" si="15"/>
        <v>1977878.8149125029</v>
      </c>
      <c r="O97" s="25">
        <f t="shared" si="3"/>
        <v>422092.22117224714</v>
      </c>
      <c r="P97" s="25">
        <f t="shared" si="16"/>
        <v>74435153.745725363</v>
      </c>
      <c r="Q97" s="25">
        <f>O97/((1+'How much will I make'!$C$5/12)^(Calculations!$B$1*12-Calculations!$A97))</f>
        <v>84442.75897274632</v>
      </c>
      <c r="R97" s="25">
        <f t="shared" si="17"/>
        <v>11926468.416537467</v>
      </c>
      <c r="S97" s="25">
        <f t="shared" si="4"/>
        <v>2055034.9130088827</v>
      </c>
      <c r="T97" s="25">
        <f t="shared" si="18"/>
        <v>456013788.36975437</v>
      </c>
      <c r="U97" s="25">
        <f>S97/((1+'How much will I make'!$C$5/12)^(Calculations!$B$1*12-Calculations!$A97))</f>
        <v>411125.36345220305</v>
      </c>
      <c r="V97" s="25">
        <f t="shared" si="19"/>
        <v>72231428.174394846</v>
      </c>
      <c r="W97" s="25">
        <f t="shared" si="5"/>
        <v>9941021.3024693113</v>
      </c>
      <c r="X97" s="25">
        <f t="shared" si="20"/>
        <v>2802937376.7747426</v>
      </c>
      <c r="Y97" s="25">
        <f>W97/((1+'How much will I make'!$C$5/12)^(Calculations!$B$1*12-Calculations!$A97))</f>
        <v>1988776.9157555539</v>
      </c>
      <c r="Z97" s="25">
        <f t="shared" si="21"/>
        <v>439167771.70718503</v>
      </c>
      <c r="AA97" s="25">
        <f t="shared" si="6"/>
        <v>47782125.751906492</v>
      </c>
      <c r="AB97" s="25">
        <f t="shared" si="22"/>
        <v>17273730754.35865</v>
      </c>
      <c r="AC97" s="25">
        <f>AA97/((1+'How much will I make'!$C$5/12)^(Calculations!$B$1*12-Calculations!$A97))</f>
        <v>9559177.652855048</v>
      </c>
      <c r="AD97" s="25">
        <f t="shared" si="23"/>
        <v>2678947640.806571</v>
      </c>
      <c r="AE97" s="25">
        <f t="shared" si="7"/>
        <v>228215446.1743432</v>
      </c>
      <c r="AF97" s="25">
        <f t="shared" si="24"/>
        <v>106654466812.36504</v>
      </c>
      <c r="AG97" s="25">
        <f>AE97/((1+'How much will I make'!$C$5/12)^(Calculations!$B$1*12-Calculations!$A97))</f>
        <v>45656235.648307927</v>
      </c>
      <c r="AH97" s="25">
        <f t="shared" si="25"/>
        <v>16384514006.457863</v>
      </c>
    </row>
    <row r="98" spans="1:34" ht="15.75" customHeight="1">
      <c r="A98" s="22">
        <f t="shared" si="8"/>
        <v>94</v>
      </c>
      <c r="B98" s="22">
        <f t="shared" si="32"/>
        <v>703.55021132812522</v>
      </c>
      <c r="C98" s="25">
        <f t="shared" si="0"/>
        <v>3502.1458688552816</v>
      </c>
      <c r="D98" s="25">
        <f t="shared" si="10"/>
        <v>335533.25953195617</v>
      </c>
      <c r="E98" s="25">
        <f>$C98/((1+'How much will I make'!$C$5/12)^(Calculations!$B$1*12-Calculations!$A98))</f>
        <v>703.55021132812522</v>
      </c>
      <c r="F98" s="25">
        <f t="shared" si="11"/>
        <v>55887.55283203123</v>
      </c>
      <c r="G98" s="25">
        <f t="shared" si="1"/>
        <v>17317.574537862456</v>
      </c>
      <c r="H98" s="25">
        <f t="shared" si="12"/>
        <v>2024995.1110850184</v>
      </c>
      <c r="I98" s="25">
        <f>G98/((1+'How much will I make'!$C$5/12)^(Calculations!$B$1*12-Calculations!$A98))</f>
        <v>3478.9479599220995</v>
      </c>
      <c r="J98" s="25">
        <f t="shared" si="13"/>
        <v>333043.45223422232</v>
      </c>
      <c r="K98" s="25">
        <f t="shared" si="2"/>
        <v>85070.190649003431</v>
      </c>
      <c r="L98" s="25">
        <f t="shared" si="14"/>
        <v>12282776.862713421</v>
      </c>
      <c r="M98" s="25">
        <f>K98/((1+'How much will I make'!$C$5/12)^(Calculations!$B$1*12-Calculations!$A98))</f>
        <v>17089.850865747441</v>
      </c>
      <c r="N98" s="25">
        <f t="shared" si="15"/>
        <v>1994968.6657782504</v>
      </c>
      <c r="O98" s="25">
        <f t="shared" si="3"/>
        <v>415172.67656286608</v>
      </c>
      <c r="P98" s="25">
        <f t="shared" si="16"/>
        <v>74850326.422288224</v>
      </c>
      <c r="Q98" s="25">
        <f>O98/((1+'How much will I make'!$C$5/12)^(Calculations!$B$1*12-Calculations!$A98))</f>
        <v>83404.528329638793</v>
      </c>
      <c r="R98" s="25">
        <f t="shared" si="17"/>
        <v>12009872.944867106</v>
      </c>
      <c r="S98" s="25">
        <f t="shared" si="4"/>
        <v>2013095.4249882938</v>
      </c>
      <c r="T98" s="25">
        <f t="shared" si="18"/>
        <v>458026883.79474264</v>
      </c>
      <c r="U98" s="25">
        <f>S98/((1+'How much will I make'!$C$5/12)^(Calculations!$B$1*12-Calculations!$A98))</f>
        <v>404413.11262033047</v>
      </c>
      <c r="V98" s="25">
        <f t="shared" si="19"/>
        <v>72635841.28701517</v>
      </c>
      <c r="W98" s="25">
        <f t="shared" si="5"/>
        <v>9698557.3682627417</v>
      </c>
      <c r="X98" s="25">
        <f t="shared" si="20"/>
        <v>2812635934.1430054</v>
      </c>
      <c r="Y98" s="25">
        <f>W98/((1+'How much will I make'!$C$5/12)^(Calculations!$B$1*12-Calculations!$A98))</f>
        <v>1948354.6207198717</v>
      </c>
      <c r="Z98" s="25">
        <f t="shared" si="21"/>
        <v>441116126.32790488</v>
      </c>
      <c r="AA98" s="25">
        <f t="shared" si="6"/>
        <v>46427976.439099431</v>
      </c>
      <c r="AB98" s="25">
        <f t="shared" si="22"/>
        <v>17320158730.797749</v>
      </c>
      <c r="AC98" s="25">
        <f>AA98/((1+'How much will I make'!$C$5/12)^(Calculations!$B$1*12-Calculations!$A98))</f>
        <v>9326970.9082512818</v>
      </c>
      <c r="AD98" s="25">
        <f t="shared" si="23"/>
        <v>2688274611.7148223</v>
      </c>
      <c r="AE98" s="25">
        <f t="shared" si="7"/>
        <v>220853657.58807403</v>
      </c>
      <c r="AF98" s="25">
        <f t="shared" si="24"/>
        <v>106875320469.95311</v>
      </c>
      <c r="AG98" s="25">
        <f>AE98/((1+'How much will I make'!$C$5/12)^(Calculations!$B$1*12-Calculations!$A98))</f>
        <v>44367551.577589549</v>
      </c>
      <c r="AH98" s="25">
        <f t="shared" si="25"/>
        <v>16428881558.035452</v>
      </c>
    </row>
    <row r="99" spans="1:34" ht="15.75" customHeight="1">
      <c r="A99" s="22">
        <f t="shared" si="8"/>
        <v>95</v>
      </c>
      <c r="B99" s="22">
        <f t="shared" si="32"/>
        <v>703.55021132812522</v>
      </c>
      <c r="C99" s="25">
        <f t="shared" si="0"/>
        <v>3487.6141432583709</v>
      </c>
      <c r="D99" s="25">
        <f t="shared" si="10"/>
        <v>339020.87367521453</v>
      </c>
      <c r="E99" s="25">
        <f>$C99/((1+'How much will I make'!$C$5/12)^(Calculations!$B$1*12-Calculations!$A99))</f>
        <v>703.55021132812522</v>
      </c>
      <c r="F99" s="25">
        <f t="shared" si="11"/>
        <v>56591.103043359355</v>
      </c>
      <c r="G99" s="25">
        <f t="shared" si="1"/>
        <v>17174.454087136321</v>
      </c>
      <c r="H99" s="25">
        <f t="shared" si="12"/>
        <v>2042169.5651721547</v>
      </c>
      <c r="I99" s="25">
        <f>G99/((1+'How much will I make'!$C$5/12)^(Calculations!$B$1*12-Calculations!$A99))</f>
        <v>3464.5721419058937</v>
      </c>
      <c r="J99" s="25">
        <f t="shared" si="13"/>
        <v>336508.02437612822</v>
      </c>
      <c r="K99" s="25">
        <f t="shared" si="2"/>
        <v>84019.941381731769</v>
      </c>
      <c r="L99" s="25">
        <f t="shared" si="14"/>
        <v>12366796.804095153</v>
      </c>
      <c r="M99" s="25">
        <f>K99/((1+'How much will I make'!$C$5/12)^(Calculations!$B$1*12-Calculations!$A99))</f>
        <v>16949.193656975858</v>
      </c>
      <c r="N99" s="25">
        <f t="shared" si="15"/>
        <v>2011917.8594352263</v>
      </c>
      <c r="O99" s="25">
        <f t="shared" si="3"/>
        <v>408366.56711101579</v>
      </c>
      <c r="P99" s="25">
        <f t="shared" si="16"/>
        <v>75258692.989399239</v>
      </c>
      <c r="Q99" s="25">
        <f>O99/((1+'How much will I make'!$C$5/12)^(Calculations!$B$1*12-Calculations!$A99))</f>
        <v>82379.062817389145</v>
      </c>
      <c r="R99" s="25">
        <f t="shared" si="17"/>
        <v>12092252.007684495</v>
      </c>
      <c r="S99" s="25">
        <f t="shared" si="4"/>
        <v>1972011.8448864922</v>
      </c>
      <c r="T99" s="25">
        <f t="shared" si="18"/>
        <v>459998895.63962913</v>
      </c>
      <c r="U99" s="25">
        <f>S99/((1+'How much will I make'!$C$5/12)^(Calculations!$B$1*12-Calculations!$A99))</f>
        <v>397810.44955714158</v>
      </c>
      <c r="V99" s="25">
        <f t="shared" si="19"/>
        <v>73033651.73657231</v>
      </c>
      <c r="W99" s="25">
        <f t="shared" si="5"/>
        <v>9462007.1885490157</v>
      </c>
      <c r="X99" s="25">
        <f t="shared" si="20"/>
        <v>2822097941.3315544</v>
      </c>
      <c r="Y99" s="25">
        <f>W99/((1+'How much will I make'!$C$5/12)^(Calculations!$B$1*12-Calculations!$A99))</f>
        <v>1908753.9170467039</v>
      </c>
      <c r="Z99" s="25">
        <f t="shared" si="21"/>
        <v>443024880.24495161</v>
      </c>
      <c r="AA99" s="25">
        <f t="shared" si="6"/>
        <v>45112203.827465035</v>
      </c>
      <c r="AB99" s="25">
        <f t="shared" si="22"/>
        <v>17365270934.625214</v>
      </c>
      <c r="AC99" s="25">
        <f>AA99/((1+'How much will I make'!$C$5/12)^(Calculations!$B$1*12-Calculations!$A99))</f>
        <v>9100404.8133140057</v>
      </c>
      <c r="AD99" s="25">
        <f t="shared" si="23"/>
        <v>2697375016.5281363</v>
      </c>
      <c r="AE99" s="25">
        <f t="shared" si="7"/>
        <v>213729346.05297485</v>
      </c>
      <c r="AF99" s="25">
        <f t="shared" si="24"/>
        <v>107089049816.00609</v>
      </c>
      <c r="AG99" s="25">
        <f>AE99/((1+'How much will I make'!$C$5/12)^(Calculations!$B$1*12-Calculations!$A99))</f>
        <v>43115241.654028565</v>
      </c>
      <c r="AH99" s="25">
        <f t="shared" si="25"/>
        <v>16471996799.68948</v>
      </c>
    </row>
    <row r="100" spans="1:34" ht="15.75" customHeight="1">
      <c r="A100" s="22">
        <f t="shared" si="8"/>
        <v>96</v>
      </c>
      <c r="B100" s="22">
        <f t="shared" si="32"/>
        <v>703.55021132812522</v>
      </c>
      <c r="C100" s="25">
        <f t="shared" si="0"/>
        <v>3473.1427152780461</v>
      </c>
      <c r="D100" s="25">
        <f t="shared" si="10"/>
        <v>342494.01639049256</v>
      </c>
      <c r="E100" s="25">
        <f>$C100/((1+'How much will I make'!$C$5/12)^(Calculations!$B$1*12-Calculations!$A100))</f>
        <v>703.55021132812522</v>
      </c>
      <c r="F100" s="25">
        <f t="shared" si="11"/>
        <v>57294.653254687481</v>
      </c>
      <c r="G100" s="25">
        <f t="shared" si="1"/>
        <v>17032.51645005255</v>
      </c>
      <c r="H100" s="25">
        <f t="shared" si="12"/>
        <v>2059202.0816222073</v>
      </c>
      <c r="I100" s="25">
        <f>G100/((1+'How much will I make'!$C$5/12)^(Calculations!$B$1*12-Calculations!$A100))</f>
        <v>3450.2557280963647</v>
      </c>
      <c r="J100" s="25">
        <f t="shared" si="13"/>
        <v>339958.28010422457</v>
      </c>
      <c r="K100" s="25">
        <f t="shared" si="2"/>
        <v>82982.658154796809</v>
      </c>
      <c r="L100" s="25">
        <f t="shared" si="14"/>
        <v>12449779.46224995</v>
      </c>
      <c r="M100" s="25">
        <f>K100/((1+'How much will I make'!$C$5/12)^(Calculations!$B$1*12-Calculations!$A100))</f>
        <v>16809.694120704451</v>
      </c>
      <c r="N100" s="25">
        <f t="shared" si="15"/>
        <v>2028727.5535559307</v>
      </c>
      <c r="O100" s="25">
        <f t="shared" si="3"/>
        <v>401672.03322395001</v>
      </c>
      <c r="P100" s="25">
        <f t="shared" si="16"/>
        <v>75660365.022623196</v>
      </c>
      <c r="Q100" s="25">
        <f>O100/((1+'How much will I make'!$C$5/12)^(Calculations!$B$1*12-Calculations!$A100))</f>
        <v>81366.205487667161</v>
      </c>
      <c r="R100" s="25">
        <f t="shared" si="17"/>
        <v>12173618.213172162</v>
      </c>
      <c r="S100" s="25">
        <f t="shared" si="4"/>
        <v>1931766.705194931</v>
      </c>
      <c r="T100" s="25">
        <f t="shared" si="18"/>
        <v>461930662.34482408</v>
      </c>
      <c r="U100" s="25">
        <f>S100/((1+'How much will I make'!$C$5/12)^(Calculations!$B$1*12-Calculations!$A100))</f>
        <v>391315.58507457591</v>
      </c>
      <c r="V100" s="25">
        <f t="shared" si="19"/>
        <v>73424967.321646884</v>
      </c>
      <c r="W100" s="25">
        <f t="shared" si="5"/>
        <v>9231226.5254136752</v>
      </c>
      <c r="X100" s="25">
        <f t="shared" si="20"/>
        <v>2831329167.8569679</v>
      </c>
      <c r="Y100" s="25">
        <f>W100/((1+'How much will I make'!$C$5/12)^(Calculations!$B$1*12-Calculations!$A100))</f>
        <v>1869958.1057246167</v>
      </c>
      <c r="Z100" s="25">
        <f t="shared" si="21"/>
        <v>444894838.35067624</v>
      </c>
      <c r="AA100" s="25">
        <f t="shared" si="6"/>
        <v>43833720.318184651</v>
      </c>
      <c r="AB100" s="25">
        <f t="shared" si="22"/>
        <v>17409104654.943398</v>
      </c>
      <c r="AC100" s="25">
        <f>AA100/((1+'How much will I make'!$C$5/12)^(Calculations!$B$1*12-Calculations!$A100))</f>
        <v>8879342.348213261</v>
      </c>
      <c r="AD100" s="25">
        <f t="shared" si="23"/>
        <v>2706254358.8763494</v>
      </c>
      <c r="AE100" s="25">
        <f t="shared" si="7"/>
        <v>206834851.01900789</v>
      </c>
      <c r="AF100" s="25">
        <f t="shared" si="24"/>
        <v>107295884667.0251</v>
      </c>
      <c r="AG100" s="25">
        <f>AE100/((1+'How much will I make'!$C$5/12)^(Calculations!$B$1*12-Calculations!$A100))</f>
        <v>41898279.187987424</v>
      </c>
      <c r="AH100" s="25">
        <f t="shared" si="25"/>
        <v>16513895078.877468</v>
      </c>
    </row>
    <row r="101" spans="1:34" ht="15.75" customHeight="1">
      <c r="A101" s="22">
        <f t="shared" si="8"/>
        <v>97</v>
      </c>
      <c r="B101" s="22">
        <f>B100*(1+'How much will I make'!$C$4)</f>
        <v>738.72772189453156</v>
      </c>
      <c r="C101" s="25">
        <f t="shared" si="0"/>
        <v>3631.6679014525653</v>
      </c>
      <c r="D101" s="25">
        <f t="shared" si="10"/>
        <v>346125.68429194513</v>
      </c>
      <c r="E101" s="25">
        <f>$C101/((1+'How much will I make'!$C$5/12)^(Calculations!$B$1*12-Calculations!$A101))</f>
        <v>738.72772189453156</v>
      </c>
      <c r="F101" s="25">
        <f t="shared" si="11"/>
        <v>58033.380976582011</v>
      </c>
      <c r="G101" s="25">
        <f t="shared" si="1"/>
        <v>17736.339443856377</v>
      </c>
      <c r="H101" s="25">
        <f t="shared" si="12"/>
        <v>2076938.4210660637</v>
      </c>
      <c r="I101" s="25">
        <f>G101/((1+'How much will I make'!$C$5/12)^(Calculations!$B$1*12-Calculations!$A101))</f>
        <v>3607.7983966726642</v>
      </c>
      <c r="J101" s="25">
        <f t="shared" si="13"/>
        <v>343566.07850089722</v>
      </c>
      <c r="K101" s="25">
        <f t="shared" si="2"/>
        <v>86056.089938307821</v>
      </c>
      <c r="L101" s="25">
        <f t="shared" si="14"/>
        <v>12535835.552188257</v>
      </c>
      <c r="M101" s="25">
        <f>K101/((1+'How much will I make'!$C$5/12)^(Calculations!$B$1*12-Calculations!$A101))</f>
        <v>17504.909865202717</v>
      </c>
      <c r="N101" s="25">
        <f t="shared" si="15"/>
        <v>2046232.4634211333</v>
      </c>
      <c r="O101" s="25">
        <f t="shared" si="3"/>
        <v>414841.60808375169</v>
      </c>
      <c r="P101" s="25">
        <f t="shared" si="16"/>
        <v>76075206.630706951</v>
      </c>
      <c r="Q101" s="25">
        <f>O101/((1+'How much will I make'!$C$5/12)^(Calculations!$B$1*12-Calculations!$A101))</f>
        <v>84384.091387926906</v>
      </c>
      <c r="R101" s="25">
        <f t="shared" si="17"/>
        <v>12258002.304560089</v>
      </c>
      <c r="S101" s="25">
        <f t="shared" si="4"/>
        <v>1986960.0396290724</v>
      </c>
      <c r="T101" s="25">
        <f t="shared" si="18"/>
        <v>463917622.38445318</v>
      </c>
      <c r="U101" s="25">
        <f>S101/((1+'How much will I make'!$C$5/12)^(Calculations!$B$1*12-Calculations!$A101))</f>
        <v>404173.09715559758</v>
      </c>
      <c r="V101" s="25">
        <f t="shared" si="19"/>
        <v>73829140.418802485</v>
      </c>
      <c r="W101" s="25">
        <f t="shared" si="5"/>
        <v>9456378.3918871824</v>
      </c>
      <c r="X101" s="25">
        <f t="shared" si="20"/>
        <v>2840785546.2488551</v>
      </c>
      <c r="Y101" s="25">
        <f>W101/((1+'How much will I make'!$C$5/12)^(Calculations!$B$1*12-Calculations!$A101))</f>
        <v>1923548.3685106265</v>
      </c>
      <c r="Z101" s="25">
        <f t="shared" si="21"/>
        <v>446818386.71918684</v>
      </c>
      <c r="AA101" s="25">
        <f t="shared" si="6"/>
        <v>44721042.591832131</v>
      </c>
      <c r="AB101" s="25">
        <f t="shared" si="22"/>
        <v>17453825697.535229</v>
      </c>
      <c r="AC101" s="25">
        <f>AA101/((1+'How much will I make'!$C$5/12)^(Calculations!$B$1*12-Calculations!$A101))</f>
        <v>9096832.3126128148</v>
      </c>
      <c r="AD101" s="25">
        <f t="shared" si="23"/>
        <v>2715351191.1889625</v>
      </c>
      <c r="AE101" s="25">
        <f t="shared" si="7"/>
        <v>210170897.00318542</v>
      </c>
      <c r="AF101" s="25">
        <f t="shared" si="24"/>
        <v>107506055564.02829</v>
      </c>
      <c r="AG101" s="25">
        <f>AE101/((1+'How much will I make'!$C$5/12)^(Calculations!$B$1*12-Calculations!$A101))</f>
        <v>42751449.792420208</v>
      </c>
      <c r="AH101" s="25">
        <f t="shared" si="25"/>
        <v>16556646528.669888</v>
      </c>
    </row>
    <row r="102" spans="1:34" ht="15.75" customHeight="1">
      <c r="A102" s="22">
        <f t="shared" si="8"/>
        <v>98</v>
      </c>
      <c r="B102" s="22">
        <f t="shared" ref="B102:B112" si="33">B101</f>
        <v>738.72772189453156</v>
      </c>
      <c r="C102" s="25">
        <f t="shared" si="0"/>
        <v>3616.5987400357471</v>
      </c>
      <c r="D102" s="25">
        <f t="shared" si="10"/>
        <v>349742.28303198086</v>
      </c>
      <c r="E102" s="25">
        <f>$C102/((1+'How much will I make'!$C$5/12)^(Calculations!$B$1*12-Calculations!$A102))</f>
        <v>738.72772189453156</v>
      </c>
      <c r="F102" s="25">
        <f t="shared" si="11"/>
        <v>58772.108698476542</v>
      </c>
      <c r="G102" s="25">
        <f t="shared" si="1"/>
        <v>17589.75812613856</v>
      </c>
      <c r="H102" s="25">
        <f t="shared" si="12"/>
        <v>2094528.1791922022</v>
      </c>
      <c r="I102" s="25">
        <f>G102/((1+'How much will I make'!$C$5/12)^(Calculations!$B$1*12-Calculations!$A102))</f>
        <v>3592.8901388351774</v>
      </c>
      <c r="J102" s="25">
        <f t="shared" si="13"/>
        <v>347158.9686397324</v>
      </c>
      <c r="K102" s="25">
        <f t="shared" si="2"/>
        <v>84993.669074871927</v>
      </c>
      <c r="L102" s="25">
        <f t="shared" si="14"/>
        <v>12620829.221263129</v>
      </c>
      <c r="M102" s="25">
        <f>K102/((1+'How much will I make'!$C$5/12)^(Calculations!$B$1*12-Calculations!$A102))</f>
        <v>17360.836532978839</v>
      </c>
      <c r="N102" s="25">
        <f t="shared" si="15"/>
        <v>2063593.2999541122</v>
      </c>
      <c r="O102" s="25">
        <f t="shared" si="3"/>
        <v>408040.92598401825</v>
      </c>
      <c r="P102" s="25">
        <f t="shared" si="16"/>
        <v>76483247.556690976</v>
      </c>
      <c r="Q102" s="25">
        <f>O102/((1+'How much will I make'!$C$5/12)^(Calculations!$B$1*12-Calculations!$A102))</f>
        <v>83346.582067583644</v>
      </c>
      <c r="R102" s="25">
        <f t="shared" si="17"/>
        <v>12341348.886627672</v>
      </c>
      <c r="S102" s="25">
        <f t="shared" si="4"/>
        <v>1946409.8347386834</v>
      </c>
      <c r="T102" s="25">
        <f t="shared" si="18"/>
        <v>465864032.21919185</v>
      </c>
      <c r="U102" s="25">
        <f>S102/((1+'How much will I make'!$C$5/12)^(Calculations!$B$1*12-Calculations!$A102))</f>
        <v>397574.35271224123</v>
      </c>
      <c r="V102" s="25">
        <f t="shared" si="19"/>
        <v>74226714.771514729</v>
      </c>
      <c r="W102" s="25">
        <f t="shared" si="5"/>
        <v>9225735.0164752994</v>
      </c>
      <c r="X102" s="25">
        <f t="shared" si="20"/>
        <v>2850011281.2653303</v>
      </c>
      <c r="Y102" s="25">
        <f>W102/((1+'How much will I make'!$C$5/12)^(Calculations!$B$1*12-Calculations!$A102))</f>
        <v>1884451.8569555336</v>
      </c>
      <c r="Z102" s="25">
        <f t="shared" si="21"/>
        <v>448702838.57614237</v>
      </c>
      <c r="AA102" s="25">
        <f t="shared" si="6"/>
        <v>43453644.623642564</v>
      </c>
      <c r="AB102" s="25">
        <f t="shared" si="22"/>
        <v>17497279342.158871</v>
      </c>
      <c r="AC102" s="25">
        <f>AA102/((1+'How much will I make'!$C$5/12)^(Calculations!$B$1*12-Calculations!$A102))</f>
        <v>8875856.6289056297</v>
      </c>
      <c r="AD102" s="25">
        <f t="shared" si="23"/>
        <v>2724227047.8178682</v>
      </c>
      <c r="AE102" s="25">
        <f t="shared" si="7"/>
        <v>203391190.6482439</v>
      </c>
      <c r="AF102" s="25">
        <f t="shared" si="24"/>
        <v>107709446754.67653</v>
      </c>
      <c r="AG102" s="25">
        <f>AE102/((1+'How much will I make'!$C$5/12)^(Calculations!$B$1*12-Calculations!$A102))</f>
        <v>41544755.645053528</v>
      </c>
      <c r="AH102" s="25">
        <f t="shared" si="25"/>
        <v>16598191284.314941</v>
      </c>
    </row>
    <row r="103" spans="1:34" ht="15.75" customHeight="1">
      <c r="A103" s="22">
        <f t="shared" si="8"/>
        <v>99</v>
      </c>
      <c r="B103" s="22">
        <f t="shared" si="33"/>
        <v>738.72772189453156</v>
      </c>
      <c r="C103" s="25">
        <f t="shared" si="0"/>
        <v>3601.5921062596653</v>
      </c>
      <c r="D103" s="25">
        <f t="shared" si="10"/>
        <v>353343.87513824052</v>
      </c>
      <c r="E103" s="25">
        <f>$C103/((1+'How much will I make'!$C$5/12)^(Calculations!$B$1*12-Calculations!$A103))</f>
        <v>738.72772189453156</v>
      </c>
      <c r="F103" s="25">
        <f t="shared" si="11"/>
        <v>59510.836420371073</v>
      </c>
      <c r="G103" s="25">
        <f t="shared" si="1"/>
        <v>17444.388224269642</v>
      </c>
      <c r="H103" s="25">
        <f t="shared" si="12"/>
        <v>2111972.5674164719</v>
      </c>
      <c r="I103" s="25">
        <f>G103/((1+'How much will I make'!$C$5/12)^(Calculations!$B$1*12-Calculations!$A103))</f>
        <v>3578.0434853689153</v>
      </c>
      <c r="J103" s="25">
        <f t="shared" si="13"/>
        <v>350737.01212510129</v>
      </c>
      <c r="K103" s="25">
        <f t="shared" si="2"/>
        <v>83944.364518392002</v>
      </c>
      <c r="L103" s="25">
        <f t="shared" si="14"/>
        <v>12704773.585781522</v>
      </c>
      <c r="M103" s="25">
        <f>K103/((1+'How much will I make'!$C$5/12)^(Calculations!$B$1*12-Calculations!$A103))</f>
        <v>17217.948989497527</v>
      </c>
      <c r="N103" s="25">
        <f t="shared" si="15"/>
        <v>2080811.2489436097</v>
      </c>
      <c r="O103" s="25">
        <f t="shared" si="3"/>
        <v>401351.73047608352</v>
      </c>
      <c r="P103" s="25">
        <f t="shared" si="16"/>
        <v>76884599.287167057</v>
      </c>
      <c r="Q103" s="25">
        <f>O103/((1+'How much will I make'!$C$5/12)^(Calculations!$B$1*12-Calculations!$A103))</f>
        <v>82321.829009375637</v>
      </c>
      <c r="R103" s="25">
        <f t="shared" si="17"/>
        <v>12423670.715637049</v>
      </c>
      <c r="S103" s="25">
        <f t="shared" si="4"/>
        <v>1906687.1850501392</v>
      </c>
      <c r="T103" s="25">
        <f t="shared" si="18"/>
        <v>467770719.40424198</v>
      </c>
      <c r="U103" s="25">
        <f>S103/((1+'How much will I make'!$C$5/12)^(Calculations!$B$1*12-Calculations!$A103))</f>
        <v>391083.34287204139</v>
      </c>
      <c r="V103" s="25">
        <f t="shared" si="19"/>
        <v>74617798.114386767</v>
      </c>
      <c r="W103" s="25">
        <f t="shared" si="5"/>
        <v>9000717.0892441962</v>
      </c>
      <c r="X103" s="25">
        <f t="shared" si="20"/>
        <v>2859011998.3545747</v>
      </c>
      <c r="Y103" s="25">
        <f>W103/((1+'How much will I make'!$C$5/12)^(Calculations!$B$1*12-Calculations!$A103))</f>
        <v>1846149.9899442424</v>
      </c>
      <c r="Z103" s="25">
        <f t="shared" si="21"/>
        <v>450548988.56608659</v>
      </c>
      <c r="AA103" s="25">
        <f t="shared" si="6"/>
        <v>42222164.8164948</v>
      </c>
      <c r="AB103" s="25">
        <f t="shared" si="22"/>
        <v>17539501506.975365</v>
      </c>
      <c r="AC103" s="25">
        <f>AA103/((1+'How much will I make'!$C$5/12)^(Calculations!$B$1*12-Calculations!$A103))</f>
        <v>8660248.7755718883</v>
      </c>
      <c r="AD103" s="25">
        <f t="shared" si="23"/>
        <v>2732887296.5934401</v>
      </c>
      <c r="AE103" s="25">
        <f t="shared" si="7"/>
        <v>196830184.49830058</v>
      </c>
      <c r="AF103" s="25">
        <f t="shared" si="24"/>
        <v>107906276939.17484</v>
      </c>
      <c r="AG103" s="25">
        <f>AE103/((1+'How much will I make'!$C$5/12)^(Calculations!$B$1*12-Calculations!$A103))</f>
        <v>40372121.413136698</v>
      </c>
      <c r="AH103" s="25">
        <f t="shared" si="25"/>
        <v>16638563405.728079</v>
      </c>
    </row>
    <row r="104" spans="1:34" ht="15.75" customHeight="1">
      <c r="A104" s="22">
        <f t="shared" si="8"/>
        <v>100</v>
      </c>
      <c r="B104" s="22">
        <f t="shared" si="33"/>
        <v>738.72772189453156</v>
      </c>
      <c r="C104" s="25">
        <f t="shared" si="0"/>
        <v>3586.6477406735257</v>
      </c>
      <c r="D104" s="25">
        <f t="shared" si="10"/>
        <v>356930.52287891402</v>
      </c>
      <c r="E104" s="25">
        <f>$C104/((1+'How much will I make'!$C$5/12)^(Calculations!$B$1*12-Calculations!$A104))</f>
        <v>738.72772189453156</v>
      </c>
      <c r="F104" s="25">
        <f t="shared" si="11"/>
        <v>60249.564142265604</v>
      </c>
      <c r="G104" s="25">
        <f t="shared" si="1"/>
        <v>17300.21972654841</v>
      </c>
      <c r="H104" s="25">
        <f t="shared" si="12"/>
        <v>2129272.7871430204</v>
      </c>
      <c r="I104" s="25">
        <f>G104/((1+'How much will I make'!$C$5/12)^(Calculations!$B$1*12-Calculations!$A104))</f>
        <v>3563.2581817103669</v>
      </c>
      <c r="J104" s="25">
        <f t="shared" si="13"/>
        <v>354300.27030681167</v>
      </c>
      <c r="K104" s="25">
        <f t="shared" si="2"/>
        <v>82908.014339152607</v>
      </c>
      <c r="L104" s="25">
        <f t="shared" si="14"/>
        <v>12787681.600120675</v>
      </c>
      <c r="M104" s="25">
        <f>K104/((1+'How much will I make'!$C$5/12)^(Calculations!$B$1*12-Calculations!$A104))</f>
        <v>17076.237475180675</v>
      </c>
      <c r="N104" s="25">
        <f t="shared" si="15"/>
        <v>2097887.4864187902</v>
      </c>
      <c r="O104" s="25">
        <f t="shared" si="3"/>
        <v>394772.19391090178</v>
      </c>
      <c r="P104" s="25">
        <f t="shared" si="16"/>
        <v>77279371.481077954</v>
      </c>
      <c r="Q104" s="25">
        <f>O104/((1+'How much will I make'!$C$5/12)^(Calculations!$B$1*12-Calculations!$A104))</f>
        <v>81309.675374014449</v>
      </c>
      <c r="R104" s="25">
        <f t="shared" si="17"/>
        <v>12504980.391011063</v>
      </c>
      <c r="S104" s="25">
        <f t="shared" si="4"/>
        <v>1867775.201681769</v>
      </c>
      <c r="T104" s="25">
        <f t="shared" si="18"/>
        <v>469638494.60592377</v>
      </c>
      <c r="U104" s="25">
        <f>S104/((1+'How much will I make'!$C$5/12)^(Calculations!$B$1*12-Calculations!$A104))</f>
        <v>384698.30870270194</v>
      </c>
      <c r="V104" s="25">
        <f t="shared" si="19"/>
        <v>75002496.423089474</v>
      </c>
      <c r="W104" s="25">
        <f t="shared" si="5"/>
        <v>8781187.4041406773</v>
      </c>
      <c r="X104" s="25">
        <f t="shared" si="20"/>
        <v>2867793185.7587152</v>
      </c>
      <c r="Y104" s="25">
        <f>W104/((1+'How much will I make'!$C$5/12)^(Calculations!$B$1*12-Calculations!$A104))</f>
        <v>1808626.6161648876</v>
      </c>
      <c r="Z104" s="25">
        <f t="shared" si="21"/>
        <v>452357615.18225145</v>
      </c>
      <c r="AA104" s="25">
        <f t="shared" si="6"/>
        <v>41025585.246796578</v>
      </c>
      <c r="AB104" s="25">
        <f t="shared" si="22"/>
        <v>17580527092.22216</v>
      </c>
      <c r="AC104" s="25">
        <f>AA104/((1+'How much will I make'!$C$5/12)^(Calculations!$B$1*12-Calculations!$A104))</f>
        <v>8449878.3599709533</v>
      </c>
      <c r="AD104" s="25">
        <f t="shared" si="23"/>
        <v>2741337174.9534111</v>
      </c>
      <c r="AE104" s="25">
        <f t="shared" si="7"/>
        <v>190480823.70803282</v>
      </c>
      <c r="AF104" s="25">
        <f t="shared" si="24"/>
        <v>108096757762.88287</v>
      </c>
      <c r="AG104" s="25">
        <f>AE104/((1+'How much will I make'!$C$5/12)^(Calculations!$B$1*12-Calculations!$A104))</f>
        <v>39232585.728088483</v>
      </c>
      <c r="AH104" s="25">
        <f t="shared" si="25"/>
        <v>16677795991.456167</v>
      </c>
    </row>
    <row r="105" spans="1:34" ht="15.75" customHeight="1">
      <c r="A105" s="22">
        <f t="shared" si="8"/>
        <v>101</v>
      </c>
      <c r="B105" s="22">
        <f t="shared" si="33"/>
        <v>738.72772189453156</v>
      </c>
      <c r="C105" s="25">
        <f t="shared" si="0"/>
        <v>3571.7653849030962</v>
      </c>
      <c r="D105" s="25">
        <f t="shared" si="10"/>
        <v>360502.28826381714</v>
      </c>
      <c r="E105" s="25">
        <f>$C105/((1+'How much will I make'!$C$5/12)^(Calculations!$B$1*12-Calculations!$A105))</f>
        <v>738.72772189453156</v>
      </c>
      <c r="F105" s="25">
        <f t="shared" si="11"/>
        <v>60988.291864160135</v>
      </c>
      <c r="G105" s="25">
        <f t="shared" si="1"/>
        <v>17157.242704014949</v>
      </c>
      <c r="H105" s="25">
        <f t="shared" si="12"/>
        <v>2146430.0298470352</v>
      </c>
      <c r="I105" s="25">
        <f>G105/((1+'How much will I make'!$C$5/12)^(Calculations!$B$1*12-Calculations!$A105))</f>
        <v>3548.5339743479267</v>
      </c>
      <c r="J105" s="25">
        <f t="shared" si="13"/>
        <v>357848.8042811596</v>
      </c>
      <c r="K105" s="25">
        <f t="shared" si="2"/>
        <v>81884.458606570464</v>
      </c>
      <c r="L105" s="25">
        <f t="shared" si="14"/>
        <v>12869566.058727246</v>
      </c>
      <c r="M105" s="25">
        <f>K105/((1+'How much will I make'!$C$5/12)^(Calculations!$B$1*12-Calculations!$A105))</f>
        <v>16935.692310775896</v>
      </c>
      <c r="N105" s="25">
        <f t="shared" si="15"/>
        <v>2114823.1787295663</v>
      </c>
      <c r="O105" s="25">
        <f t="shared" si="3"/>
        <v>388300.51860088686</v>
      </c>
      <c r="P105" s="25">
        <f t="shared" si="16"/>
        <v>77667671.999678835</v>
      </c>
      <c r="Q105" s="25">
        <f>O105/((1+'How much will I make'!$C$5/12)^(Calculations!$B$1*12-Calculations!$A105))</f>
        <v>80309.966250563419</v>
      </c>
      <c r="R105" s="25">
        <f t="shared" si="17"/>
        <v>12585290.357261626</v>
      </c>
      <c r="S105" s="25">
        <f t="shared" si="4"/>
        <v>1829657.3404229577</v>
      </c>
      <c r="T105" s="25">
        <f t="shared" si="18"/>
        <v>471468151.9463467</v>
      </c>
      <c r="U105" s="25">
        <f>S105/((1+'How much will I make'!$C$5/12)^(Calculations!$B$1*12-Calculations!$A105))</f>
        <v>378417.51998918853</v>
      </c>
      <c r="V105" s="25">
        <f t="shared" si="19"/>
        <v>75380913.943078667</v>
      </c>
      <c r="W105" s="25">
        <f t="shared" si="5"/>
        <v>8567012.10160066</v>
      </c>
      <c r="X105" s="25">
        <f t="shared" si="20"/>
        <v>2876360197.8603158</v>
      </c>
      <c r="Y105" s="25">
        <f>W105/((1+'How much will I make'!$C$5/12)^(Calculations!$B$1*12-Calculations!$A105))</f>
        <v>1771865.9125843002</v>
      </c>
      <c r="Z105" s="25">
        <f t="shared" si="21"/>
        <v>454129481.09483576</v>
      </c>
      <c r="AA105" s="25">
        <f t="shared" si="6"/>
        <v>39862916.838992633</v>
      </c>
      <c r="AB105" s="25">
        <f t="shared" si="22"/>
        <v>17620390009.061153</v>
      </c>
      <c r="AC105" s="25">
        <f>AA105/((1+'How much will I make'!$C$5/12)^(Calculations!$B$1*12-Calculations!$A105))</f>
        <v>8244618.1568947379</v>
      </c>
      <c r="AD105" s="25">
        <f t="shared" si="23"/>
        <v>2749581793.1103058</v>
      </c>
      <c r="AE105" s="25">
        <f t="shared" si="7"/>
        <v>184336281.00777361</v>
      </c>
      <c r="AF105" s="25">
        <f t="shared" si="24"/>
        <v>108281094043.89064</v>
      </c>
      <c r="AG105" s="25">
        <f>AE105/((1+'How much will I make'!$C$5/12)^(Calculations!$B$1*12-Calculations!$A105))</f>
        <v>38125214.356731124</v>
      </c>
      <c r="AH105" s="25">
        <f t="shared" si="25"/>
        <v>16715921205.812899</v>
      </c>
    </row>
    <row r="106" spans="1:34" ht="15.75" customHeight="1">
      <c r="A106" s="22">
        <f t="shared" si="8"/>
        <v>102</v>
      </c>
      <c r="B106" s="22">
        <f t="shared" si="33"/>
        <v>738.72772189453156</v>
      </c>
      <c r="C106" s="25">
        <f t="shared" si="0"/>
        <v>3556.9447816462375</v>
      </c>
      <c r="D106" s="25">
        <f t="shared" si="10"/>
        <v>364059.23304546339</v>
      </c>
      <c r="E106" s="25">
        <f>$C106/((1+'How much will I make'!$C$5/12)^(Calculations!$B$1*12-Calculations!$A106))</f>
        <v>738.72772189453156</v>
      </c>
      <c r="F106" s="25">
        <f t="shared" si="11"/>
        <v>61727.019586054666</v>
      </c>
      <c r="G106" s="25">
        <f t="shared" si="1"/>
        <v>17015.447309766892</v>
      </c>
      <c r="H106" s="25">
        <f t="shared" si="12"/>
        <v>2163445.4771568021</v>
      </c>
      <c r="I106" s="25">
        <f>G106/((1+'How much will I make'!$C$5/12)^(Calculations!$B$1*12-Calculations!$A106))</f>
        <v>3533.8706108175625</v>
      </c>
      <c r="J106" s="25">
        <f t="shared" si="13"/>
        <v>361382.67489197716</v>
      </c>
      <c r="K106" s="25">
        <f t="shared" si="2"/>
        <v>80873.539364514072</v>
      </c>
      <c r="L106" s="25">
        <f t="shared" si="14"/>
        <v>12950439.598091761</v>
      </c>
      <c r="M106" s="25">
        <f>K106/((1+'How much will I make'!$C$5/12)^(Calculations!$B$1*12-Calculations!$A106))</f>
        <v>16796.303896695437</v>
      </c>
      <c r="N106" s="25">
        <f t="shared" si="15"/>
        <v>2131619.4826262617</v>
      </c>
      <c r="O106" s="25">
        <f t="shared" si="3"/>
        <v>381934.93632874131</v>
      </c>
      <c r="P106" s="25">
        <f t="shared" si="16"/>
        <v>78049606.936007574</v>
      </c>
      <c r="Q106" s="25">
        <f>O106/((1+'How much will I make'!$C$5/12)^(Calculations!$B$1*12-Calculations!$A106))</f>
        <v>79322.548632728634</v>
      </c>
      <c r="R106" s="25">
        <f t="shared" si="17"/>
        <v>12664612.905894354</v>
      </c>
      <c r="S106" s="25">
        <f t="shared" si="4"/>
        <v>1792317.3947000406</v>
      </c>
      <c r="T106" s="25">
        <f t="shared" si="18"/>
        <v>473260469.34104675</v>
      </c>
      <c r="U106" s="25">
        <f>S106/((1+'How much will I make'!$C$5/12)^(Calculations!$B$1*12-Calculations!$A106))</f>
        <v>372239.27476487518</v>
      </c>
      <c r="V106" s="25">
        <f t="shared" si="19"/>
        <v>75753153.217843547</v>
      </c>
      <c r="W106" s="25">
        <f t="shared" si="5"/>
        <v>8358060.5869274754</v>
      </c>
      <c r="X106" s="25">
        <f t="shared" si="20"/>
        <v>2884718258.4472432</v>
      </c>
      <c r="Y106" s="25">
        <f>W106/((1+'How much will I make'!$C$5/12)^(Calculations!$B$1*12-Calculations!$A106))</f>
        <v>1735852.3777756763</v>
      </c>
      <c r="Z106" s="25">
        <f t="shared" si="21"/>
        <v>455865333.47261143</v>
      </c>
      <c r="AA106" s="25">
        <f t="shared" si="6"/>
        <v>38733198.548009038</v>
      </c>
      <c r="AB106" s="25">
        <f t="shared" si="22"/>
        <v>17659123207.609161</v>
      </c>
      <c r="AC106" s="25">
        <f>AA106/((1+'How much will I make'!$C$5/12)^(Calculations!$B$1*12-Calculations!$A106))</f>
        <v>8044344.0316260383</v>
      </c>
      <c r="AD106" s="25">
        <f t="shared" si="23"/>
        <v>2757626137.141932</v>
      </c>
      <c r="AE106" s="25">
        <f t="shared" si="7"/>
        <v>178389949.36236158</v>
      </c>
      <c r="AF106" s="25">
        <f t="shared" si="24"/>
        <v>108459483993.25301</v>
      </c>
      <c r="AG106" s="25">
        <f>AE106/((1+'How much will I make'!$C$5/12)^(Calculations!$B$1*12-Calculations!$A106))</f>
        <v>37049099.435371779</v>
      </c>
      <c r="AH106" s="25">
        <f t="shared" si="25"/>
        <v>16752970305.24827</v>
      </c>
    </row>
    <row r="107" spans="1:34" ht="15.75" customHeight="1">
      <c r="A107" s="22">
        <f t="shared" si="8"/>
        <v>103</v>
      </c>
      <c r="B107" s="22">
        <f t="shared" si="33"/>
        <v>738.72772189453156</v>
      </c>
      <c r="C107" s="25">
        <f t="shared" si="0"/>
        <v>3542.1856746684507</v>
      </c>
      <c r="D107" s="25">
        <f t="shared" si="10"/>
        <v>367601.41872013186</v>
      </c>
      <c r="E107" s="25">
        <f>$C107/((1+'How much will I make'!$C$5/12)^(Calculations!$B$1*12-Calculations!$A107))</f>
        <v>738.72772189453156</v>
      </c>
      <c r="F107" s="25">
        <f t="shared" si="11"/>
        <v>62465.747307949197</v>
      </c>
      <c r="G107" s="25">
        <f t="shared" si="1"/>
        <v>16874.823778281218</v>
      </c>
      <c r="H107" s="25">
        <f t="shared" si="12"/>
        <v>2180320.3009350831</v>
      </c>
      <c r="I107" s="25">
        <f>G107/((1+'How much will I make'!$C$5/12)^(Calculations!$B$1*12-Calculations!$A107))</f>
        <v>3519.2678396984843</v>
      </c>
      <c r="J107" s="25">
        <f t="shared" si="13"/>
        <v>364901.94273167563</v>
      </c>
      <c r="K107" s="25">
        <f t="shared" si="2"/>
        <v>79875.100606927459</v>
      </c>
      <c r="L107" s="25">
        <f t="shared" si="14"/>
        <v>13030314.698698688</v>
      </c>
      <c r="M107" s="25">
        <f>K107/((1+'How much will I make'!$C$5/12)^(Calculations!$B$1*12-Calculations!$A107))</f>
        <v>16658.062712360501</v>
      </c>
      <c r="N107" s="25">
        <f t="shared" si="15"/>
        <v>2148277.5453386223</v>
      </c>
      <c r="O107" s="25">
        <f t="shared" si="3"/>
        <v>375673.70786433568</v>
      </c>
      <c r="P107" s="25">
        <f t="shared" si="16"/>
        <v>78425280.643871903</v>
      </c>
      <c r="Q107" s="25">
        <f>O107/((1+'How much will I make'!$C$5/12)^(Calculations!$B$1*12-Calculations!$A107))</f>
        <v>78347.271395441028</v>
      </c>
      <c r="R107" s="25">
        <f t="shared" si="17"/>
        <v>12742960.177289795</v>
      </c>
      <c r="S107" s="25">
        <f t="shared" si="4"/>
        <v>1755739.4886857539</v>
      </c>
      <c r="T107" s="25">
        <f t="shared" si="18"/>
        <v>475016208.82973248</v>
      </c>
      <c r="U107" s="25">
        <f>S107/((1+'How much will I make'!$C$5/12)^(Calculations!$B$1*12-Calculations!$A107))</f>
        <v>366161.8988503468</v>
      </c>
      <c r="V107" s="25">
        <f t="shared" si="19"/>
        <v>76119315.116693899</v>
      </c>
      <c r="W107" s="25">
        <f t="shared" si="5"/>
        <v>8154205.4506609524</v>
      </c>
      <c r="X107" s="25">
        <f t="shared" si="20"/>
        <v>2892872463.8979044</v>
      </c>
      <c r="Y107" s="25">
        <f>W107/((1+'How much will I make'!$C$5/12)^(Calculations!$B$1*12-Calculations!$A107))</f>
        <v>1700570.8253818627</v>
      </c>
      <c r="Z107" s="25">
        <f t="shared" si="21"/>
        <v>457565904.2979933</v>
      </c>
      <c r="AA107" s="25">
        <f t="shared" si="6"/>
        <v>37635496.564867079</v>
      </c>
      <c r="AB107" s="25">
        <f t="shared" si="22"/>
        <v>17696758704.17403</v>
      </c>
      <c r="AC107" s="25">
        <f>AA107/((1+'How much will I make'!$C$5/12)^(Calculations!$B$1*12-Calculations!$A107))</f>
        <v>7848934.8648658954</v>
      </c>
      <c r="AD107" s="25">
        <f t="shared" si="23"/>
        <v>2765475072.0067978</v>
      </c>
      <c r="AE107" s="25">
        <f t="shared" si="7"/>
        <v>172635434.86680153</v>
      </c>
      <c r="AF107" s="25">
        <f t="shared" si="24"/>
        <v>108632119428.11981</v>
      </c>
      <c r="AG107" s="25">
        <f>AE107/((1+'How much will I make'!$C$5/12)^(Calculations!$B$1*12-Calculations!$A107))</f>
        <v>36003358.725502431</v>
      </c>
      <c r="AH107" s="25">
        <f t="shared" si="25"/>
        <v>16788973663.973772</v>
      </c>
    </row>
    <row r="108" spans="1:34" ht="15.75" customHeight="1">
      <c r="A108" s="22">
        <f t="shared" si="8"/>
        <v>104</v>
      </c>
      <c r="B108" s="22">
        <f t="shared" si="33"/>
        <v>738.72772189453156</v>
      </c>
      <c r="C108" s="25">
        <f t="shared" si="0"/>
        <v>3527.487808798458</v>
      </c>
      <c r="D108" s="25">
        <f t="shared" si="10"/>
        <v>371128.9065289303</v>
      </c>
      <c r="E108" s="25">
        <f>$C108/((1+'How much will I make'!$C$5/12)^(Calculations!$B$1*12-Calculations!$A108))</f>
        <v>738.72772189453156</v>
      </c>
      <c r="F108" s="25">
        <f t="shared" si="11"/>
        <v>63204.475029843728</v>
      </c>
      <c r="G108" s="25">
        <f t="shared" si="1"/>
        <v>16735.362424741703</v>
      </c>
      <c r="H108" s="25">
        <f t="shared" si="12"/>
        <v>2197055.6633598246</v>
      </c>
      <c r="I108" s="25">
        <f>G108/((1+'How much will I make'!$C$5/12)^(Calculations!$B$1*12-Calculations!$A108))</f>
        <v>3504.7254106088199</v>
      </c>
      <c r="J108" s="25">
        <f t="shared" si="13"/>
        <v>368406.66814228444</v>
      </c>
      <c r="K108" s="25">
        <f t="shared" si="2"/>
        <v>78888.98825375551</v>
      </c>
      <c r="L108" s="25">
        <f t="shared" si="14"/>
        <v>13109203.686952444</v>
      </c>
      <c r="M108" s="25">
        <f>K108/((1+'How much will I make'!$C$5/12)^(Calculations!$B$1*12-Calculations!$A108))</f>
        <v>16520.959315550943</v>
      </c>
      <c r="N108" s="25">
        <f t="shared" si="15"/>
        <v>2164798.5046541733</v>
      </c>
      <c r="O108" s="25">
        <f t="shared" si="3"/>
        <v>369515.12248951057</v>
      </c>
      <c r="P108" s="25">
        <f t="shared" si="16"/>
        <v>78794795.766361415</v>
      </c>
      <c r="Q108" s="25">
        <f>O108/((1+'How much will I make'!$C$5/12)^(Calculations!$B$1*12-Calculations!$A108))</f>
        <v>77383.985271726575</v>
      </c>
      <c r="R108" s="25">
        <f t="shared" si="17"/>
        <v>12820344.162561521</v>
      </c>
      <c r="S108" s="25">
        <f t="shared" si="4"/>
        <v>1719908.0705493102</v>
      </c>
      <c r="T108" s="25">
        <f t="shared" si="18"/>
        <v>476736116.90028179</v>
      </c>
      <c r="U108" s="25">
        <f>S108/((1+'How much will I make'!$C$5/12)^(Calculations!$B$1*12-Calculations!$A108))</f>
        <v>360183.74539972882</v>
      </c>
      <c r="V108" s="25">
        <f t="shared" si="19"/>
        <v>76479498.862093627</v>
      </c>
      <c r="W108" s="25">
        <f t="shared" si="5"/>
        <v>7955322.3908887347</v>
      </c>
      <c r="X108" s="25">
        <f t="shared" si="20"/>
        <v>2900827786.2887931</v>
      </c>
      <c r="Y108" s="25">
        <f>W108/((1+'How much will I make'!$C$5/12)^(Calculations!$B$1*12-Calculations!$A108))</f>
        <v>1666006.3777114993</v>
      </c>
      <c r="Z108" s="25">
        <f t="shared" si="21"/>
        <v>459231910.67570478</v>
      </c>
      <c r="AA108" s="25">
        <f t="shared" si="6"/>
        <v>36568903.544810116</v>
      </c>
      <c r="AB108" s="25">
        <f t="shared" si="22"/>
        <v>17733327607.718842</v>
      </c>
      <c r="AC108" s="25">
        <f>AA108/((1+'How much will I make'!$C$5/12)^(Calculations!$B$1*12-Calculations!$A108))</f>
        <v>7658272.4794845348</v>
      </c>
      <c r="AD108" s="25">
        <f t="shared" si="23"/>
        <v>2773133344.4862823</v>
      </c>
      <c r="AE108" s="25">
        <f t="shared" si="7"/>
        <v>167066549.87109822</v>
      </c>
      <c r="AF108" s="25">
        <f t="shared" si="24"/>
        <v>108799185977.99091</v>
      </c>
      <c r="AG108" s="25">
        <f>AE108/((1+'How much will I make'!$C$5/12)^(Calculations!$B$1*12-Calculations!$A108))</f>
        <v>34987134.890508391</v>
      </c>
      <c r="AH108" s="25">
        <f t="shared" si="25"/>
        <v>16823960798.864281</v>
      </c>
    </row>
    <row r="109" spans="1:34" ht="15.75" customHeight="1">
      <c r="A109" s="22">
        <f t="shared" si="8"/>
        <v>105</v>
      </c>
      <c r="B109" s="22">
        <f t="shared" si="33"/>
        <v>738.72772189453156</v>
      </c>
      <c r="C109" s="25">
        <f t="shared" si="0"/>
        <v>3512.8509299237762</v>
      </c>
      <c r="D109" s="25">
        <f t="shared" si="10"/>
        <v>374641.75745885406</v>
      </c>
      <c r="E109" s="25">
        <f>$C109/((1+'How much will I make'!$C$5/12)^(Calculations!$B$1*12-Calculations!$A109))</f>
        <v>738.72772189453156</v>
      </c>
      <c r="F109" s="25">
        <f t="shared" si="11"/>
        <v>63943.202751738259</v>
      </c>
      <c r="G109" s="25">
        <f t="shared" si="1"/>
        <v>16597.053644371939</v>
      </c>
      <c r="H109" s="25">
        <f t="shared" si="12"/>
        <v>2213652.7170041967</v>
      </c>
      <c r="I109" s="25">
        <f>G109/((1+'How much will I make'!$C$5/12)^(Calculations!$B$1*12-Calculations!$A109))</f>
        <v>3490.2430742013453</v>
      </c>
      <c r="J109" s="25">
        <f t="shared" si="13"/>
        <v>371896.91121648578</v>
      </c>
      <c r="K109" s="25">
        <f t="shared" si="2"/>
        <v>77915.050127165945</v>
      </c>
      <c r="L109" s="25">
        <f t="shared" si="14"/>
        <v>13187118.737079609</v>
      </c>
      <c r="M109" s="25">
        <f>K109/((1+'How much will I make'!$C$5/12)^(Calculations!$B$1*12-Calculations!$A109))</f>
        <v>16384.984341760399</v>
      </c>
      <c r="N109" s="25">
        <f t="shared" si="15"/>
        <v>2181183.4889959339</v>
      </c>
      <c r="O109" s="25">
        <f t="shared" si="3"/>
        <v>363457.49753066606</v>
      </c>
      <c r="P109" s="25">
        <f t="shared" si="16"/>
        <v>79158253.263892084</v>
      </c>
      <c r="Q109" s="25">
        <f>O109/((1+'How much will I make'!$C$5/12)^(Calculations!$B$1*12-Calculations!$A109))</f>
        <v>76432.542829861064</v>
      </c>
      <c r="R109" s="25">
        <f t="shared" si="17"/>
        <v>12896776.705391383</v>
      </c>
      <c r="S109" s="25">
        <f t="shared" si="4"/>
        <v>1684807.9058442223</v>
      </c>
      <c r="T109" s="25">
        <f t="shared" si="18"/>
        <v>478420924.806126</v>
      </c>
      <c r="U109" s="25">
        <f>S109/((1+'How much will I make'!$C$5/12)^(Calculations!$B$1*12-Calculations!$A109))</f>
        <v>354303.19445442711</v>
      </c>
      <c r="V109" s="25">
        <f t="shared" si="19"/>
        <v>76833802.056548059</v>
      </c>
      <c r="W109" s="25">
        <f t="shared" si="5"/>
        <v>7761290.1374524236</v>
      </c>
      <c r="X109" s="25">
        <f t="shared" si="20"/>
        <v>2908589076.4262457</v>
      </c>
      <c r="Y109" s="25">
        <f>W109/((1+'How much will I make'!$C$5/12)^(Calculations!$B$1*12-Calculations!$A109))</f>
        <v>1632144.4594653305</v>
      </c>
      <c r="Z109" s="25">
        <f t="shared" si="21"/>
        <v>460864055.1351701</v>
      </c>
      <c r="AA109" s="25">
        <f t="shared" si="6"/>
        <v>35532537.857305393</v>
      </c>
      <c r="AB109" s="25">
        <f t="shared" si="22"/>
        <v>17768860145.576145</v>
      </c>
      <c r="AC109" s="25">
        <f>AA109/((1+'How much will I make'!$C$5/12)^(Calculations!$B$1*12-Calculations!$A109))</f>
        <v>7472241.5690517146</v>
      </c>
      <c r="AD109" s="25">
        <f t="shared" si="23"/>
        <v>2780605586.0553341</v>
      </c>
      <c r="AE109" s="25">
        <f t="shared" si="7"/>
        <v>161677306.32686922</v>
      </c>
      <c r="AF109" s="25">
        <f t="shared" si="24"/>
        <v>108960863284.31778</v>
      </c>
      <c r="AG109" s="25">
        <f>AE109/((1+'How much will I make'!$C$5/12)^(Calculations!$B$1*12-Calculations!$A109))</f>
        <v>33999594.792792425</v>
      </c>
      <c r="AH109" s="25">
        <f t="shared" si="25"/>
        <v>16857960393.657074</v>
      </c>
    </row>
    <row r="110" spans="1:34" ht="15.75" customHeight="1">
      <c r="A110" s="22">
        <f t="shared" si="8"/>
        <v>106</v>
      </c>
      <c r="B110" s="22">
        <f t="shared" si="33"/>
        <v>738.72772189453156</v>
      </c>
      <c r="C110" s="25">
        <f t="shared" si="0"/>
        <v>3498.2747849863322</v>
      </c>
      <c r="D110" s="25">
        <f t="shared" si="10"/>
        <v>378140.0322438404</v>
      </c>
      <c r="E110" s="25">
        <f>$C110/((1+'How much will I make'!$C$5/12)^(Calculations!$B$1*12-Calculations!$A110))</f>
        <v>738.72772189453156</v>
      </c>
      <c r="F110" s="25">
        <f t="shared" si="11"/>
        <v>64681.93047363279</v>
      </c>
      <c r="G110" s="25">
        <f t="shared" si="1"/>
        <v>16459.887911773829</v>
      </c>
      <c r="H110" s="25">
        <f t="shared" si="12"/>
        <v>2230112.6049159705</v>
      </c>
      <c r="I110" s="25">
        <f>G110/((1+'How much will I make'!$C$5/12)^(Calculations!$B$1*12-Calculations!$A110))</f>
        <v>3475.8205821591928</v>
      </c>
      <c r="J110" s="25">
        <f t="shared" si="13"/>
        <v>375372.73179864499</v>
      </c>
      <c r="K110" s="25">
        <f t="shared" si="2"/>
        <v>76953.135928065138</v>
      </c>
      <c r="L110" s="25">
        <f t="shared" si="14"/>
        <v>13264071.873007674</v>
      </c>
      <c r="M110" s="25">
        <f>K110/((1+'How much will I make'!$C$5/12)^(Calculations!$B$1*12-Calculations!$A110))</f>
        <v>16250.128503556616</v>
      </c>
      <c r="N110" s="25">
        <f t="shared" si="15"/>
        <v>2197433.6174994907</v>
      </c>
      <c r="O110" s="25">
        <f t="shared" si="3"/>
        <v>357499.17789901595</v>
      </c>
      <c r="P110" s="25">
        <f t="shared" si="16"/>
        <v>79515752.441791102</v>
      </c>
      <c r="Q110" s="25">
        <f>O110/((1+'How much will I make'!$C$5/12)^(Calculations!$B$1*12-Calculations!$A110))</f>
        <v>75492.798450805436</v>
      </c>
      <c r="R110" s="25">
        <f t="shared" si="17"/>
        <v>12972269.503842188</v>
      </c>
      <c r="S110" s="25">
        <f t="shared" si="4"/>
        <v>1650424.0710310757</v>
      </c>
      <c r="T110" s="25">
        <f t="shared" si="18"/>
        <v>480071348.87715709</v>
      </c>
      <c r="U110" s="25">
        <f>S110/((1+'How much will I make'!$C$5/12)^(Calculations!$B$1*12-Calculations!$A110))</f>
        <v>348518.65250415099</v>
      </c>
      <c r="V110" s="25">
        <f t="shared" si="19"/>
        <v>77182320.709052205</v>
      </c>
      <c r="W110" s="25">
        <f t="shared" si="5"/>
        <v>7571990.3780023642</v>
      </c>
      <c r="X110" s="25">
        <f t="shared" si="20"/>
        <v>2916161066.8042479</v>
      </c>
      <c r="Y110" s="25">
        <f>W110/((1+'How much will I make'!$C$5/12)^(Calculations!$B$1*12-Calculations!$A110))</f>
        <v>1598970.7915900191</v>
      </c>
      <c r="Z110" s="25">
        <f t="shared" si="21"/>
        <v>462463025.92676014</v>
      </c>
      <c r="AA110" s="25">
        <f t="shared" si="6"/>
        <v>34525542.857300788</v>
      </c>
      <c r="AB110" s="25">
        <f t="shared" si="22"/>
        <v>17803385688.433445</v>
      </c>
      <c r="AC110" s="25">
        <f>AA110/((1+'How much will I make'!$C$5/12)^(Calculations!$B$1*12-Calculations!$A110))</f>
        <v>7290729.6281030923</v>
      </c>
      <c r="AD110" s="25">
        <f t="shared" si="23"/>
        <v>2787896315.6834373</v>
      </c>
      <c r="AE110" s="25">
        <f t="shared" si="7"/>
        <v>156461909.34858313</v>
      </c>
      <c r="AF110" s="25">
        <f t="shared" si="24"/>
        <v>109117325193.66637</v>
      </c>
      <c r="AG110" s="25">
        <f>AE110/((1+'How much will I make'!$C$5/12)^(Calculations!$B$1*12-Calculations!$A110))</f>
        <v>33039928.810737807</v>
      </c>
      <c r="AH110" s="25">
        <f t="shared" si="25"/>
        <v>16891000322.467812</v>
      </c>
    </row>
    <row r="111" spans="1:34" ht="15.75" customHeight="1">
      <c r="A111" s="22">
        <f t="shared" si="8"/>
        <v>107</v>
      </c>
      <c r="B111" s="22">
        <f t="shared" si="33"/>
        <v>738.72772189453156</v>
      </c>
      <c r="C111" s="25">
        <f t="shared" si="0"/>
        <v>3483.7591219780902</v>
      </c>
      <c r="D111" s="25">
        <f t="shared" si="10"/>
        <v>381623.79136581847</v>
      </c>
      <c r="E111" s="25">
        <f>$C111/((1+'How much will I make'!$C$5/12)^(Calculations!$B$1*12-Calculations!$A111))</f>
        <v>738.72772189453156</v>
      </c>
      <c r="F111" s="25">
        <f t="shared" si="11"/>
        <v>65420.658195527321</v>
      </c>
      <c r="G111" s="25">
        <f t="shared" si="1"/>
        <v>16323.85578027156</v>
      </c>
      <c r="H111" s="25">
        <f t="shared" si="12"/>
        <v>2246436.4606962418</v>
      </c>
      <c r="I111" s="25">
        <f>G111/((1+'How much will I make'!$C$5/12)^(Calculations!$B$1*12-Calculations!$A111))</f>
        <v>3461.4576871915915</v>
      </c>
      <c r="J111" s="25">
        <f t="shared" si="13"/>
        <v>378834.1894858366</v>
      </c>
      <c r="K111" s="25">
        <f t="shared" si="2"/>
        <v>76003.097212903827</v>
      </c>
      <c r="L111" s="25">
        <f t="shared" si="14"/>
        <v>13340074.970220577</v>
      </c>
      <c r="M111" s="25">
        <f>K111/((1+'How much will I make'!$C$5/12)^(Calculations!$B$1*12-Calculations!$A111))</f>
        <v>16116.382589947092</v>
      </c>
      <c r="N111" s="25">
        <f t="shared" si="15"/>
        <v>2213550.0000894377</v>
      </c>
      <c r="O111" s="25">
        <f t="shared" si="3"/>
        <v>351638.53563837631</v>
      </c>
      <c r="P111" s="25">
        <f t="shared" si="16"/>
        <v>79867390.977429479</v>
      </c>
      <c r="Q111" s="25">
        <f>O111/((1+'How much will I make'!$C$5/12)^(Calculations!$B$1*12-Calculations!$A111))</f>
        <v>74564.608305918475</v>
      </c>
      <c r="R111" s="25">
        <f t="shared" si="17"/>
        <v>13046834.112148106</v>
      </c>
      <c r="S111" s="25">
        <f t="shared" si="4"/>
        <v>1616741.9471324824</v>
      </c>
      <c r="T111" s="25">
        <f t="shared" si="18"/>
        <v>481688090.82428956</v>
      </c>
      <c r="U111" s="25">
        <f>S111/((1+'How much will I make'!$C$5/12)^(Calculations!$B$1*12-Calculations!$A111))</f>
        <v>342828.55205510365</v>
      </c>
      <c r="V111" s="25">
        <f t="shared" si="19"/>
        <v>77525149.261107311</v>
      </c>
      <c r="W111" s="25">
        <f t="shared" si="5"/>
        <v>7387307.6858559661</v>
      </c>
      <c r="X111" s="25">
        <f t="shared" si="20"/>
        <v>2923548374.4901037</v>
      </c>
      <c r="Y111" s="25">
        <f>W111/((1+'How much will I make'!$C$5/12)^(Calculations!$B$1*12-Calculations!$A111))</f>
        <v>1566471.3852568888</v>
      </c>
      <c r="Z111" s="25">
        <f t="shared" si="21"/>
        <v>464029497.31201702</v>
      </c>
      <c r="AA111" s="25">
        <f t="shared" si="6"/>
        <v>33547086.177134372</v>
      </c>
      <c r="AB111" s="25">
        <f t="shared" si="22"/>
        <v>17836932774.61058</v>
      </c>
      <c r="AC111" s="25">
        <f>AA111/((1+'How much will I make'!$C$5/12)^(Calculations!$B$1*12-Calculations!$A111))</f>
        <v>7113626.884100588</v>
      </c>
      <c r="AD111" s="25">
        <f t="shared" si="23"/>
        <v>2795009942.5675378</v>
      </c>
      <c r="AE111" s="25">
        <f t="shared" si="7"/>
        <v>151414750.98249975</v>
      </c>
      <c r="AF111" s="25">
        <f t="shared" si="24"/>
        <v>109268739944.64886</v>
      </c>
      <c r="AG111" s="25">
        <f>AE111/((1+'How much will I make'!$C$5/12)^(Calculations!$B$1*12-Calculations!$A111))</f>
        <v>32107350.174950838</v>
      </c>
      <c r="AH111" s="25">
        <f t="shared" si="25"/>
        <v>16923107672.642763</v>
      </c>
    </row>
    <row r="112" spans="1:34" ht="15.75" customHeight="1">
      <c r="A112" s="22">
        <f t="shared" si="8"/>
        <v>108</v>
      </c>
      <c r="B112" s="22">
        <f t="shared" si="33"/>
        <v>738.72772189453156</v>
      </c>
      <c r="C112" s="25">
        <f t="shared" si="0"/>
        <v>3469.3036899366875</v>
      </c>
      <c r="D112" s="25">
        <f t="shared" si="10"/>
        <v>385093.09505575517</v>
      </c>
      <c r="E112" s="25">
        <f>$C112/((1+'How much will I make'!$C$5/12)^(Calculations!$B$1*12-Calculations!$A112))</f>
        <v>738.72772189453156</v>
      </c>
      <c r="F112" s="25">
        <f t="shared" si="11"/>
        <v>66159.385917421852</v>
      </c>
      <c r="G112" s="25">
        <f t="shared" si="1"/>
        <v>16188.947881261052</v>
      </c>
      <c r="H112" s="25">
        <f t="shared" si="12"/>
        <v>2262625.4085775027</v>
      </c>
      <c r="I112" s="25">
        <f>G112/((1+'How much will I make'!$C$5/12)^(Calculations!$B$1*12-Calculations!$A112))</f>
        <v>3447.1541430296429</v>
      </c>
      <c r="J112" s="25">
        <f t="shared" si="13"/>
        <v>382281.34362886625</v>
      </c>
      <c r="K112" s="25">
        <f t="shared" si="2"/>
        <v>75064.787370769234</v>
      </c>
      <c r="L112" s="25">
        <f t="shared" si="14"/>
        <v>13415139.757591346</v>
      </c>
      <c r="M112" s="25">
        <f>K112/((1+'How much will I make'!$C$5/12)^(Calculations!$B$1*12-Calculations!$A112))</f>
        <v>15983.73746575</v>
      </c>
      <c r="N112" s="25">
        <f t="shared" si="15"/>
        <v>2229533.7375551877</v>
      </c>
      <c r="O112" s="25">
        <f t="shared" si="3"/>
        <v>345873.96948037017</v>
      </c>
      <c r="P112" s="25">
        <f t="shared" si="16"/>
        <v>80213264.946909845</v>
      </c>
      <c r="Q112" s="25">
        <f>O112/((1+'How much will I make'!$C$5/12)^(Calculations!$B$1*12-Calculations!$A112))</f>
        <v>73647.830334944068</v>
      </c>
      <c r="R112" s="25">
        <f t="shared" si="17"/>
        <v>13120481.942483051</v>
      </c>
      <c r="S112" s="25">
        <f t="shared" si="4"/>
        <v>1583747.2135175334</v>
      </c>
      <c r="T112" s="25">
        <f t="shared" si="18"/>
        <v>483271838.03780711</v>
      </c>
      <c r="U112" s="25">
        <f>S112/((1+'How much will I make'!$C$5/12)^(Calculations!$B$1*12-Calculations!$A112))</f>
        <v>337231.35120522429</v>
      </c>
      <c r="V112" s="25">
        <f t="shared" si="19"/>
        <v>77862380.61231254</v>
      </c>
      <c r="W112" s="25">
        <f t="shared" si="5"/>
        <v>7207129.4496155772</v>
      </c>
      <c r="X112" s="25">
        <f t="shared" si="20"/>
        <v>2930755503.9397192</v>
      </c>
      <c r="Y112" s="25">
        <f>W112/((1+'How much will I make'!$C$5/12)^(Calculations!$B$1*12-Calculations!$A112))</f>
        <v>1534632.5359630496</v>
      </c>
      <c r="Z112" s="25">
        <f t="shared" si="21"/>
        <v>465564129.84798008</v>
      </c>
      <c r="AA112" s="25">
        <f t="shared" si="6"/>
        <v>32596359.038511131</v>
      </c>
      <c r="AB112" s="25">
        <f t="shared" si="22"/>
        <v>17869529133.64909</v>
      </c>
      <c r="AC112" s="25">
        <f>AA112/((1+'How much will I make'!$C$5/12)^(Calculations!$B$1*12-Calculations!$A112))</f>
        <v>6940826.2310455134</v>
      </c>
      <c r="AD112" s="25">
        <f t="shared" si="23"/>
        <v>2801950768.7985835</v>
      </c>
      <c r="AE112" s="25">
        <f t="shared" si="7"/>
        <v>146530404.17661268</v>
      </c>
      <c r="AF112" s="25">
        <f t="shared" si="24"/>
        <v>109415270348.82547</v>
      </c>
      <c r="AG112" s="25">
        <f>AE112/((1+'How much will I make'!$C$5/12)^(Calculations!$B$1*12-Calculations!$A112))</f>
        <v>31201094.323238518</v>
      </c>
      <c r="AH112" s="25">
        <f t="shared" si="25"/>
        <v>16954308766.966002</v>
      </c>
    </row>
    <row r="113" spans="1:34" ht="15.75" customHeight="1">
      <c r="A113" s="22">
        <f t="shared" si="8"/>
        <v>109</v>
      </c>
      <c r="B113" s="22">
        <f>B112*(1+'How much will I make'!$C$4)</f>
        <v>775.66410798925813</v>
      </c>
      <c r="C113" s="25">
        <f t="shared" si="0"/>
        <v>3627.6536508881541</v>
      </c>
      <c r="D113" s="25">
        <f t="shared" si="10"/>
        <v>388720.7487066433</v>
      </c>
      <c r="E113" s="25">
        <f>$C113/((1+'How much will I make'!$C$5/12)^(Calculations!$B$1*12-Calculations!$A113))</f>
        <v>775.66410798925813</v>
      </c>
      <c r="F113" s="25">
        <f t="shared" si="11"/>
        <v>66935.05002541111</v>
      </c>
      <c r="G113" s="25">
        <f t="shared" si="1"/>
        <v>16857.91266974292</v>
      </c>
      <c r="H113" s="25">
        <f t="shared" si="12"/>
        <v>2279483.3212472457</v>
      </c>
      <c r="I113" s="25">
        <f>G113/((1+'How much will I make'!$C$5/12)^(Calculations!$B$1*12-Calculations!$A113))</f>
        <v>3604.5551896431884</v>
      </c>
      <c r="J113" s="25">
        <f t="shared" si="13"/>
        <v>385885.89881850942</v>
      </c>
      <c r="K113" s="25">
        <f t="shared" si="2"/>
        <v>77844.964680797711</v>
      </c>
      <c r="L113" s="25">
        <f t="shared" si="14"/>
        <v>13492984.722272145</v>
      </c>
      <c r="M113" s="25">
        <f>K113/((1+'How much will I make'!$C$5/12)^(Calculations!$B$1*12-Calculations!$A113))</f>
        <v>16644.793274518674</v>
      </c>
      <c r="N113" s="25">
        <f t="shared" si="15"/>
        <v>2246178.5308297062</v>
      </c>
      <c r="O113" s="25">
        <f t="shared" si="3"/>
        <v>357214.09962726739</v>
      </c>
      <c r="P113" s="25">
        <f t="shared" si="16"/>
        <v>80570479.046537116</v>
      </c>
      <c r="Q113" s="25">
        <f>O113/((1+'How much will I make'!$C$5/12)^(Calculations!$B$1*12-Calculations!$A113))</f>
        <v>76379.440435481942</v>
      </c>
      <c r="R113" s="25">
        <f t="shared" si="17"/>
        <v>13196861.382918533</v>
      </c>
      <c r="S113" s="25">
        <f t="shared" si="4"/>
        <v>1628997.1339037491</v>
      </c>
      <c r="T113" s="25">
        <f t="shared" si="18"/>
        <v>484900835.17171085</v>
      </c>
      <c r="U113" s="25">
        <f>S113/((1+'How much will I make'!$C$5/12)^(Calculations!$B$1*12-Calculations!$A113))</f>
        <v>348311.80988768185</v>
      </c>
      <c r="V113" s="25">
        <f t="shared" si="19"/>
        <v>78210692.422200218</v>
      </c>
      <c r="W113" s="25">
        <f t="shared" si="5"/>
        <v>7382913.0947281532</v>
      </c>
      <c r="X113" s="25">
        <f t="shared" si="20"/>
        <v>2938138417.0344472</v>
      </c>
      <c r="Y113" s="25">
        <f>W113/((1+'How much will I make'!$C$5/12)^(Calculations!$B$1*12-Calculations!$A113))</f>
        <v>1578612.85864004</v>
      </c>
      <c r="Z113" s="25">
        <f t="shared" si="21"/>
        <v>467142742.7066201</v>
      </c>
      <c r="AA113" s="25">
        <f t="shared" si="6"/>
        <v>33256204.363177359</v>
      </c>
      <c r="AB113" s="25">
        <f t="shared" si="22"/>
        <v>17902785338.012268</v>
      </c>
      <c r="AC113" s="25">
        <f>AA113/((1+'How much will I make'!$C$5/12)^(Calculations!$B$1*12-Calculations!$A113))</f>
        <v>7110834.3229395468</v>
      </c>
      <c r="AD113" s="25">
        <f t="shared" si="23"/>
        <v>2809061603.1215229</v>
      </c>
      <c r="AE113" s="25">
        <f t="shared" si="7"/>
        <v>148893797.79236445</v>
      </c>
      <c r="AF113" s="25">
        <f t="shared" si="24"/>
        <v>109564164146.61783</v>
      </c>
      <c r="AG113" s="25">
        <f>AE113/((1+'How much will I make'!$C$5/12)^(Calculations!$B$1*12-Calculations!$A113))</f>
        <v>31836439.18748188</v>
      </c>
      <c r="AH113" s="25">
        <f t="shared" si="25"/>
        <v>16986145206.153484</v>
      </c>
    </row>
    <row r="114" spans="1:34" ht="15.75" customHeight="1">
      <c r="A114" s="22">
        <f t="shared" si="8"/>
        <v>110</v>
      </c>
      <c r="B114" s="22">
        <f t="shared" ref="B114:B124" si="34">B113</f>
        <v>775.66410798925813</v>
      </c>
      <c r="C114" s="25">
        <f t="shared" si="0"/>
        <v>3612.6011461126845</v>
      </c>
      <c r="D114" s="25">
        <f t="shared" si="10"/>
        <v>392333.34985275596</v>
      </c>
      <c r="E114" s="25">
        <f>$C114/((1+'How much will I make'!$C$5/12)^(Calculations!$B$1*12-Calculations!$A114))</f>
        <v>775.66410798925813</v>
      </c>
      <c r="F114" s="25">
        <f t="shared" si="11"/>
        <v>67710.714133400368</v>
      </c>
      <c r="G114" s="25">
        <f t="shared" si="1"/>
        <v>16718.591077430992</v>
      </c>
      <c r="H114" s="25">
        <f t="shared" si="12"/>
        <v>2296201.9123246768</v>
      </c>
      <c r="I114" s="25">
        <f>G114/((1+'How much will I make'!$C$5/12)^(Calculations!$B$1*12-Calculations!$A114))</f>
        <v>3589.6603334876377</v>
      </c>
      <c r="J114" s="25">
        <f t="shared" si="13"/>
        <v>389475.55915199703</v>
      </c>
      <c r="K114" s="25">
        <f t="shared" si="2"/>
        <v>76883.915734121212</v>
      </c>
      <c r="L114" s="25">
        <f t="shared" si="14"/>
        <v>13569868.638006266</v>
      </c>
      <c r="M114" s="25">
        <f>K114/((1+'How much will I make'!$C$5/12)^(Calculations!$B$1*12-Calculations!$A114))</f>
        <v>16507.799091189307</v>
      </c>
      <c r="N114" s="25">
        <f t="shared" si="15"/>
        <v>2262686.3299208954</v>
      </c>
      <c r="O114" s="25">
        <f t="shared" si="3"/>
        <v>351358.13078091887</v>
      </c>
      <c r="P114" s="25">
        <f t="shared" si="16"/>
        <v>80921837.177318037</v>
      </c>
      <c r="Q114" s="25">
        <f>O114/((1+'How much will I make'!$C$5/12)^(Calculations!$B$1*12-Calculations!$A114))</f>
        <v>75440.348954717847</v>
      </c>
      <c r="R114" s="25">
        <f t="shared" si="17"/>
        <v>13272301.731873251</v>
      </c>
      <c r="S114" s="25">
        <f t="shared" si="4"/>
        <v>1595752.2944363256</v>
      </c>
      <c r="T114" s="25">
        <f t="shared" si="18"/>
        <v>486496587.46614718</v>
      </c>
      <c r="U114" s="25">
        <f>S114/((1+'How much will I make'!$C$5/12)^(Calculations!$B$1*12-Calculations!$A114))</f>
        <v>342625.08646094415</v>
      </c>
      <c r="V114" s="25">
        <f t="shared" si="19"/>
        <v>78553317.508661166</v>
      </c>
      <c r="W114" s="25">
        <f t="shared" si="5"/>
        <v>7202842.0436372217</v>
      </c>
      <c r="X114" s="25">
        <f t="shared" si="20"/>
        <v>2945341259.0780845</v>
      </c>
      <c r="Y114" s="25">
        <f>W114/((1+'How much will I make'!$C$5/12)^(Calculations!$B$1*12-Calculations!$A114))</f>
        <v>1546527.2314319087</v>
      </c>
      <c r="Z114" s="25">
        <f t="shared" si="21"/>
        <v>468689269.938052</v>
      </c>
      <c r="AA114" s="25">
        <f t="shared" si="6"/>
        <v>32313720.838714842</v>
      </c>
      <c r="AB114" s="25">
        <f t="shared" si="22"/>
        <v>17935099058.850983</v>
      </c>
      <c r="AC114" s="25">
        <f>AA114/((1+'How much will I make'!$C$5/12)^(Calculations!$B$1*12-Calculations!$A114))</f>
        <v>6938101.5053782612</v>
      </c>
      <c r="AD114" s="25">
        <f t="shared" si="23"/>
        <v>2815999704.6269011</v>
      </c>
      <c r="AE114" s="25">
        <f t="shared" si="7"/>
        <v>144090772.05712691</v>
      </c>
      <c r="AF114" s="25">
        <f t="shared" si="24"/>
        <v>109708254918.67496</v>
      </c>
      <c r="AG114" s="25">
        <f>AE114/((1+'How much will I make'!$C$5/12)^(Calculations!$B$1*12-Calculations!$A114))</f>
        <v>30937830.016867477</v>
      </c>
      <c r="AH114" s="25">
        <f t="shared" si="25"/>
        <v>17017083036.170351</v>
      </c>
    </row>
    <row r="115" spans="1:34" ht="15.75" customHeight="1">
      <c r="A115" s="22">
        <f t="shared" si="8"/>
        <v>111</v>
      </c>
      <c r="B115" s="22">
        <f t="shared" si="34"/>
        <v>775.66410798925813</v>
      </c>
      <c r="C115" s="25">
        <f t="shared" si="0"/>
        <v>3597.6110998632544</v>
      </c>
      <c r="D115" s="25">
        <f t="shared" si="10"/>
        <v>395930.96095261921</v>
      </c>
      <c r="E115" s="25">
        <f>$C115/((1+'How much will I make'!$C$5/12)^(Calculations!$B$1*12-Calculations!$A115))</f>
        <v>775.66410798925813</v>
      </c>
      <c r="F115" s="25">
        <f t="shared" si="11"/>
        <v>68486.378241389626</v>
      </c>
      <c r="G115" s="25">
        <f t="shared" si="1"/>
        <v>16580.420903237347</v>
      </c>
      <c r="H115" s="25">
        <f t="shared" si="12"/>
        <v>2312782.3332279143</v>
      </c>
      <c r="I115" s="25">
        <f>G115/((1+'How much will I make'!$C$5/12)^(Calculations!$B$1*12-Calculations!$A115))</f>
        <v>3574.8270263244649</v>
      </c>
      <c r="J115" s="25">
        <f t="shared" si="13"/>
        <v>393050.3861783215</v>
      </c>
      <c r="K115" s="25">
        <f t="shared" si="2"/>
        <v>75934.731589255505</v>
      </c>
      <c r="L115" s="25">
        <f t="shared" si="14"/>
        <v>13645803.369595522</v>
      </c>
      <c r="M115" s="25">
        <f>K115/((1+'How much will I make'!$C$5/12)^(Calculations!$B$1*12-Calculations!$A115))</f>
        <v>16371.932432002559</v>
      </c>
      <c r="N115" s="25">
        <f t="shared" si="15"/>
        <v>2279058.2623528978</v>
      </c>
      <c r="O115" s="25">
        <f t="shared" si="3"/>
        <v>345598.1614238547</v>
      </c>
      <c r="P115" s="25">
        <f t="shared" si="16"/>
        <v>81267435.338741899</v>
      </c>
      <c r="Q115" s="25">
        <f>O115/((1+'How much will I make'!$C$5/12)^(Calculations!$B$1*12-Calculations!$A115))</f>
        <v>74512.803680684432</v>
      </c>
      <c r="R115" s="25">
        <f t="shared" si="17"/>
        <v>13346814.535553936</v>
      </c>
      <c r="S115" s="25">
        <f t="shared" si="4"/>
        <v>1563185.9210804824</v>
      </c>
      <c r="T115" s="25">
        <f t="shared" si="18"/>
        <v>488059773.38722765</v>
      </c>
      <c r="U115" s="25">
        <f>S115/((1+'How much will I make'!$C$5/12)^(Calculations!$B$1*12-Calculations!$A115))</f>
        <v>337031.20749831654</v>
      </c>
      <c r="V115" s="25">
        <f t="shared" si="19"/>
        <v>78890348.716159478</v>
      </c>
      <c r="W115" s="25">
        <f t="shared" si="5"/>
        <v>7027162.969402167</v>
      </c>
      <c r="X115" s="25">
        <f t="shared" si="20"/>
        <v>2952368422.0474868</v>
      </c>
      <c r="Y115" s="25">
        <f>W115/((1+'How much will I make'!$C$5/12)^(Calculations!$B$1*12-Calculations!$A115))</f>
        <v>1515093.7511182518</v>
      </c>
      <c r="Z115" s="25">
        <f t="shared" si="21"/>
        <v>470204363.68917024</v>
      </c>
      <c r="AA115" s="25">
        <f t="shared" si="6"/>
        <v>31397947.373650048</v>
      </c>
      <c r="AB115" s="25">
        <f t="shared" si="22"/>
        <v>17966497006.224632</v>
      </c>
      <c r="AC115" s="25">
        <f>AA115/((1+'How much will I make'!$C$5/12)^(Calculations!$B$1*12-Calculations!$A115))</f>
        <v>6769564.6267051045</v>
      </c>
      <c r="AD115" s="25">
        <f t="shared" si="23"/>
        <v>2822769269.2536063</v>
      </c>
      <c r="AE115" s="25">
        <f t="shared" si="7"/>
        <v>139442682.63592926</v>
      </c>
      <c r="AF115" s="25">
        <f t="shared" si="24"/>
        <v>109847697601.31088</v>
      </c>
      <c r="AG115" s="25">
        <f>AE115/((1+'How much will I make'!$C$5/12)^(Calculations!$B$1*12-Calculations!$A115))</f>
        <v>30064584.814778473</v>
      </c>
      <c r="AH115" s="25">
        <f t="shared" si="25"/>
        <v>17047147620.98513</v>
      </c>
    </row>
    <row r="116" spans="1:34" ht="15.75" customHeight="1">
      <c r="A116" s="22">
        <f t="shared" si="8"/>
        <v>112</v>
      </c>
      <c r="B116" s="22">
        <f t="shared" si="34"/>
        <v>775.66410798925813</v>
      </c>
      <c r="C116" s="25">
        <f t="shared" si="0"/>
        <v>3582.6832529758553</v>
      </c>
      <c r="D116" s="25">
        <f t="shared" si="10"/>
        <v>399513.64420559508</v>
      </c>
      <c r="E116" s="25">
        <f>$C116/((1+'How much will I make'!$C$5/12)^(Calculations!$B$1*12-Calculations!$A116))</f>
        <v>775.66410798925813</v>
      </c>
      <c r="F116" s="25">
        <f t="shared" si="11"/>
        <v>69262.042349378884</v>
      </c>
      <c r="G116" s="25">
        <f t="shared" si="1"/>
        <v>16443.392631309765</v>
      </c>
      <c r="H116" s="25">
        <f t="shared" si="12"/>
        <v>2329225.7258592239</v>
      </c>
      <c r="I116" s="25">
        <f>G116/((1+'How much will I make'!$C$5/12)^(Calculations!$B$1*12-Calculations!$A116))</f>
        <v>3560.0550138189919</v>
      </c>
      <c r="J116" s="25">
        <f t="shared" si="13"/>
        <v>396610.44119214051</v>
      </c>
      <c r="K116" s="25">
        <f t="shared" si="2"/>
        <v>74997.26576716594</v>
      </c>
      <c r="L116" s="25">
        <f t="shared" si="14"/>
        <v>13720800.635362688</v>
      </c>
      <c r="M116" s="25">
        <f>K116/((1+'How much will I make'!$C$5/12)^(Calculations!$B$1*12-Calculations!$A116))</f>
        <v>16237.18401692435</v>
      </c>
      <c r="N116" s="25">
        <f t="shared" si="15"/>
        <v>2295295.4463698221</v>
      </c>
      <c r="O116" s="25">
        <f t="shared" si="3"/>
        <v>339932.61779395537</v>
      </c>
      <c r="P116" s="25">
        <f t="shared" si="16"/>
        <v>81607367.956535861</v>
      </c>
      <c r="Q116" s="25">
        <f>O116/((1+'How much will I make'!$C$5/12)^(Calculations!$B$1*12-Calculations!$A116))</f>
        <v>73596.662651823543</v>
      </c>
      <c r="R116" s="25">
        <f t="shared" si="17"/>
        <v>13420411.19820576</v>
      </c>
      <c r="S116" s="25">
        <f t="shared" si="4"/>
        <v>1531284.1675890442</v>
      </c>
      <c r="T116" s="25">
        <f t="shared" si="18"/>
        <v>489591057.55481672</v>
      </c>
      <c r="U116" s="25">
        <f>S116/((1+'How much will I make'!$C$5/12)^(Calculations!$B$1*12-Calculations!$A116))</f>
        <v>331528.65717181342</v>
      </c>
      <c r="V116" s="25">
        <f t="shared" si="19"/>
        <v>79221877.373331293</v>
      </c>
      <c r="W116" s="25">
        <f t="shared" si="5"/>
        <v>6855768.7506362619</v>
      </c>
      <c r="X116" s="25">
        <f t="shared" si="20"/>
        <v>2959224190.7981229</v>
      </c>
      <c r="Y116" s="25">
        <f>W116/((1+'How much will I make'!$C$5/12)^(Calculations!$B$1*12-Calculations!$A116))</f>
        <v>1484299.1626808892</v>
      </c>
      <c r="Z116" s="25">
        <f t="shared" si="21"/>
        <v>471688662.85185111</v>
      </c>
      <c r="AA116" s="25">
        <f t="shared" si="6"/>
        <v>30508127.0027369</v>
      </c>
      <c r="AB116" s="25">
        <f t="shared" si="22"/>
        <v>17997005133.227367</v>
      </c>
      <c r="AC116" s="25">
        <f>AA116/((1+'How much will I make'!$C$5/12)^(Calculations!$B$1*12-Calculations!$A116))</f>
        <v>6605121.7612790717</v>
      </c>
      <c r="AD116" s="25">
        <f t="shared" si="23"/>
        <v>2829374391.0148854</v>
      </c>
      <c r="AE116" s="25">
        <f t="shared" si="7"/>
        <v>134944531.5831573</v>
      </c>
      <c r="AF116" s="25">
        <f t="shared" si="24"/>
        <v>109982642132.89404</v>
      </c>
      <c r="AG116" s="25">
        <f>AE116/((1+'How much will I make'!$C$5/12)^(Calculations!$B$1*12-Calculations!$A116))</f>
        <v>29215987.662748422</v>
      </c>
      <c r="AH116" s="25">
        <f t="shared" si="25"/>
        <v>17076363608.647879</v>
      </c>
    </row>
    <row r="117" spans="1:34" ht="15.75" customHeight="1">
      <c r="A117" s="22">
        <f t="shared" si="8"/>
        <v>113</v>
      </c>
      <c r="B117" s="22">
        <f t="shared" si="34"/>
        <v>775.66410798925813</v>
      </c>
      <c r="C117" s="25">
        <f t="shared" si="0"/>
        <v>3567.8173473618481</v>
      </c>
      <c r="D117" s="25">
        <f t="shared" si="10"/>
        <v>403081.4615529569</v>
      </c>
      <c r="E117" s="25">
        <f>$C117/((1+'How much will I make'!$C$5/12)^(Calculations!$B$1*12-Calculations!$A117))</f>
        <v>775.66410798925813</v>
      </c>
      <c r="F117" s="25">
        <f t="shared" si="11"/>
        <v>70037.706457368142</v>
      </c>
      <c r="G117" s="25">
        <f t="shared" si="1"/>
        <v>16307.496824439439</v>
      </c>
      <c r="H117" s="25">
        <f t="shared" si="12"/>
        <v>2345533.2226836635</v>
      </c>
      <c r="I117" s="25">
        <f>G117/((1+'How much will I make'!$C$5/12)^(Calculations!$B$1*12-Calculations!$A117))</f>
        <v>3545.3440426875086</v>
      </c>
      <c r="J117" s="25">
        <f t="shared" si="13"/>
        <v>400155.78523482801</v>
      </c>
      <c r="K117" s="25">
        <f t="shared" si="2"/>
        <v>74071.373597200916</v>
      </c>
      <c r="L117" s="25">
        <f t="shared" si="14"/>
        <v>13794872.008959889</v>
      </c>
      <c r="M117" s="25">
        <f>K117/((1+'How much will I make'!$C$5/12)^(Calculations!$B$1*12-Calculations!$A117))</f>
        <v>16103.544642299454</v>
      </c>
      <c r="N117" s="25">
        <f t="shared" si="15"/>
        <v>2311398.9910121216</v>
      </c>
      <c r="O117" s="25">
        <f t="shared" si="3"/>
        <v>334359.9519284807</v>
      </c>
      <c r="P117" s="25">
        <f t="shared" si="16"/>
        <v>81941727.908464342</v>
      </c>
      <c r="Q117" s="25">
        <f>O117/((1+'How much will I make'!$C$5/12)^(Calculations!$B$1*12-Calculations!$A117))</f>
        <v>72691.78565200603</v>
      </c>
      <c r="R117" s="25">
        <f t="shared" si="17"/>
        <v>13493102.983857766</v>
      </c>
      <c r="S117" s="25">
        <f t="shared" si="4"/>
        <v>1500033.4702913086</v>
      </c>
      <c r="T117" s="25">
        <f t="shared" si="18"/>
        <v>491091091.02510804</v>
      </c>
      <c r="U117" s="25">
        <f>S117/((1+'How much will I make'!$C$5/12)^(Calculations!$B$1*12-Calculations!$A117))</f>
        <v>326115.94440166134</v>
      </c>
      <c r="V117" s="25">
        <f t="shared" si="19"/>
        <v>79547993.31773296</v>
      </c>
      <c r="W117" s="25">
        <f t="shared" si="5"/>
        <v>6688554.8786695255</v>
      </c>
      <c r="X117" s="25">
        <f t="shared" si="20"/>
        <v>2965912745.6767926</v>
      </c>
      <c r="Y117" s="25">
        <f>W117/((1+'How much will I make'!$C$5/12)^(Calculations!$B$1*12-Calculations!$A117))</f>
        <v>1454130.4805125787</v>
      </c>
      <c r="Z117" s="25">
        <f t="shared" si="21"/>
        <v>473142793.33236367</v>
      </c>
      <c r="AA117" s="25">
        <f t="shared" si="6"/>
        <v>29643524.213185657</v>
      </c>
      <c r="AB117" s="25">
        <f t="shared" si="22"/>
        <v>18026648657.440552</v>
      </c>
      <c r="AC117" s="25">
        <f>AA117/((1+'How much will I make'!$C$5/12)^(Calculations!$B$1*12-Calculations!$A117))</f>
        <v>6444673.459385654</v>
      </c>
      <c r="AD117" s="25">
        <f t="shared" si="23"/>
        <v>2835819064.4742713</v>
      </c>
      <c r="AE117" s="25">
        <f t="shared" si="7"/>
        <v>130591482.17724898</v>
      </c>
      <c r="AF117" s="25">
        <f t="shared" si="24"/>
        <v>110113233615.07129</v>
      </c>
      <c r="AG117" s="25">
        <f>AE117/((1+'How much will I make'!$C$5/12)^(Calculations!$B$1*12-Calculations!$A117))</f>
        <v>28391342.849686969</v>
      </c>
      <c r="AH117" s="25">
        <f t="shared" si="25"/>
        <v>17104754951.497566</v>
      </c>
    </row>
    <row r="118" spans="1:34" ht="15.75" customHeight="1">
      <c r="A118" s="22">
        <f t="shared" si="8"/>
        <v>114</v>
      </c>
      <c r="B118" s="22">
        <f t="shared" si="34"/>
        <v>775.66410798925813</v>
      </c>
      <c r="C118" s="25">
        <f t="shared" si="0"/>
        <v>3553.0131260034991</v>
      </c>
      <c r="D118" s="25">
        <f t="shared" si="10"/>
        <v>406634.4746789604</v>
      </c>
      <c r="E118" s="25">
        <f>$C118/((1+'How much will I make'!$C$5/12)^(Calculations!$B$1*12-Calculations!$A118))</f>
        <v>775.66410798925813</v>
      </c>
      <c r="F118" s="25">
        <f t="shared" si="11"/>
        <v>70813.3705653574</v>
      </c>
      <c r="G118" s="25">
        <f t="shared" si="1"/>
        <v>16172.724123411013</v>
      </c>
      <c r="H118" s="25">
        <f t="shared" si="12"/>
        <v>2361705.9468070744</v>
      </c>
      <c r="I118" s="25">
        <f>G118/((1+'How much will I make'!$C$5/12)^(Calculations!$B$1*12-Calculations!$A118))</f>
        <v>3530.693860692933</v>
      </c>
      <c r="J118" s="25">
        <f t="shared" si="13"/>
        <v>403686.47909552098</v>
      </c>
      <c r="K118" s="25">
        <f t="shared" si="2"/>
        <v>73156.912194766352</v>
      </c>
      <c r="L118" s="25">
        <f t="shared" si="14"/>
        <v>13868028.921154656</v>
      </c>
      <c r="M118" s="25">
        <f>K118/((1+'How much will I make'!$C$5/12)^(Calculations!$B$1*12-Calculations!$A118))</f>
        <v>15971.005180222923</v>
      </c>
      <c r="N118" s="25">
        <f t="shared" si="15"/>
        <v>2327369.9961923445</v>
      </c>
      <c r="O118" s="25">
        <f t="shared" si="3"/>
        <v>328878.64124112873</v>
      </c>
      <c r="P118" s="25">
        <f t="shared" si="16"/>
        <v>82270606.549705476</v>
      </c>
      <c r="Q118" s="25">
        <f>O118/((1+'How much will I make'!$C$5/12)^(Calculations!$B$1*12-Calculations!$A118))</f>
        <v>71798.034189071594</v>
      </c>
      <c r="R118" s="25">
        <f t="shared" si="17"/>
        <v>13564901.018046837</v>
      </c>
      <c r="S118" s="25">
        <f t="shared" si="4"/>
        <v>1469420.5423261803</v>
      </c>
      <c r="T118" s="25">
        <f t="shared" si="18"/>
        <v>492560511.56743419</v>
      </c>
      <c r="U118" s="25">
        <f>S118/((1+'How much will I make'!$C$5/12)^(Calculations!$B$1*12-Calculations!$A118))</f>
        <v>320791.60245224665</v>
      </c>
      <c r="V118" s="25">
        <f t="shared" si="19"/>
        <v>79868784.920185208</v>
      </c>
      <c r="W118" s="25">
        <f t="shared" si="5"/>
        <v>6525419.3938239254</v>
      </c>
      <c r="X118" s="25">
        <f t="shared" si="20"/>
        <v>2972438165.0706167</v>
      </c>
      <c r="Y118" s="25">
        <f>W118/((1+'How much will I make'!$C$5/12)^(Calculations!$B$1*12-Calculations!$A118))</f>
        <v>1424574.9829411849</v>
      </c>
      <c r="Z118" s="25">
        <f t="shared" si="21"/>
        <v>474567368.31530488</v>
      </c>
      <c r="AA118" s="25">
        <f t="shared" si="6"/>
        <v>28803424.336698618</v>
      </c>
      <c r="AB118" s="25">
        <f t="shared" si="22"/>
        <v>18055452081.777252</v>
      </c>
      <c r="AC118" s="25">
        <f>AA118/((1+'How much will I make'!$C$5/12)^(Calculations!$B$1*12-Calculations!$A118))</f>
        <v>6288122.6870928872</v>
      </c>
      <c r="AD118" s="25">
        <f t="shared" si="23"/>
        <v>2842107187.1613641</v>
      </c>
      <c r="AE118" s="25">
        <f t="shared" si="7"/>
        <v>126378853.71991837</v>
      </c>
      <c r="AF118" s="25">
        <f t="shared" si="24"/>
        <v>110239612468.79121</v>
      </c>
      <c r="AG118" s="25">
        <f>AE118/((1+'How much will I make'!$C$5/12)^(Calculations!$B$1*12-Calculations!$A118))</f>
        <v>27589974.30151033</v>
      </c>
      <c r="AH118" s="25">
        <f t="shared" si="25"/>
        <v>17132344925.799076</v>
      </c>
    </row>
    <row r="119" spans="1:34" ht="15.75" customHeight="1">
      <c r="A119" s="22">
        <f t="shared" si="8"/>
        <v>115</v>
      </c>
      <c r="B119" s="22">
        <f t="shared" si="34"/>
        <v>775.66410798925813</v>
      </c>
      <c r="C119" s="25">
        <f t="shared" si="0"/>
        <v>3538.2703329495425</v>
      </c>
      <c r="D119" s="25">
        <f t="shared" si="10"/>
        <v>410172.74501190992</v>
      </c>
      <c r="E119" s="25">
        <f>$C119/((1+'How much will I make'!$C$5/12)^(Calculations!$B$1*12-Calculations!$A119))</f>
        <v>775.66410798925813</v>
      </c>
      <c r="F119" s="25">
        <f t="shared" si="11"/>
        <v>71589.034673346658</v>
      </c>
      <c r="G119" s="25">
        <f t="shared" si="1"/>
        <v>16039.065246358026</v>
      </c>
      <c r="H119" s="25">
        <f t="shared" si="12"/>
        <v>2377745.0120534324</v>
      </c>
      <c r="I119" s="25">
        <f>G119/((1+'How much will I make'!$C$5/12)^(Calculations!$B$1*12-Calculations!$A119))</f>
        <v>3516.1042166404823</v>
      </c>
      <c r="J119" s="25">
        <f t="shared" si="13"/>
        <v>407202.58331216144</v>
      </c>
      <c r="K119" s="25">
        <f t="shared" si="2"/>
        <v>72253.740439275396</v>
      </c>
      <c r="L119" s="25">
        <f t="shared" si="14"/>
        <v>13940282.661593931</v>
      </c>
      <c r="M119" s="25">
        <f>K119/((1+'How much will I make'!$C$5/12)^(Calculations!$B$1*12-Calculations!$A119))</f>
        <v>15839.556577916559</v>
      </c>
      <c r="N119" s="25">
        <f t="shared" si="15"/>
        <v>2343209.5527702612</v>
      </c>
      <c r="O119" s="25">
        <f t="shared" si="3"/>
        <v>323487.18810602819</v>
      </c>
      <c r="P119" s="25">
        <f t="shared" si="16"/>
        <v>82594093.737811506</v>
      </c>
      <c r="Q119" s="25">
        <f>O119/((1+'How much will I make'!$C$5/12)^(Calculations!$B$1*12-Calculations!$A119))</f>
        <v>70915.27147363218</v>
      </c>
      <c r="R119" s="25">
        <f t="shared" si="17"/>
        <v>13635816.289520469</v>
      </c>
      <c r="S119" s="25">
        <f t="shared" si="4"/>
        <v>1439432.3679929934</v>
      </c>
      <c r="T119" s="25">
        <f t="shared" si="18"/>
        <v>493999943.93542719</v>
      </c>
      <c r="U119" s="25">
        <f>S119/((1+'How much will I make'!$C$5/12)^(Calculations!$B$1*12-Calculations!$A119))</f>
        <v>315554.18853465904</v>
      </c>
      <c r="V119" s="25">
        <f t="shared" si="19"/>
        <v>80184339.10871987</v>
      </c>
      <c r="W119" s="25">
        <f t="shared" si="5"/>
        <v>6366262.8232428562</v>
      </c>
      <c r="X119" s="25">
        <f t="shared" si="20"/>
        <v>2978804427.8938594</v>
      </c>
      <c r="Y119" s="25">
        <f>W119/((1+'How much will I make'!$C$5/12)^(Calculations!$B$1*12-Calculations!$A119))</f>
        <v>1395620.2068651451</v>
      </c>
      <c r="Z119" s="25">
        <f t="shared" si="21"/>
        <v>475962988.52217001</v>
      </c>
      <c r="AA119" s="25">
        <f t="shared" si="6"/>
        <v>27987132.958735492</v>
      </c>
      <c r="AB119" s="25">
        <f t="shared" si="22"/>
        <v>18083439214.735989</v>
      </c>
      <c r="AC119" s="25">
        <f>AA119/((1+'How much will I make'!$C$5/12)^(Calculations!$B$1*12-Calculations!$A119))</f>
        <v>6135374.7675683629</v>
      </c>
      <c r="AD119" s="25">
        <f t="shared" si="23"/>
        <v>2848242561.9289327</v>
      </c>
      <c r="AE119" s="25">
        <f t="shared" si="7"/>
        <v>122302116.50314681</v>
      </c>
      <c r="AF119" s="25">
        <f t="shared" si="24"/>
        <v>110361914585.29436</v>
      </c>
      <c r="AG119" s="25">
        <f>AE119/((1+'How much will I make'!$C$5/12)^(Calculations!$B$1*12-Calculations!$A119))</f>
        <v>26811225.026870925</v>
      </c>
      <c r="AH119" s="25">
        <f t="shared" si="25"/>
        <v>17159156150.825947</v>
      </c>
    </row>
    <row r="120" spans="1:34" ht="15.75" customHeight="1">
      <c r="A120" s="22">
        <f t="shared" si="8"/>
        <v>116</v>
      </c>
      <c r="B120" s="22">
        <f t="shared" si="34"/>
        <v>775.66410798925813</v>
      </c>
      <c r="C120" s="25">
        <f t="shared" si="0"/>
        <v>3523.5887133107476</v>
      </c>
      <c r="D120" s="25">
        <f t="shared" si="10"/>
        <v>413696.3337252207</v>
      </c>
      <c r="E120" s="25">
        <f>$C120/((1+'How much will I make'!$C$5/12)^(Calculations!$B$1*12-Calculations!$A120))</f>
        <v>775.66410798925813</v>
      </c>
      <c r="F120" s="25">
        <f t="shared" si="11"/>
        <v>72364.698781335916</v>
      </c>
      <c r="G120" s="25">
        <f t="shared" si="1"/>
        <v>15906.510988123671</v>
      </c>
      <c r="H120" s="25">
        <f t="shared" si="12"/>
        <v>2393651.5230415561</v>
      </c>
      <c r="I120" s="25">
        <f>G120/((1+'How much will I make'!$C$5/12)^(Calculations!$B$1*12-Calculations!$A120))</f>
        <v>3501.5748603733746</v>
      </c>
      <c r="J120" s="25">
        <f t="shared" si="13"/>
        <v>410704.15817253484</v>
      </c>
      <c r="K120" s="25">
        <f t="shared" si="2"/>
        <v>71361.718952370764</v>
      </c>
      <c r="L120" s="25">
        <f t="shared" si="14"/>
        <v>14011644.380546302</v>
      </c>
      <c r="M120" s="25">
        <f>K120/((1+'How much will I make'!$C$5/12)^(Calculations!$B$1*12-Calculations!$A120))</f>
        <v>15709.189857110661</v>
      </c>
      <c r="N120" s="25">
        <f t="shared" si="15"/>
        <v>2358918.742627372</v>
      </c>
      <c r="O120" s="25">
        <f t="shared" si="3"/>
        <v>318184.11944855232</v>
      </c>
      <c r="P120" s="25">
        <f t="shared" si="16"/>
        <v>82912277.857260063</v>
      </c>
      <c r="Q120" s="25">
        <f>O120/((1+'How much will I make'!$C$5/12)^(Calculations!$B$1*12-Calculations!$A120))</f>
        <v>70043.362398136698</v>
      </c>
      <c r="R120" s="25">
        <f t="shared" si="17"/>
        <v>13705859.651918605</v>
      </c>
      <c r="S120" s="25">
        <f t="shared" si="4"/>
        <v>1410056.1972176258</v>
      </c>
      <c r="T120" s="25">
        <f t="shared" si="18"/>
        <v>495410000.13264483</v>
      </c>
      <c r="U120" s="25">
        <f>S120/((1+'How much will I make'!$C$5/12)^(Calculations!$B$1*12-Calculations!$A120))</f>
        <v>310402.28341572575</v>
      </c>
      <c r="V120" s="25">
        <f t="shared" si="19"/>
        <v>80494741.39213559</v>
      </c>
      <c r="W120" s="25">
        <f t="shared" si="5"/>
        <v>6210988.1202369314</v>
      </c>
      <c r="X120" s="25">
        <f t="shared" si="20"/>
        <v>2985015416.0140963</v>
      </c>
      <c r="Y120" s="25">
        <f>W120/((1+'How much will I make'!$C$5/12)^(Calculations!$B$1*12-Calculations!$A120))</f>
        <v>1367253.942497967</v>
      </c>
      <c r="Z120" s="25">
        <f t="shared" si="21"/>
        <v>477330242.46466798</v>
      </c>
      <c r="AA120" s="25">
        <f t="shared" si="6"/>
        <v>27193975.344520327</v>
      </c>
      <c r="AB120" s="25">
        <f t="shared" si="22"/>
        <v>18110633190.080509</v>
      </c>
      <c r="AC120" s="25">
        <f>AA120/((1+'How much will I make'!$C$5/12)^(Calculations!$B$1*12-Calculations!$A120))</f>
        <v>5986337.3238217654</v>
      </c>
      <c r="AD120" s="25">
        <f t="shared" si="23"/>
        <v>2854228899.2527542</v>
      </c>
      <c r="AE120" s="25">
        <f t="shared" si="7"/>
        <v>118356886.93852916</v>
      </c>
      <c r="AF120" s="25">
        <f t="shared" si="24"/>
        <v>110480271472.23288</v>
      </c>
      <c r="AG120" s="25">
        <f>AE120/((1+'How much will I make'!$C$5/12)^(Calculations!$B$1*12-Calculations!$A120))</f>
        <v>26054456.578531824</v>
      </c>
      <c r="AH120" s="25">
        <f t="shared" si="25"/>
        <v>17185210607.40448</v>
      </c>
    </row>
    <row r="121" spans="1:34" ht="15.75" customHeight="1">
      <c r="A121" s="22">
        <f t="shared" si="8"/>
        <v>117</v>
      </c>
      <c r="B121" s="22">
        <f t="shared" si="34"/>
        <v>775.66410798925813</v>
      </c>
      <c r="C121" s="25">
        <f t="shared" si="0"/>
        <v>3508.9680132555168</v>
      </c>
      <c r="D121" s="25">
        <f t="shared" si="10"/>
        <v>417205.30173847621</v>
      </c>
      <c r="E121" s="25">
        <f>$C121/((1+'How much will I make'!$C$5/12)^(Calculations!$B$1*12-Calculations!$A121))</f>
        <v>775.66410798925813</v>
      </c>
      <c r="F121" s="25">
        <f t="shared" si="11"/>
        <v>73140.362889325173</v>
      </c>
      <c r="G121" s="25">
        <f t="shared" si="1"/>
        <v>15775.052219626776</v>
      </c>
      <c r="H121" s="25">
        <f t="shared" si="12"/>
        <v>2409426.5752611831</v>
      </c>
      <c r="I121" s="25">
        <f>G121/((1+'How much will I make'!$C$5/12)^(Calculations!$B$1*12-Calculations!$A121))</f>
        <v>3487.1055427685242</v>
      </c>
      <c r="J121" s="25">
        <f t="shared" si="13"/>
        <v>414191.26371530339</v>
      </c>
      <c r="K121" s="25">
        <f t="shared" si="2"/>
        <v>70480.710076415577</v>
      </c>
      <c r="L121" s="25">
        <f t="shared" si="14"/>
        <v>14082125.090622718</v>
      </c>
      <c r="M121" s="25">
        <f>K121/((1+'How much will I make'!$C$5/12)^(Calculations!$B$1*12-Calculations!$A121))</f>
        <v>15579.896113430739</v>
      </c>
      <c r="N121" s="25">
        <f t="shared" si="15"/>
        <v>2374498.6387408026</v>
      </c>
      <c r="O121" s="25">
        <f t="shared" si="3"/>
        <v>312967.98634283827</v>
      </c>
      <c r="P121" s="25">
        <f t="shared" si="16"/>
        <v>83225245.843602896</v>
      </c>
      <c r="Q121" s="25">
        <f>O121/((1+'How much will I make'!$C$5/12)^(Calculations!$B$1*12-Calculations!$A121))</f>
        <v>69182.173516192372</v>
      </c>
      <c r="R121" s="25">
        <f t="shared" si="17"/>
        <v>13775041.825434797</v>
      </c>
      <c r="S121" s="25">
        <f t="shared" si="4"/>
        <v>1381279.5401315521</v>
      </c>
      <c r="T121" s="25">
        <f t="shared" si="18"/>
        <v>496791279.6727764</v>
      </c>
      <c r="U121" s="25">
        <f>S121/((1+'How much will I make'!$C$5/12)^(Calculations!$B$1*12-Calculations!$A121))</f>
        <v>305334.49103342823</v>
      </c>
      <c r="V121" s="25">
        <f t="shared" si="19"/>
        <v>80800075.883169025</v>
      </c>
      <c r="W121" s="25">
        <f t="shared" si="5"/>
        <v>6059500.6051092027</v>
      </c>
      <c r="X121" s="25">
        <f t="shared" si="20"/>
        <v>2991074916.6192055</v>
      </c>
      <c r="Y121" s="25">
        <f>W121/((1+'How much will I make'!$C$5/12)^(Calculations!$B$1*12-Calculations!$A121))</f>
        <v>1339464.2282195531</v>
      </c>
      <c r="Z121" s="25">
        <f t="shared" si="21"/>
        <v>478669706.69288754</v>
      </c>
      <c r="AA121" s="25">
        <f t="shared" si="6"/>
        <v>26423295.881315302</v>
      </c>
      <c r="AB121" s="25">
        <f t="shared" si="22"/>
        <v>18137056485.961826</v>
      </c>
      <c r="AC121" s="25">
        <f>AA121/((1+'How much will I make'!$C$5/12)^(Calculations!$B$1*12-Calculations!$A121))</f>
        <v>5840920.2228382407</v>
      </c>
      <c r="AD121" s="25">
        <f t="shared" si="23"/>
        <v>2860069819.4755926</v>
      </c>
      <c r="AE121" s="25">
        <f t="shared" si="7"/>
        <v>114538922.84373786</v>
      </c>
      <c r="AF121" s="25">
        <f t="shared" si="24"/>
        <v>110594810395.07661</v>
      </c>
      <c r="AG121" s="25">
        <f>AE121/((1+'How much will I make'!$C$5/12)^(Calculations!$B$1*12-Calculations!$A121))</f>
        <v>25319048.529944222</v>
      </c>
      <c r="AH121" s="25">
        <f t="shared" si="25"/>
        <v>17210529655.934425</v>
      </c>
    </row>
    <row r="122" spans="1:34" ht="15.75" customHeight="1">
      <c r="A122" s="22">
        <f t="shared" si="8"/>
        <v>118</v>
      </c>
      <c r="B122" s="22">
        <f t="shared" si="34"/>
        <v>775.66410798925813</v>
      </c>
      <c r="C122" s="25">
        <f t="shared" si="0"/>
        <v>3494.4079800054942</v>
      </c>
      <c r="D122" s="25">
        <f t="shared" si="10"/>
        <v>420699.7097184817</v>
      </c>
      <c r="E122" s="25">
        <f>$C122/((1+'How much will I make'!$C$5/12)^(Calculations!$B$1*12-Calculations!$A122))</f>
        <v>775.66410798925813</v>
      </c>
      <c r="F122" s="25">
        <f t="shared" si="11"/>
        <v>73916.026997314431</v>
      </c>
      <c r="G122" s="25">
        <f t="shared" si="1"/>
        <v>15644.679887233171</v>
      </c>
      <c r="H122" s="25">
        <f t="shared" si="12"/>
        <v>2425071.2551484164</v>
      </c>
      <c r="I122" s="25">
        <f>G122/((1+'How much will I make'!$C$5/12)^(Calculations!$B$1*12-Calculations!$A122))</f>
        <v>3472.6960157322915</v>
      </c>
      <c r="J122" s="25">
        <f t="shared" si="13"/>
        <v>417663.95973103569</v>
      </c>
      <c r="K122" s="25">
        <f t="shared" si="2"/>
        <v>69610.577853249953</v>
      </c>
      <c r="L122" s="25">
        <f t="shared" si="14"/>
        <v>14151735.668475967</v>
      </c>
      <c r="M122" s="25">
        <f>K122/((1+'How much will I make'!$C$5/12)^(Calculations!$B$1*12-Calculations!$A122))</f>
        <v>15451.666515789331</v>
      </c>
      <c r="N122" s="25">
        <f t="shared" si="15"/>
        <v>2389950.3052565921</v>
      </c>
      <c r="O122" s="25">
        <f t="shared" si="3"/>
        <v>307837.36361590662</v>
      </c>
      <c r="P122" s="25">
        <f t="shared" si="16"/>
        <v>83533083.207218796</v>
      </c>
      <c r="Q122" s="25">
        <f>O122/((1+'How much will I make'!$C$5/12)^(Calculations!$B$1*12-Calculations!$A122))</f>
        <v>68331.573022140845</v>
      </c>
      <c r="R122" s="25">
        <f t="shared" si="17"/>
        <v>13843373.398456937</v>
      </c>
      <c r="S122" s="25">
        <f t="shared" si="4"/>
        <v>1353090.1617615209</v>
      </c>
      <c r="T122" s="25">
        <f t="shared" si="18"/>
        <v>498144369.83453792</v>
      </c>
      <c r="U122" s="25">
        <f>S122/((1+'How much will I make'!$C$5/12)^(Calculations!$B$1*12-Calculations!$A122))</f>
        <v>300349.43811859679</v>
      </c>
      <c r="V122" s="25">
        <f t="shared" si="19"/>
        <v>81100425.321287617</v>
      </c>
      <c r="W122" s="25">
        <f t="shared" si="5"/>
        <v>5911707.9074236127</v>
      </c>
      <c r="X122" s="25">
        <f t="shared" si="20"/>
        <v>2996986624.526629</v>
      </c>
      <c r="Y122" s="25">
        <f>W122/((1+'How much will I make'!$C$5/12)^(Calculations!$B$1*12-Calculations!$A122))</f>
        <v>1312239.3455321637</v>
      </c>
      <c r="Z122" s="25">
        <f t="shared" si="21"/>
        <v>479981946.03841972</v>
      </c>
      <c r="AA122" s="25">
        <f t="shared" si="6"/>
        <v>25674457.5365007</v>
      </c>
      <c r="AB122" s="25">
        <f t="shared" si="22"/>
        <v>18162730943.498325</v>
      </c>
      <c r="AC122" s="25">
        <f>AA122/((1+'How much will I make'!$C$5/12)^(Calculations!$B$1*12-Calculations!$A122))</f>
        <v>5699035.5210688906</v>
      </c>
      <c r="AD122" s="25">
        <f t="shared" si="23"/>
        <v>2865768854.9966617</v>
      </c>
      <c r="AE122" s="25">
        <f t="shared" si="7"/>
        <v>110844118.88103662</v>
      </c>
      <c r="AF122" s="25">
        <f t="shared" si="24"/>
        <v>110705654513.95766</v>
      </c>
      <c r="AG122" s="25">
        <f>AE122/((1+'How much will I make'!$C$5/12)^(Calculations!$B$1*12-Calculations!$A122))</f>
        <v>24604397.966599014</v>
      </c>
      <c r="AH122" s="25">
        <f t="shared" si="25"/>
        <v>17235134053.901024</v>
      </c>
    </row>
    <row r="123" spans="1:34" ht="15.75" customHeight="1">
      <c r="A123" s="22">
        <f t="shared" si="8"/>
        <v>119</v>
      </c>
      <c r="B123" s="22">
        <f t="shared" si="34"/>
        <v>775.66410798925813</v>
      </c>
      <c r="C123" s="25">
        <f t="shared" si="0"/>
        <v>3479.9083618311961</v>
      </c>
      <c r="D123" s="25">
        <f t="shared" si="10"/>
        <v>424179.61808031291</v>
      </c>
      <c r="E123" s="25">
        <f>$C123/((1+'How much will I make'!$C$5/12)^(Calculations!$B$1*12-Calculations!$A123))</f>
        <v>775.66410798925813</v>
      </c>
      <c r="F123" s="25">
        <f t="shared" si="11"/>
        <v>74691.691105303689</v>
      </c>
      <c r="G123" s="25">
        <f t="shared" si="1"/>
        <v>15515.385012132068</v>
      </c>
      <c r="H123" s="25">
        <f t="shared" si="12"/>
        <v>2440586.6401605485</v>
      </c>
      <c r="I123" s="25">
        <f>G123/((1+'How much will I make'!$C$5/12)^(Calculations!$B$1*12-Calculations!$A123))</f>
        <v>3458.3460321962084</v>
      </c>
      <c r="J123" s="25">
        <f t="shared" si="13"/>
        <v>421122.30576323188</v>
      </c>
      <c r="K123" s="25">
        <f t="shared" si="2"/>
        <v>68751.188003209842</v>
      </c>
      <c r="L123" s="25">
        <f t="shared" si="14"/>
        <v>14220486.856479177</v>
      </c>
      <c r="M123" s="25">
        <f>K123/((1+'How much will I make'!$C$5/12)^(Calculations!$B$1*12-Calculations!$A123))</f>
        <v>15324.492305782844</v>
      </c>
      <c r="N123" s="25">
        <f t="shared" si="15"/>
        <v>2405274.7975623747</v>
      </c>
      <c r="O123" s="25">
        <f t="shared" si="3"/>
        <v>302790.84945826884</v>
      </c>
      <c r="P123" s="25">
        <f t="shared" si="16"/>
        <v>83835874.056677058</v>
      </c>
      <c r="Q123" s="25">
        <f>O123/((1+'How much will I make'!$C$5/12)^(Calculations!$B$1*12-Calculations!$A123))</f>
        <v>67491.430730885055</v>
      </c>
      <c r="R123" s="25">
        <f t="shared" si="17"/>
        <v>13910864.829187822</v>
      </c>
      <c r="S123" s="25">
        <f t="shared" si="4"/>
        <v>1325476.076827612</v>
      </c>
      <c r="T123" s="25">
        <f t="shared" si="18"/>
        <v>499469845.91136551</v>
      </c>
      <c r="U123" s="25">
        <f>S123/((1+'How much will I make'!$C$5/12)^(Calculations!$B$1*12-Calculations!$A123))</f>
        <v>295445.77382278303</v>
      </c>
      <c r="V123" s="25">
        <f t="shared" si="19"/>
        <v>81395871.095110402</v>
      </c>
      <c r="W123" s="25">
        <f t="shared" si="5"/>
        <v>5767519.9096815735</v>
      </c>
      <c r="X123" s="25">
        <f t="shared" si="20"/>
        <v>3002754144.4363108</v>
      </c>
      <c r="Y123" s="25">
        <f>W123/((1+'How much will I make'!$C$5/12)^(Calculations!$B$1*12-Calculations!$A123))</f>
        <v>1285567.814118909</v>
      </c>
      <c r="Z123" s="25">
        <f t="shared" si="21"/>
        <v>481267513.85253865</v>
      </c>
      <c r="AA123" s="25">
        <f t="shared" si="6"/>
        <v>24946841.331012826</v>
      </c>
      <c r="AB123" s="25">
        <f t="shared" si="22"/>
        <v>18187677784.829338</v>
      </c>
      <c r="AC123" s="25">
        <f>AA123/((1+'How much will I make'!$C$5/12)^(Calculations!$B$1*12-Calculations!$A123))</f>
        <v>5560597.4112453572</v>
      </c>
      <c r="AD123" s="25">
        <f t="shared" si="23"/>
        <v>2871329452.407907</v>
      </c>
      <c r="AE123" s="25">
        <f t="shared" si="7"/>
        <v>107268502.14293869</v>
      </c>
      <c r="AF123" s="25">
        <f t="shared" si="24"/>
        <v>110812923016.1006</v>
      </c>
      <c r="AG123" s="25">
        <f>AE123/((1+'How much will I make'!$C$5/12)^(Calculations!$B$1*12-Calculations!$A123))</f>
        <v>23909918.991735347</v>
      </c>
      <c r="AH123" s="25">
        <f t="shared" si="25"/>
        <v>17259043972.892757</v>
      </c>
    </row>
    <row r="124" spans="1:34" ht="15.75" customHeight="1">
      <c r="A124" s="22">
        <f t="shared" si="8"/>
        <v>120</v>
      </c>
      <c r="B124" s="22">
        <f t="shared" si="34"/>
        <v>775.66410798925813</v>
      </c>
      <c r="C124" s="25">
        <f t="shared" si="0"/>
        <v>3465.4689080476651</v>
      </c>
      <c r="D124" s="25">
        <f t="shared" si="10"/>
        <v>427645.08698836056</v>
      </c>
      <c r="E124" s="25">
        <f>$C124/((1+'How much will I make'!$C$5/12)^(Calculations!$B$1*12-Calculations!$A124))</f>
        <v>775.66410798925813</v>
      </c>
      <c r="F124" s="25">
        <f t="shared" si="11"/>
        <v>75467.355213292947</v>
      </c>
      <c r="G124" s="25">
        <f t="shared" si="1"/>
        <v>15387.158689717757</v>
      </c>
      <c r="H124" s="25">
        <f t="shared" si="12"/>
        <v>2455973.7988502663</v>
      </c>
      <c r="I124" s="25">
        <f>G124/((1+'How much will I make'!$C$5/12)^(Calculations!$B$1*12-Calculations!$A124))</f>
        <v>3444.0553461127533</v>
      </c>
      <c r="J124" s="25">
        <f t="shared" si="13"/>
        <v>424566.36110934464</v>
      </c>
      <c r="K124" s="25">
        <f t="shared" si="2"/>
        <v>67902.407904404768</v>
      </c>
      <c r="L124" s="25">
        <f t="shared" si="14"/>
        <v>14288389.264383582</v>
      </c>
      <c r="M124" s="25">
        <f>K124/((1+'How much will I make'!$C$5/12)^(Calculations!$B$1*12-Calculations!$A124))</f>
        <v>15198.364797093267</v>
      </c>
      <c r="N124" s="25">
        <f t="shared" si="15"/>
        <v>2420473.1623594682</v>
      </c>
      <c r="O124" s="25">
        <f t="shared" si="3"/>
        <v>297827.0650409201</v>
      </c>
      <c r="P124" s="25">
        <f t="shared" si="16"/>
        <v>84133701.121717975</v>
      </c>
      <c r="Q124" s="25">
        <f>O124/((1+'How much will I make'!$C$5/12)^(Calculations!$B$1*12-Calculations!$A124))</f>
        <v>66661.618057964297</v>
      </c>
      <c r="R124" s="25">
        <f t="shared" si="17"/>
        <v>13977526.447245786</v>
      </c>
      <c r="S124" s="25">
        <f t="shared" si="4"/>
        <v>1298425.5446474568</v>
      </c>
      <c r="T124" s="25">
        <f t="shared" si="18"/>
        <v>500768271.45601296</v>
      </c>
      <c r="U124" s="25">
        <f>S124/((1+'How much will I make'!$C$5/12)^(Calculations!$B$1*12-Calculations!$A124))</f>
        <v>290622.16935220698</v>
      </c>
      <c r="V124" s="25">
        <f t="shared" si="19"/>
        <v>81686493.264462605</v>
      </c>
      <c r="W124" s="25">
        <f t="shared" si="5"/>
        <v>5626848.6923722671</v>
      </c>
      <c r="X124" s="25">
        <f t="shared" si="20"/>
        <v>3008380993.1286831</v>
      </c>
      <c r="Y124" s="25">
        <f>W124/((1+'How much will I make'!$C$5/12)^(Calculations!$B$1*12-Calculations!$A124))</f>
        <v>1259438.3870026709</v>
      </c>
      <c r="Z124" s="25">
        <f t="shared" si="21"/>
        <v>482526952.23954129</v>
      </c>
      <c r="AA124" s="25">
        <f t="shared" si="6"/>
        <v>24239845.827704772</v>
      </c>
      <c r="AB124" s="25">
        <f t="shared" si="22"/>
        <v>18211917630.657043</v>
      </c>
      <c r="AC124" s="25">
        <f>AA124/((1+'How much will I make'!$C$5/12)^(Calculations!$B$1*12-Calculations!$A124))</f>
        <v>5425522.1704863599</v>
      </c>
      <c r="AD124" s="25">
        <f t="shared" si="23"/>
        <v>2876754974.5783935</v>
      </c>
      <c r="AE124" s="25">
        <f t="shared" si="7"/>
        <v>103808227.88026324</v>
      </c>
      <c r="AF124" s="25">
        <f t="shared" si="24"/>
        <v>110916731243.98087</v>
      </c>
      <c r="AG124" s="25">
        <f>AE124/((1+'How much will I make'!$C$5/12)^(Calculations!$B$1*12-Calculations!$A124))</f>
        <v>23235042.246000879</v>
      </c>
      <c r="AH124" s="25">
        <f t="shared" si="25"/>
        <v>17282279015.13876</v>
      </c>
    </row>
    <row r="125" spans="1:34" ht="15.75" customHeight="1">
      <c r="A125" s="22">
        <f t="shared" si="8"/>
        <v>121</v>
      </c>
      <c r="B125" s="22">
        <f>B124*(1+'How much will I make'!$C$4)</f>
        <v>814.44731338872111</v>
      </c>
      <c r="C125" s="25">
        <f t="shared" si="0"/>
        <v>3623.64383746063</v>
      </c>
      <c r="D125" s="25">
        <f t="shared" si="10"/>
        <v>431268.73082582117</v>
      </c>
      <c r="E125" s="25">
        <f>$C125/((1+'How much will I make'!$C$5/12)^(Calculations!$B$1*12-Calculations!$A125))</f>
        <v>814.44731338872111</v>
      </c>
      <c r="F125" s="25">
        <f t="shared" si="11"/>
        <v>76281.802526681669</v>
      </c>
      <c r="G125" s="25">
        <f t="shared" si="1"/>
        <v>16022.991693425098</v>
      </c>
      <c r="H125" s="25">
        <f t="shared" si="12"/>
        <v>2471996.7905436913</v>
      </c>
      <c r="I125" s="25">
        <f>G125/((1+'How much will I make'!$C$5/12)^(Calculations!$B$1*12-Calculations!$A125))</f>
        <v>3601.3148980736851</v>
      </c>
      <c r="J125" s="25">
        <f t="shared" si="13"/>
        <v>428167.67600741831</v>
      </c>
      <c r="K125" s="25">
        <f t="shared" si="2"/>
        <v>70417.31190086421</v>
      </c>
      <c r="L125" s="25">
        <f t="shared" si="14"/>
        <v>14358806.576284446</v>
      </c>
      <c r="M125" s="25">
        <f>K125/((1+'How much will I make'!$C$5/12)^(Calculations!$B$1*12-Calculations!$A125))</f>
        <v>15826.939143639715</v>
      </c>
      <c r="N125" s="25">
        <f t="shared" si="15"/>
        <v>2436300.1015031077</v>
      </c>
      <c r="O125" s="25">
        <f t="shared" si="3"/>
        <v>307591.88684554055</v>
      </c>
      <c r="P125" s="25">
        <f t="shared" si="16"/>
        <v>84441293.008563519</v>
      </c>
      <c r="Q125" s="25">
        <f>O125/((1+'How much will I make'!$C$5/12)^(Calculations!$B$1*12-Calculations!$A125))</f>
        <v>69134.108399868317</v>
      </c>
      <c r="R125" s="25">
        <f t="shared" si="17"/>
        <v>14046660.555645654</v>
      </c>
      <c r="S125" s="25">
        <f t="shared" si="4"/>
        <v>1335523.4173516703</v>
      </c>
      <c r="T125" s="25">
        <f t="shared" si="18"/>
        <v>502103794.87336463</v>
      </c>
      <c r="U125" s="25">
        <f>S125/((1+'How much will I make'!$C$5/12)^(Calculations!$B$1*12-Calculations!$A125))</f>
        <v>300171.18348806526</v>
      </c>
      <c r="V125" s="25">
        <f t="shared" si="19"/>
        <v>81986664.447950676</v>
      </c>
      <c r="W125" s="25">
        <f t="shared" si="5"/>
        <v>5764088.9043813478</v>
      </c>
      <c r="X125" s="25">
        <f t="shared" si="20"/>
        <v>3014145082.0330644</v>
      </c>
      <c r="Y125" s="25">
        <f>W125/((1+'How much will I make'!$C$5/12)^(Calculations!$B$1*12-Calculations!$A125))</f>
        <v>1295532.0480936009</v>
      </c>
      <c r="Z125" s="25">
        <f t="shared" si="21"/>
        <v>483822484.28763491</v>
      </c>
      <c r="AA125" s="25">
        <f t="shared" si="6"/>
        <v>24730530.965917431</v>
      </c>
      <c r="AB125" s="25">
        <f t="shared" si="22"/>
        <v>18236648161.622959</v>
      </c>
      <c r="AC125" s="25">
        <f>AA125/((1+'How much will I make'!$C$5/12)^(Calculations!$B$1*12-Calculations!$A125))</f>
        <v>5558414.5151480716</v>
      </c>
      <c r="AD125" s="25">
        <f t="shared" si="23"/>
        <v>2882313389.0935416</v>
      </c>
      <c r="AE125" s="25">
        <f t="shared" si="7"/>
        <v>105482554.1363965</v>
      </c>
      <c r="AF125" s="25">
        <f t="shared" si="24"/>
        <v>111022213798.11726</v>
      </c>
      <c r="AG125" s="25">
        <f>AE125/((1+'How much will I make'!$C$5/12)^(Calculations!$B$1*12-Calculations!$A125))</f>
        <v>23708175.162703708</v>
      </c>
      <c r="AH125" s="25">
        <f t="shared" si="25"/>
        <v>17305987190.301464</v>
      </c>
    </row>
    <row r="126" spans="1:34" ht="15.75" customHeight="1">
      <c r="A126" s="22">
        <f t="shared" si="8"/>
        <v>122</v>
      </c>
      <c r="B126" s="22">
        <f t="shared" ref="B126:B136" si="35">B125</f>
        <v>814.44731338872111</v>
      </c>
      <c r="C126" s="25">
        <f t="shared" si="0"/>
        <v>3608.6079709151495</v>
      </c>
      <c r="D126" s="25">
        <f t="shared" si="10"/>
        <v>434877.33879673632</v>
      </c>
      <c r="E126" s="25">
        <f>$C126/((1+'How much will I make'!$C$5/12)^(Calculations!$B$1*12-Calculations!$A126))</f>
        <v>814.44731338872111</v>
      </c>
      <c r="F126" s="25">
        <f t="shared" si="11"/>
        <v>77096.249840070392</v>
      </c>
      <c r="G126" s="25">
        <f t="shared" si="1"/>
        <v>15890.570274471178</v>
      </c>
      <c r="H126" s="25">
        <f t="shared" si="12"/>
        <v>2487887.3608181626</v>
      </c>
      <c r="I126" s="25">
        <f>G126/((1+'How much will I make'!$C$5/12)^(Calculations!$B$1*12-Calculations!$A126))</f>
        <v>3586.4334315527217</v>
      </c>
      <c r="J126" s="25">
        <f t="shared" si="13"/>
        <v>431754.10943897103</v>
      </c>
      <c r="K126" s="25">
        <f t="shared" si="2"/>
        <v>69547.962371223926</v>
      </c>
      <c r="L126" s="25">
        <f t="shared" si="14"/>
        <v>14428354.53865567</v>
      </c>
      <c r="M126" s="25">
        <f>K126/((1+'How much will I make'!$C$5/12)^(Calculations!$B$1*12-Calculations!$A126))</f>
        <v>15696.676270029518</v>
      </c>
      <c r="N126" s="25">
        <f t="shared" si="15"/>
        <v>2451996.7777731372</v>
      </c>
      <c r="O126" s="25">
        <f t="shared" si="3"/>
        <v>302549.39689725306</v>
      </c>
      <c r="P126" s="25">
        <f t="shared" si="16"/>
        <v>84743842.405460775</v>
      </c>
      <c r="Q126" s="25">
        <f>O126/((1+'How much will I make'!$C$5/12)^(Calculations!$B$1*12-Calculations!$A126))</f>
        <v>68284.098870361762</v>
      </c>
      <c r="R126" s="25">
        <f t="shared" si="17"/>
        <v>14114944.654516015</v>
      </c>
      <c r="S126" s="25">
        <f t="shared" si="4"/>
        <v>1308267.8374057184</v>
      </c>
      <c r="T126" s="25">
        <f t="shared" si="18"/>
        <v>503412062.71077037</v>
      </c>
      <c r="U126" s="25">
        <f>S126/((1+'How much will I make'!$C$5/12)^(Calculations!$B$1*12-Calculations!$A126))</f>
        <v>295270.42947193375</v>
      </c>
      <c r="V126" s="25">
        <f t="shared" si="19"/>
        <v>82281934.877422616</v>
      </c>
      <c r="W126" s="25">
        <f t="shared" si="5"/>
        <v>5623501.3701281436</v>
      </c>
      <c r="X126" s="25">
        <f t="shared" si="20"/>
        <v>3019768583.4031925</v>
      </c>
      <c r="Y126" s="25">
        <f>W126/((1+'How much will I make'!$C$5/12)^(Calculations!$B$1*12-Calculations!$A126))</f>
        <v>1269200.0958965768</v>
      </c>
      <c r="Z126" s="25">
        <f t="shared" si="21"/>
        <v>485091684.38353151</v>
      </c>
      <c r="AA126" s="25">
        <f t="shared" si="6"/>
        <v>24029665.715871181</v>
      </c>
      <c r="AB126" s="25">
        <f t="shared" si="22"/>
        <v>18260677827.338829</v>
      </c>
      <c r="AC126" s="25">
        <f>AA126/((1+'How much will I make'!$C$5/12)^(Calculations!$B$1*12-Calculations!$A126))</f>
        <v>5423392.3002052037</v>
      </c>
      <c r="AD126" s="25">
        <f t="shared" si="23"/>
        <v>2887736781.3937469</v>
      </c>
      <c r="AE126" s="25">
        <f t="shared" si="7"/>
        <v>102079891.09973855</v>
      </c>
      <c r="AF126" s="25">
        <f t="shared" si="24"/>
        <v>111124293689.217</v>
      </c>
      <c r="AG126" s="25">
        <f>AE126/((1+'How much will I make'!$C$5/12)^(Calculations!$B$1*12-Calculations!$A126))</f>
        <v>23038992.799240302</v>
      </c>
      <c r="AH126" s="25">
        <f t="shared" si="25"/>
        <v>17329026183.100704</v>
      </c>
    </row>
    <row r="127" spans="1:34" ht="15.75" customHeight="1">
      <c r="A127" s="22">
        <f t="shared" si="8"/>
        <v>123</v>
      </c>
      <c r="B127" s="22">
        <f t="shared" si="35"/>
        <v>814.44731338872111</v>
      </c>
      <c r="C127" s="25">
        <f t="shared" si="0"/>
        <v>3593.6344938574098</v>
      </c>
      <c r="D127" s="25">
        <f t="shared" si="10"/>
        <v>438470.97329059371</v>
      </c>
      <c r="E127" s="25">
        <f>$C127/((1+'How much will I make'!$C$5/12)^(Calculations!$B$1*12-Calculations!$A127))</f>
        <v>814.44731338872111</v>
      </c>
      <c r="F127" s="25">
        <f t="shared" si="11"/>
        <v>77910.697153459114</v>
      </c>
      <c r="G127" s="25">
        <f t="shared" si="1"/>
        <v>15759.243247409433</v>
      </c>
      <c r="H127" s="25">
        <f t="shared" si="12"/>
        <v>2503646.6040655719</v>
      </c>
      <c r="I127" s="25">
        <f>G127/((1+'How much will I make'!$C$5/12)^(Calculations!$B$1*12-Calculations!$A127))</f>
        <v>3571.6134586950666</v>
      </c>
      <c r="J127" s="25">
        <f t="shared" si="13"/>
        <v>435325.7228976661</v>
      </c>
      <c r="K127" s="25">
        <f t="shared" si="2"/>
        <v>68689.345551826089</v>
      </c>
      <c r="L127" s="25">
        <f t="shared" si="14"/>
        <v>14497043.884207496</v>
      </c>
      <c r="M127" s="25">
        <f>K127/((1+'How much will I make'!$C$5/12)^(Calculations!$B$1*12-Calculations!$A127))</f>
        <v>15567.48551883586</v>
      </c>
      <c r="N127" s="25">
        <f t="shared" si="15"/>
        <v>2467564.2632919732</v>
      </c>
      <c r="O127" s="25">
        <f t="shared" si="3"/>
        <v>297589.57071860955</v>
      </c>
      <c r="P127" s="25">
        <f t="shared" si="16"/>
        <v>85041431.976179391</v>
      </c>
      <c r="Q127" s="25">
        <f>O127/((1+'How much will I make'!$C$5/12)^(Calculations!$B$1*12-Calculations!$A127))</f>
        <v>67444.540277693392</v>
      </c>
      <c r="R127" s="25">
        <f t="shared" si="17"/>
        <v>14182389.194793709</v>
      </c>
      <c r="S127" s="25">
        <f t="shared" si="4"/>
        <v>1281568.4937851934</v>
      </c>
      <c r="T127" s="25">
        <f t="shared" si="18"/>
        <v>504693631.20455557</v>
      </c>
      <c r="U127" s="25">
        <f>S127/((1+'How much will I make'!$C$5/12)^(Calculations!$B$1*12-Calculations!$A127))</f>
        <v>290449.68776626955</v>
      </c>
      <c r="V127" s="25">
        <f t="shared" si="19"/>
        <v>82572384.565188885</v>
      </c>
      <c r="W127" s="25">
        <f t="shared" si="5"/>
        <v>5486342.8001250196</v>
      </c>
      <c r="X127" s="25">
        <f t="shared" si="20"/>
        <v>3025254926.2033176</v>
      </c>
      <c r="Y127" s="25">
        <f>W127/((1+'How much will I make'!$C$5/12)^(Calculations!$B$1*12-Calculations!$A127))</f>
        <v>1243403.3459799802</v>
      </c>
      <c r="Z127" s="25">
        <f t="shared" si="21"/>
        <v>486335087.7295115</v>
      </c>
      <c r="AA127" s="25">
        <f t="shared" si="6"/>
        <v>23348663.043761481</v>
      </c>
      <c r="AB127" s="25">
        <f t="shared" si="22"/>
        <v>18284026490.382591</v>
      </c>
      <c r="AC127" s="25">
        <f>AA127/((1+'How much will I make'!$C$5/12)^(Calculations!$B$1*12-Calculations!$A127))</f>
        <v>5291649.9771232987</v>
      </c>
      <c r="AD127" s="25">
        <f t="shared" si="23"/>
        <v>2893028431.3708701</v>
      </c>
      <c r="AE127" s="25">
        <f t="shared" si="7"/>
        <v>98786991.386843741</v>
      </c>
      <c r="AF127" s="25">
        <f t="shared" si="24"/>
        <v>111223080680.60384</v>
      </c>
      <c r="AG127" s="25">
        <f>AE127/((1+'How much will I make'!$C$5/12)^(Calculations!$B$1*12-Calculations!$A127))</f>
        <v>22388698.647648841</v>
      </c>
      <c r="AH127" s="25">
        <f t="shared" si="25"/>
        <v>17351414881.748352</v>
      </c>
    </row>
    <row r="128" spans="1:34" ht="15.75" customHeight="1">
      <c r="A128" s="22">
        <f t="shared" si="8"/>
        <v>124</v>
      </c>
      <c r="B128" s="22">
        <f t="shared" si="35"/>
        <v>814.44731338872111</v>
      </c>
      <c r="C128" s="25">
        <f t="shared" si="0"/>
        <v>3578.7231474098689</v>
      </c>
      <c r="D128" s="25">
        <f t="shared" si="10"/>
        <v>442049.69643800356</v>
      </c>
      <c r="E128" s="25">
        <f>$C128/((1+'How much will I make'!$C$5/12)^(Calculations!$B$1*12-Calculations!$A128))</f>
        <v>814.44731338872111</v>
      </c>
      <c r="F128" s="25">
        <f t="shared" si="11"/>
        <v>78725.144466847836</v>
      </c>
      <c r="G128" s="25">
        <f t="shared" si="1"/>
        <v>15629.001567678773</v>
      </c>
      <c r="H128" s="25">
        <f t="shared" si="12"/>
        <v>2519275.6056332509</v>
      </c>
      <c r="I128" s="25">
        <f>G128/((1+'How much will I make'!$C$5/12)^(Calculations!$B$1*12-Calculations!$A128))</f>
        <v>3556.8547253946726</v>
      </c>
      <c r="J128" s="25">
        <f t="shared" si="13"/>
        <v>438882.57762306079</v>
      </c>
      <c r="K128" s="25">
        <f t="shared" si="2"/>
        <v>67841.328940075153</v>
      </c>
      <c r="L128" s="25">
        <f t="shared" si="14"/>
        <v>14564885.213147571</v>
      </c>
      <c r="M128" s="25">
        <f>K128/((1+'How much will I make'!$C$5/12)^(Calculations!$B$1*12-Calculations!$A128))</f>
        <v>15439.358066005934</v>
      </c>
      <c r="N128" s="25">
        <f t="shared" si="15"/>
        <v>2483003.6213579793</v>
      </c>
      <c r="O128" s="25">
        <f t="shared" si="3"/>
        <v>292711.0531658454</v>
      </c>
      <c r="P128" s="25">
        <f t="shared" si="16"/>
        <v>85334143.029345229</v>
      </c>
      <c r="Q128" s="25">
        <f>O128/((1+'How much will I make'!$C$5/12)^(Calculations!$B$1*12-Calculations!$A128))</f>
        <v>66615.30412673812</v>
      </c>
      <c r="R128" s="25">
        <f t="shared" si="17"/>
        <v>14249004.498920446</v>
      </c>
      <c r="S128" s="25">
        <f t="shared" si="4"/>
        <v>1255414.0347283529</v>
      </c>
      <c r="T128" s="25">
        <f t="shared" si="18"/>
        <v>505949045.23928392</v>
      </c>
      <c r="U128" s="25">
        <f>S128/((1+'How much will I make'!$C$5/12)^(Calculations!$B$1*12-Calculations!$A128))</f>
        <v>285707.65204763657</v>
      </c>
      <c r="V128" s="25">
        <f t="shared" si="19"/>
        <v>82858092.217236519</v>
      </c>
      <c r="W128" s="25">
        <f t="shared" si="5"/>
        <v>5352529.5610975809</v>
      </c>
      <c r="X128" s="25">
        <f t="shared" si="20"/>
        <v>3030607455.7644153</v>
      </c>
      <c r="Y128" s="25">
        <f>W128/((1+'How much will I make'!$C$5/12)^(Calculations!$B$1*12-Calculations!$A128))</f>
        <v>1218130.9202486798</v>
      </c>
      <c r="Z128" s="25">
        <f t="shared" si="21"/>
        <v>487553218.64976019</v>
      </c>
      <c r="AA128" s="25">
        <f t="shared" si="6"/>
        <v>22686960.042521279</v>
      </c>
      <c r="AB128" s="25">
        <f t="shared" si="22"/>
        <v>18306713450.425114</v>
      </c>
      <c r="AC128" s="25">
        <f>AA128/((1+'How much will I make'!$C$5/12)^(Calculations!$B$1*12-Calculations!$A128))</f>
        <v>5163107.8724158499</v>
      </c>
      <c r="AD128" s="25">
        <f t="shared" si="23"/>
        <v>2898191539.2432861</v>
      </c>
      <c r="AE128" s="25">
        <f t="shared" si="7"/>
        <v>95600314.245332658</v>
      </c>
      <c r="AF128" s="25">
        <f t="shared" si="24"/>
        <v>111318680994.84917</v>
      </c>
      <c r="AG128" s="25">
        <f>AE128/((1+'How much will I make'!$C$5/12)^(Calculations!$B$1*12-Calculations!$A128))</f>
        <v>21756759.572916817</v>
      </c>
      <c r="AH128" s="25">
        <f t="shared" si="25"/>
        <v>17373171641.32127</v>
      </c>
    </row>
    <row r="129" spans="1:34" ht="15.75" customHeight="1">
      <c r="A129" s="22">
        <f t="shared" si="8"/>
        <v>125</v>
      </c>
      <c r="B129" s="22">
        <f t="shared" si="35"/>
        <v>814.44731338872111</v>
      </c>
      <c r="C129" s="25">
        <f t="shared" si="0"/>
        <v>3563.8736737691647</v>
      </c>
      <c r="D129" s="25">
        <f t="shared" si="10"/>
        <v>445613.57011177274</v>
      </c>
      <c r="E129" s="25">
        <f>$C129/((1+'How much will I make'!$C$5/12)^(Calculations!$B$1*12-Calculations!$A129))</f>
        <v>814.44731338872111</v>
      </c>
      <c r="F129" s="25">
        <f t="shared" si="11"/>
        <v>79539.591780236558</v>
      </c>
      <c r="G129" s="25">
        <f t="shared" si="1"/>
        <v>15499.836265466554</v>
      </c>
      <c r="H129" s="25">
        <f t="shared" si="12"/>
        <v>2534775.4418987175</v>
      </c>
      <c r="I129" s="25">
        <f>G129/((1+'How much will I make'!$C$5/12)^(Calculations!$B$1*12-Calculations!$A129))</f>
        <v>3542.1569785955207</v>
      </c>
      <c r="J129" s="25">
        <f t="shared" si="13"/>
        <v>442424.73460165632</v>
      </c>
      <c r="K129" s="25">
        <f t="shared" si="2"/>
        <v>67003.781669210031</v>
      </c>
      <c r="L129" s="25">
        <f t="shared" si="14"/>
        <v>14631888.994816782</v>
      </c>
      <c r="M129" s="25">
        <f>K129/((1+'How much will I make'!$C$5/12)^(Calculations!$B$1*12-Calculations!$A129))</f>
        <v>15312.285160112879</v>
      </c>
      <c r="N129" s="25">
        <f t="shared" si="15"/>
        <v>2498315.9065180919</v>
      </c>
      <c r="O129" s="25">
        <f t="shared" si="3"/>
        <v>287912.51131066767</v>
      </c>
      <c r="P129" s="25">
        <f t="shared" si="16"/>
        <v>85622055.540655896</v>
      </c>
      <c r="Q129" s="25">
        <f>O129/((1+'How much will I make'!$C$5/12)^(Calculations!$B$1*12-Calculations!$A129))</f>
        <v>65796.263502229049</v>
      </c>
      <c r="R129" s="25">
        <f t="shared" si="17"/>
        <v>14314800.762422675</v>
      </c>
      <c r="S129" s="25">
        <f t="shared" si="4"/>
        <v>1229793.3401420598</v>
      </c>
      <c r="T129" s="25">
        <f t="shared" si="18"/>
        <v>507178838.57942599</v>
      </c>
      <c r="U129" s="25">
        <f>S129/((1+'How much will I make'!$C$5/12)^(Calculations!$B$1*12-Calculations!$A129))</f>
        <v>281043.03732032812</v>
      </c>
      <c r="V129" s="25">
        <f t="shared" si="19"/>
        <v>83139135.25455685</v>
      </c>
      <c r="W129" s="25">
        <f t="shared" si="5"/>
        <v>5221980.0596073959</v>
      </c>
      <c r="X129" s="25">
        <f t="shared" si="20"/>
        <v>3035829435.8240228</v>
      </c>
      <c r="Y129" s="25">
        <f>W129/((1+'How much will I make'!$C$5/12)^(Calculations!$B$1*12-Calculations!$A129))</f>
        <v>1193372.1617070397</v>
      </c>
      <c r="Z129" s="25">
        <f t="shared" si="21"/>
        <v>488746590.81146723</v>
      </c>
      <c r="AA129" s="25">
        <f t="shared" si="6"/>
        <v>22044009.757915419</v>
      </c>
      <c r="AB129" s="25">
        <f t="shared" si="22"/>
        <v>18328757460.183029</v>
      </c>
      <c r="AC129" s="25">
        <f>AA129/((1+'How much will I make'!$C$5/12)^(Calculations!$B$1*12-Calculations!$A129))</f>
        <v>5037688.2479846962</v>
      </c>
      <c r="AD129" s="25">
        <f t="shared" si="23"/>
        <v>2903229227.491271</v>
      </c>
      <c r="AE129" s="25">
        <f t="shared" si="7"/>
        <v>92516433.140644476</v>
      </c>
      <c r="AF129" s="25">
        <f t="shared" si="24"/>
        <v>111411197427.98981</v>
      </c>
      <c r="AG129" s="25">
        <f>AE129/((1+'How much will I make'!$C$5/12)^(Calculations!$B$1*12-Calculations!$A129))</f>
        <v>21142657.488197379</v>
      </c>
      <c r="AH129" s="25">
        <f t="shared" si="25"/>
        <v>17394314298.809467</v>
      </c>
    </row>
    <row r="130" spans="1:34" ht="15.75" customHeight="1">
      <c r="A130" s="22">
        <f t="shared" si="8"/>
        <v>126</v>
      </c>
      <c r="B130" s="22">
        <f t="shared" si="35"/>
        <v>814.44731338872111</v>
      </c>
      <c r="C130" s="25">
        <f t="shared" si="0"/>
        <v>3549.0858162016571</v>
      </c>
      <c r="D130" s="25">
        <f t="shared" si="10"/>
        <v>449162.65592797438</v>
      </c>
      <c r="E130" s="25">
        <f>$C130/((1+'How much will I make'!$C$5/12)^(Calculations!$B$1*12-Calculations!$A130))</f>
        <v>814.44731338872111</v>
      </c>
      <c r="F130" s="25">
        <f t="shared" si="11"/>
        <v>80354.039093625281</v>
      </c>
      <c r="G130" s="25">
        <f t="shared" si="1"/>
        <v>15371.738445090803</v>
      </c>
      <c r="H130" s="25">
        <f t="shared" si="12"/>
        <v>2550147.1803438081</v>
      </c>
      <c r="I130" s="25">
        <f>G130/((1+'How much will I make'!$C$5/12)^(Calculations!$B$1*12-Calculations!$A130))</f>
        <v>3527.5199662872769</v>
      </c>
      <c r="J130" s="25">
        <f t="shared" si="13"/>
        <v>445952.25456794363</v>
      </c>
      <c r="K130" s="25">
        <f t="shared" si="2"/>
        <v>66176.574488108672</v>
      </c>
      <c r="L130" s="25">
        <f t="shared" si="14"/>
        <v>14698065.569304891</v>
      </c>
      <c r="M130" s="25">
        <f>K130/((1+'How much will I make'!$C$5/12)^(Calculations!$B$1*12-Calculations!$A130))</f>
        <v>15186.258121758043</v>
      </c>
      <c r="N130" s="25">
        <f t="shared" si="15"/>
        <v>2513502.1646398501</v>
      </c>
      <c r="O130" s="25">
        <f t="shared" si="3"/>
        <v>283192.63407606655</v>
      </c>
      <c r="P130" s="25">
        <f t="shared" si="16"/>
        <v>85905248.17473197</v>
      </c>
      <c r="Q130" s="25">
        <f>O130/((1+'How much will I make'!$C$5/12)^(Calculations!$B$1*12-Calculations!$A130))</f>
        <v>64987.293049332802</v>
      </c>
      <c r="R130" s="25">
        <f t="shared" si="17"/>
        <v>14379788.055472009</v>
      </c>
      <c r="S130" s="25">
        <f t="shared" si="4"/>
        <v>1204695.5168738549</v>
      </c>
      <c r="T130" s="25">
        <f t="shared" si="18"/>
        <v>508383534.09629983</v>
      </c>
      <c r="U130" s="25">
        <f>S130/((1+'How much will I make'!$C$5/12)^(Calculations!$B$1*12-Calculations!$A130))</f>
        <v>276454.57956815965</v>
      </c>
      <c r="V130" s="25">
        <f t="shared" si="19"/>
        <v>83415589.834125012</v>
      </c>
      <c r="W130" s="25">
        <f t="shared" si="5"/>
        <v>5094614.6922998987</v>
      </c>
      <c r="X130" s="25">
        <f t="shared" si="20"/>
        <v>3040924050.5163226</v>
      </c>
      <c r="Y130" s="25">
        <f>W130/((1+'How much will I make'!$C$5/12)^(Calculations!$B$1*12-Calculations!$A130))</f>
        <v>1169116.6299650271</v>
      </c>
      <c r="Z130" s="25">
        <f t="shared" si="21"/>
        <v>489915707.44143224</v>
      </c>
      <c r="AA130" s="25">
        <f t="shared" si="6"/>
        <v>21419280.736436032</v>
      </c>
      <c r="AB130" s="25">
        <f t="shared" si="22"/>
        <v>18350176740.919464</v>
      </c>
      <c r="AC130" s="25">
        <f>AA130/((1+'How much will I make'!$C$5/12)^(Calculations!$B$1*12-Calculations!$A130))</f>
        <v>4915315.2541065253</v>
      </c>
      <c r="AD130" s="25">
        <f t="shared" si="23"/>
        <v>2908144542.7453775</v>
      </c>
      <c r="AE130" s="25">
        <f t="shared" si="7"/>
        <v>89532032.071591437</v>
      </c>
      <c r="AF130" s="25">
        <f t="shared" si="24"/>
        <v>111500729460.0614</v>
      </c>
      <c r="AG130" s="25">
        <f>AE130/((1+'How much will I make'!$C$5/12)^(Calculations!$B$1*12-Calculations!$A130))</f>
        <v>20545888.930062782</v>
      </c>
      <c r="AH130" s="25">
        <f t="shared" si="25"/>
        <v>17414860187.739529</v>
      </c>
    </row>
    <row r="131" spans="1:34" ht="15.75" customHeight="1">
      <c r="A131" s="22">
        <f t="shared" si="8"/>
        <v>127</v>
      </c>
      <c r="B131" s="22">
        <f t="shared" si="35"/>
        <v>814.44731338872111</v>
      </c>
      <c r="C131" s="25">
        <f t="shared" si="0"/>
        <v>3534.3593190389952</v>
      </c>
      <c r="D131" s="25">
        <f t="shared" si="10"/>
        <v>452697.01524701336</v>
      </c>
      <c r="E131" s="25">
        <f>$C131/((1+'How much will I make'!$C$5/12)^(Calculations!$B$1*12-Calculations!$A131))</f>
        <v>814.44731338872111</v>
      </c>
      <c r="F131" s="25">
        <f t="shared" si="11"/>
        <v>81168.486407014003</v>
      </c>
      <c r="G131" s="25">
        <f t="shared" si="1"/>
        <v>15244.699284387569</v>
      </c>
      <c r="H131" s="25">
        <f t="shared" si="12"/>
        <v>2565391.8796281959</v>
      </c>
      <c r="I131" s="25">
        <f>G131/((1+'How much will I make'!$C$5/12)^(Calculations!$B$1*12-Calculations!$A131))</f>
        <v>3512.9434375009641</v>
      </c>
      <c r="J131" s="25">
        <f t="shared" si="13"/>
        <v>449465.1980054446</v>
      </c>
      <c r="K131" s="25">
        <f t="shared" si="2"/>
        <v>65359.579741341899</v>
      </c>
      <c r="L131" s="25">
        <f t="shared" si="14"/>
        <v>14763425.149046233</v>
      </c>
      <c r="M131" s="25">
        <f>K131/((1+'How much will I make'!$C$5/12)^(Calculations!$B$1*12-Calculations!$A131))</f>
        <v>15061.268342978139</v>
      </c>
      <c r="N131" s="25">
        <f t="shared" si="15"/>
        <v>2528563.4329828285</v>
      </c>
      <c r="O131" s="25">
        <f t="shared" si="3"/>
        <v>278550.13187809818</v>
      </c>
      <c r="P131" s="25">
        <f t="shared" si="16"/>
        <v>86183798.306610063</v>
      </c>
      <c r="Q131" s="25">
        <f>O131/((1+'How much will I make'!$C$5/12)^(Calculations!$B$1*12-Calculations!$A131))</f>
        <v>64188.268954463936</v>
      </c>
      <c r="R131" s="25">
        <f t="shared" si="17"/>
        <v>14443976.324426472</v>
      </c>
      <c r="S131" s="25">
        <f t="shared" si="4"/>
        <v>1180109.8940805111</v>
      </c>
      <c r="T131" s="25">
        <f t="shared" si="18"/>
        <v>509563643.99038035</v>
      </c>
      <c r="U131" s="25">
        <f>S131/((1+'How much will I make'!$C$5/12)^(Calculations!$B$1*12-Calculations!$A131))</f>
        <v>271941.03541194479</v>
      </c>
      <c r="V131" s="25">
        <f t="shared" si="19"/>
        <v>83687530.869536951</v>
      </c>
      <c r="W131" s="25">
        <f t="shared" si="5"/>
        <v>4970355.7973657548</v>
      </c>
      <c r="X131" s="25">
        <f t="shared" si="20"/>
        <v>3045894406.3136883</v>
      </c>
      <c r="Y131" s="25">
        <f>W131/((1+'How much will I make'!$C$5/12)^(Calculations!$B$1*12-Calculations!$A131))</f>
        <v>1145354.0968356563</v>
      </c>
      <c r="Z131" s="25">
        <f t="shared" si="21"/>
        <v>491061061.53826791</v>
      </c>
      <c r="AA131" s="25">
        <f t="shared" si="6"/>
        <v>20812256.586010724</v>
      </c>
      <c r="AB131" s="25">
        <f t="shared" si="22"/>
        <v>18370988997.505474</v>
      </c>
      <c r="AC131" s="25">
        <f>AA131/((1+'How much will I make'!$C$5/12)^(Calculations!$B$1*12-Calculations!$A131))</f>
        <v>4795914.8835614286</v>
      </c>
      <c r="AD131" s="25">
        <f t="shared" si="23"/>
        <v>2912940457.6289392</v>
      </c>
      <c r="AE131" s="25">
        <f t="shared" si="7"/>
        <v>86643902.004765898</v>
      </c>
      <c r="AF131" s="25">
        <f t="shared" si="24"/>
        <v>111587373362.06616</v>
      </c>
      <c r="AG131" s="25">
        <f>AE131/((1+'How much will I make'!$C$5/12)^(Calculations!$B$1*12-Calculations!$A131))</f>
        <v>19965964.645746488</v>
      </c>
      <c r="AH131" s="25">
        <f t="shared" si="25"/>
        <v>17434826152.385277</v>
      </c>
    </row>
    <row r="132" spans="1:34" ht="15.75" customHeight="1">
      <c r="A132" s="22">
        <f t="shared" si="8"/>
        <v>128</v>
      </c>
      <c r="B132" s="22">
        <f t="shared" si="35"/>
        <v>814.44731338872111</v>
      </c>
      <c r="C132" s="25">
        <f t="shared" si="0"/>
        <v>3519.6939276736875</v>
      </c>
      <c r="D132" s="25">
        <f t="shared" si="10"/>
        <v>456216.70917468704</v>
      </c>
      <c r="E132" s="25">
        <f>$C132/((1+'How much will I make'!$C$5/12)^(Calculations!$B$1*12-Calculations!$A132))</f>
        <v>814.44731338872111</v>
      </c>
      <c r="F132" s="25">
        <f t="shared" si="11"/>
        <v>81982.933720402725</v>
      </c>
      <c r="G132" s="25">
        <f t="shared" si="1"/>
        <v>15118.710034103378</v>
      </c>
      <c r="H132" s="25">
        <f t="shared" si="12"/>
        <v>2580510.5896622995</v>
      </c>
      <c r="I132" s="25">
        <f>G132/((1+'How much will I make'!$C$5/12)^(Calculations!$B$1*12-Calculations!$A132))</f>
        <v>3498.4271423046807</v>
      </c>
      <c r="J132" s="25">
        <f t="shared" si="13"/>
        <v>452963.62514774926</v>
      </c>
      <c r="K132" s="25">
        <f t="shared" si="2"/>
        <v>64552.671349473479</v>
      </c>
      <c r="L132" s="25">
        <f t="shared" si="14"/>
        <v>14827977.820395706</v>
      </c>
      <c r="M132" s="25">
        <f>K132/((1+'How much will I make'!$C$5/12)^(Calculations!$B$1*12-Calculations!$A132))</f>
        <v>14937.307286657333</v>
      </c>
      <c r="N132" s="25">
        <f t="shared" si="15"/>
        <v>2543500.7402694859</v>
      </c>
      <c r="O132" s="25">
        <f t="shared" si="3"/>
        <v>273983.73627353925</v>
      </c>
      <c r="P132" s="25">
        <f t="shared" si="16"/>
        <v>86457782.042883605</v>
      </c>
      <c r="Q132" s="25">
        <f>O132/((1+'How much will I make'!$C$5/12)^(Calculations!$B$1*12-Calculations!$A132))</f>
        <v>63399.068926335298</v>
      </c>
      <c r="R132" s="25">
        <f t="shared" si="17"/>
        <v>14507375.393352807</v>
      </c>
      <c r="S132" s="25">
        <f t="shared" si="4"/>
        <v>1156026.018691113</v>
      </c>
      <c r="T132" s="25">
        <f t="shared" si="18"/>
        <v>510719670.00907147</v>
      </c>
      <c r="U132" s="25">
        <f>S132/((1+'How much will I make'!$C$5/12)^(Calculations!$B$1*12-Calculations!$A132))</f>
        <v>267501.18177256617</v>
      </c>
      <c r="V132" s="25">
        <f t="shared" si="19"/>
        <v>83955032.051309511</v>
      </c>
      <c r="W132" s="25">
        <f t="shared" si="5"/>
        <v>4849127.6071861023</v>
      </c>
      <c r="X132" s="25">
        <f t="shared" si="20"/>
        <v>3050743533.9208746</v>
      </c>
      <c r="Y132" s="25">
        <f>W132/((1+'How much will I make'!$C$5/12)^(Calculations!$B$1*12-Calculations!$A132))</f>
        <v>1122074.5420219237</v>
      </c>
      <c r="Z132" s="25">
        <f t="shared" si="21"/>
        <v>492183136.08028984</v>
      </c>
      <c r="AA132" s="25">
        <f t="shared" si="6"/>
        <v>20222435.549160216</v>
      </c>
      <c r="AB132" s="25">
        <f t="shared" si="22"/>
        <v>18391211433.054634</v>
      </c>
      <c r="AC132" s="25">
        <f>AA132/((1+'How much will I make'!$C$5/12)^(Calculations!$B$1*12-Calculations!$A132))</f>
        <v>4679414.9268757254</v>
      </c>
      <c r="AD132" s="25">
        <f t="shared" si="23"/>
        <v>2917619872.5558147</v>
      </c>
      <c r="AE132" s="25">
        <f t="shared" si="7"/>
        <v>83848937.423966989</v>
      </c>
      <c r="AF132" s="25">
        <f t="shared" si="24"/>
        <v>111671222299.49013</v>
      </c>
      <c r="AG132" s="25">
        <f>AE132/((1+'How much will I make'!$C$5/12)^(Calculations!$B$1*12-Calculations!$A132))</f>
        <v>19402409.192035902</v>
      </c>
      <c r="AH132" s="25">
        <f t="shared" si="25"/>
        <v>17454228561.577312</v>
      </c>
    </row>
    <row r="133" spans="1:34" ht="15.75" customHeight="1">
      <c r="A133" s="22">
        <f t="shared" si="8"/>
        <v>129</v>
      </c>
      <c r="B133" s="22">
        <f t="shared" si="35"/>
        <v>814.44731338872111</v>
      </c>
      <c r="C133" s="25">
        <f t="shared" si="0"/>
        <v>3505.0893885547107</v>
      </c>
      <c r="D133" s="25">
        <f t="shared" si="10"/>
        <v>459721.79856324173</v>
      </c>
      <c r="E133" s="25">
        <f>$C133/((1+'How much will I make'!$C$5/12)^(Calculations!$B$1*12-Calculations!$A133))</f>
        <v>814.44731338872111</v>
      </c>
      <c r="F133" s="25">
        <f t="shared" si="11"/>
        <v>82797.381033791447</v>
      </c>
      <c r="G133" s="25">
        <f t="shared" si="1"/>
        <v>14993.762017292604</v>
      </c>
      <c r="H133" s="25">
        <f t="shared" si="12"/>
        <v>2595504.3516795919</v>
      </c>
      <c r="I133" s="25">
        <f>G133/((1+'How much will I make'!$C$5/12)^(Calculations!$B$1*12-Calculations!$A133))</f>
        <v>3483.9708317992877</v>
      </c>
      <c r="J133" s="25">
        <f t="shared" si="13"/>
        <v>456447.59597954853</v>
      </c>
      <c r="K133" s="25">
        <f t="shared" si="2"/>
        <v>63755.724789603439</v>
      </c>
      <c r="L133" s="25">
        <f t="shared" si="14"/>
        <v>14891733.545185309</v>
      </c>
      <c r="M133" s="25">
        <f>K133/((1+'How much will I make'!$C$5/12)^(Calculations!$B$1*12-Calculations!$A133))</f>
        <v>14814.366485944101</v>
      </c>
      <c r="N133" s="25">
        <f t="shared" si="15"/>
        <v>2558315.1067554299</v>
      </c>
      <c r="O133" s="25">
        <f t="shared" si="3"/>
        <v>269492.19961331732</v>
      </c>
      <c r="P133" s="25">
        <f t="shared" si="16"/>
        <v>86727274.242496923</v>
      </c>
      <c r="Q133" s="25">
        <f>O133/((1+'How much will I make'!$C$5/12)^(Calculations!$B$1*12-Calculations!$A133))</f>
        <v>62619.572177241003</v>
      </c>
      <c r="R133" s="25">
        <f t="shared" si="17"/>
        <v>14569994.965530047</v>
      </c>
      <c r="S133" s="25">
        <f t="shared" si="4"/>
        <v>1132433.6509627232</v>
      </c>
      <c r="T133" s="25">
        <f t="shared" si="18"/>
        <v>511852103.66003418</v>
      </c>
      <c r="U133" s="25">
        <f>S133/((1+'How much will I make'!$C$5/12)^(Calculations!$B$1*12-Calculations!$A133))</f>
        <v>263133.81553954468</v>
      </c>
      <c r="V133" s="25">
        <f t="shared" si="19"/>
        <v>84218165.86684905</v>
      </c>
      <c r="W133" s="25">
        <f t="shared" si="5"/>
        <v>4730856.2021327838</v>
      </c>
      <c r="X133" s="25">
        <f t="shared" si="20"/>
        <v>3055474390.1230073</v>
      </c>
      <c r="Y133" s="25">
        <f>W133/((1+'How much will I make'!$C$5/12)^(Calculations!$B$1*12-Calculations!$A133))</f>
        <v>1099268.1488913968</v>
      </c>
      <c r="Z133" s="25">
        <f t="shared" si="21"/>
        <v>493282404.22918123</v>
      </c>
      <c r="AA133" s="25">
        <f t="shared" si="6"/>
        <v>19649330.088252846</v>
      </c>
      <c r="AB133" s="25">
        <f t="shared" si="22"/>
        <v>18410860763.142887</v>
      </c>
      <c r="AC133" s="25">
        <f>AA133/((1+'How much will I make'!$C$5/12)^(Calculations!$B$1*12-Calculations!$A133))</f>
        <v>4565744.9286520239</v>
      </c>
      <c r="AD133" s="25">
        <f t="shared" si="23"/>
        <v>2922185617.4844666</v>
      </c>
      <c r="AE133" s="25">
        <f t="shared" si="7"/>
        <v>81144132.990935788</v>
      </c>
      <c r="AF133" s="25">
        <f t="shared" si="24"/>
        <v>111752366432.48106</v>
      </c>
      <c r="AG133" s="25">
        <f>AE133/((1+'How much will I make'!$C$5/12)^(Calculations!$B$1*12-Calculations!$A133))</f>
        <v>18854760.545486495</v>
      </c>
      <c r="AH133" s="25">
        <f t="shared" si="25"/>
        <v>17473083322.122799</v>
      </c>
    </row>
    <row r="134" spans="1:34" ht="15.75" customHeight="1">
      <c r="A134" s="22">
        <f t="shared" si="8"/>
        <v>130</v>
      </c>
      <c r="B134" s="22">
        <f t="shared" si="35"/>
        <v>814.44731338872111</v>
      </c>
      <c r="C134" s="25">
        <f t="shared" si="0"/>
        <v>3490.5454491831129</v>
      </c>
      <c r="D134" s="25">
        <f t="shared" si="10"/>
        <v>463212.34401242482</v>
      </c>
      <c r="E134" s="25">
        <f>$C134/((1+'How much will I make'!$C$5/12)^(Calculations!$B$1*12-Calculations!$A134))</f>
        <v>814.44731338872111</v>
      </c>
      <c r="F134" s="25">
        <f t="shared" si="11"/>
        <v>83611.82834718017</v>
      </c>
      <c r="G134" s="25">
        <f t="shared" si="1"/>
        <v>14869.846628719941</v>
      </c>
      <c r="H134" s="25">
        <f t="shared" si="12"/>
        <v>2610374.1983083119</v>
      </c>
      <c r="I134" s="25">
        <f>G134/((1+'How much will I make'!$C$5/12)^(Calculations!$B$1*12-Calculations!$A134))</f>
        <v>3469.574258114169</v>
      </c>
      <c r="J134" s="25">
        <f t="shared" si="13"/>
        <v>459917.17023766268</v>
      </c>
      <c r="K134" s="25">
        <f t="shared" si="2"/>
        <v>62968.61707615156</v>
      </c>
      <c r="L134" s="25">
        <f t="shared" si="14"/>
        <v>14954702.16226146</v>
      </c>
      <c r="M134" s="25">
        <f>K134/((1+'How much will I make'!$C$5/12)^(Calculations!$B$1*12-Calculations!$A134))</f>
        <v>14692.437543672966</v>
      </c>
      <c r="N134" s="25">
        <f t="shared" si="15"/>
        <v>2573007.5442991029</v>
      </c>
      <c r="O134" s="25">
        <f t="shared" si="3"/>
        <v>265074.29470162367</v>
      </c>
      <c r="P134" s="25">
        <f t="shared" si="16"/>
        <v>86992348.537198544</v>
      </c>
      <c r="Q134" s="25">
        <f>O134/((1+'How much will I make'!$C$5/12)^(Calculations!$B$1*12-Calculations!$A134))</f>
        <v>61849.659404570055</v>
      </c>
      <c r="R134" s="25">
        <f t="shared" si="17"/>
        <v>14631844.624934617</v>
      </c>
      <c r="S134" s="25">
        <f t="shared" si="4"/>
        <v>1109322.7601267491</v>
      </c>
      <c r="T134" s="25">
        <f t="shared" si="18"/>
        <v>512961426.42016095</v>
      </c>
      <c r="U134" s="25">
        <f>S134/((1+'How much will I make'!$C$5/12)^(Calculations!$B$1*12-Calculations!$A134))</f>
        <v>258837.75324502157</v>
      </c>
      <c r="V134" s="25">
        <f t="shared" si="19"/>
        <v>84477003.620094076</v>
      </c>
      <c r="W134" s="25">
        <f t="shared" si="5"/>
        <v>4615469.4654953983</v>
      </c>
      <c r="X134" s="25">
        <f t="shared" si="20"/>
        <v>3060089859.5885029</v>
      </c>
      <c r="Y134" s="25">
        <f>W134/((1+'How much will I make'!$C$5/12)^(Calculations!$B$1*12-Calculations!$A134))</f>
        <v>1076925.3003366939</v>
      </c>
      <c r="Z134" s="25">
        <f t="shared" si="21"/>
        <v>494359329.52951795</v>
      </c>
      <c r="AA134" s="25">
        <f t="shared" si="6"/>
        <v>19092466.482512891</v>
      </c>
      <c r="AB134" s="25">
        <f t="shared" si="22"/>
        <v>18429953229.625401</v>
      </c>
      <c r="AC134" s="25">
        <f>AA134/((1+'How much will I make'!$C$5/12)^(Calculations!$B$1*12-Calculations!$A134))</f>
        <v>4454836.1449600747</v>
      </c>
      <c r="AD134" s="25">
        <f t="shared" si="23"/>
        <v>2926640453.6294265</v>
      </c>
      <c r="AE134" s="25">
        <f t="shared" si="7"/>
        <v>78526580.313808814</v>
      </c>
      <c r="AF134" s="25">
        <f t="shared" si="24"/>
        <v>111830893012.79488</v>
      </c>
      <c r="AG134" s="25">
        <f>AE134/((1+'How much will I make'!$C$5/12)^(Calculations!$B$1*12-Calculations!$A134))</f>
        <v>18322569.723638091</v>
      </c>
      <c r="AH134" s="25">
        <f t="shared" si="25"/>
        <v>17491405891.846436</v>
      </c>
    </row>
    <row r="135" spans="1:34" ht="15.75" customHeight="1">
      <c r="A135" s="22">
        <f t="shared" si="8"/>
        <v>131</v>
      </c>
      <c r="B135" s="22">
        <f t="shared" si="35"/>
        <v>814.44731338872111</v>
      </c>
      <c r="C135" s="25">
        <f t="shared" si="0"/>
        <v>3476.0618581076642</v>
      </c>
      <c r="D135" s="25">
        <f t="shared" si="10"/>
        <v>466688.4058705325</v>
      </c>
      <c r="E135" s="25">
        <f>$C135/((1+'How much will I make'!$C$5/12)^(Calculations!$B$1*12-Calculations!$A135))</f>
        <v>814.44731338872111</v>
      </c>
      <c r="F135" s="25">
        <f t="shared" si="11"/>
        <v>84426.275660568892</v>
      </c>
      <c r="G135" s="25">
        <f t="shared" si="1"/>
        <v>14746.955334267706</v>
      </c>
      <c r="H135" s="25">
        <f t="shared" si="12"/>
        <v>2625121.1536425794</v>
      </c>
      <c r="I135" s="25">
        <f>G135/((1+'How much will I make'!$C$5/12)^(Calculations!$B$1*12-Calculations!$A135))</f>
        <v>3455.2371744029529</v>
      </c>
      <c r="J135" s="25">
        <f t="shared" si="13"/>
        <v>463372.40741206566</v>
      </c>
      <c r="K135" s="25">
        <f t="shared" si="2"/>
        <v>62191.226741878068</v>
      </c>
      <c r="L135" s="25">
        <f t="shared" si="14"/>
        <v>15016893.389003338</v>
      </c>
      <c r="M135" s="25">
        <f>K135/((1+'How much will I make'!$C$5/12)^(Calculations!$B$1*12-Calculations!$A135))</f>
        <v>14571.512131790882</v>
      </c>
      <c r="N135" s="25">
        <f t="shared" si="15"/>
        <v>2587579.056430894</v>
      </c>
      <c r="O135" s="25">
        <f t="shared" si="3"/>
        <v>260728.81446061347</v>
      </c>
      <c r="P135" s="25">
        <f t="shared" si="16"/>
        <v>87253077.351659164</v>
      </c>
      <c r="Q135" s="25">
        <f>O135/((1+'How much will I make'!$C$5/12)^(Calculations!$B$1*12-Calculations!$A135))</f>
        <v>61089.212772546656</v>
      </c>
      <c r="R135" s="25">
        <f t="shared" si="17"/>
        <v>14692933.837707164</v>
      </c>
      <c r="S135" s="25">
        <f t="shared" si="4"/>
        <v>1086683.5201241628</v>
      </c>
      <c r="T135" s="25">
        <f t="shared" si="18"/>
        <v>514048109.94028509</v>
      </c>
      <c r="U135" s="25">
        <f>S135/((1+'How much will I make'!$C$5/12)^(Calculations!$B$1*12-Calculations!$A135))</f>
        <v>254611.83074306214</v>
      </c>
      <c r="V135" s="25">
        <f t="shared" si="19"/>
        <v>84731615.450837135</v>
      </c>
      <c r="W135" s="25">
        <f t="shared" si="5"/>
        <v>4502897.0395077057</v>
      </c>
      <c r="X135" s="25">
        <f t="shared" si="20"/>
        <v>3064592756.6280107</v>
      </c>
      <c r="Y135" s="25">
        <f>W135/((1+'How much will I make'!$C$5/12)^(Calculations!$B$1*12-Calculations!$A135))</f>
        <v>1055036.5747200944</v>
      </c>
      <c r="Z135" s="25">
        <f t="shared" si="21"/>
        <v>495414366.10423803</v>
      </c>
      <c r="AA135" s="25">
        <f t="shared" si="6"/>
        <v>18551384.43644977</v>
      </c>
      <c r="AB135" s="25">
        <f t="shared" si="22"/>
        <v>18448504614.061852</v>
      </c>
      <c r="AC135" s="25">
        <f>AA135/((1+'How much will I make'!$C$5/12)^(Calculations!$B$1*12-Calculations!$A135))</f>
        <v>4346621.501762663</v>
      </c>
      <c r="AD135" s="25">
        <f t="shared" si="23"/>
        <v>2930987075.1311893</v>
      </c>
      <c r="AE135" s="25">
        <f t="shared" si="7"/>
        <v>75993464.81981498</v>
      </c>
      <c r="AF135" s="25">
        <f t="shared" si="24"/>
        <v>111906886477.61469</v>
      </c>
      <c r="AG135" s="25">
        <f>AE135/((1+'How much will I make'!$C$5/12)^(Calculations!$B$1*12-Calculations!$A135))</f>
        <v>17805400.416922502</v>
      </c>
      <c r="AH135" s="25">
        <f t="shared" si="25"/>
        <v>17509211292.263359</v>
      </c>
    </row>
    <row r="136" spans="1:34" ht="15.75" customHeight="1">
      <c r="A136" s="22">
        <f t="shared" si="8"/>
        <v>132</v>
      </c>
      <c r="B136" s="22">
        <f t="shared" si="35"/>
        <v>814.44731338872111</v>
      </c>
      <c r="C136" s="25">
        <f t="shared" si="0"/>
        <v>3461.6383649204954</v>
      </c>
      <c r="D136" s="25">
        <f t="shared" si="10"/>
        <v>470150.04423545301</v>
      </c>
      <c r="E136" s="25">
        <f>$C136/((1+'How much will I make'!$C$5/12)^(Calculations!$B$1*12-Calculations!$A136))</f>
        <v>814.44731338872111</v>
      </c>
      <c r="F136" s="25">
        <f t="shared" si="11"/>
        <v>85240.722973957614</v>
      </c>
      <c r="G136" s="25">
        <f t="shared" si="1"/>
        <v>14625.079670348145</v>
      </c>
      <c r="H136" s="25">
        <f t="shared" si="12"/>
        <v>2639746.2333129277</v>
      </c>
      <c r="I136" s="25">
        <f>G136/((1+'How much will I make'!$C$5/12)^(Calculations!$B$1*12-Calculations!$A136))</f>
        <v>3440.9593348393059</v>
      </c>
      <c r="J136" s="25">
        <f t="shared" si="13"/>
        <v>466813.36674690497</v>
      </c>
      <c r="K136" s="25">
        <f t="shared" si="2"/>
        <v>61423.433819138838</v>
      </c>
      <c r="L136" s="25">
        <f t="shared" si="14"/>
        <v>15078316.822822478</v>
      </c>
      <c r="M136" s="25">
        <f>K136/((1+'How much will I make'!$C$5/12)^(Calculations!$B$1*12-Calculations!$A136))</f>
        <v>14451.581990788489</v>
      </c>
      <c r="N136" s="25">
        <f t="shared" si="15"/>
        <v>2602030.6384216826</v>
      </c>
      <c r="O136" s="25">
        <f t="shared" si="3"/>
        <v>256454.57160060338</v>
      </c>
      <c r="P136" s="25">
        <f t="shared" si="16"/>
        <v>87509531.923259765</v>
      </c>
      <c r="Q136" s="25">
        <f>O136/((1+'How much will I make'!$C$5/12)^(Calculations!$B$1*12-Calculations!$A136))</f>
        <v>60338.115894195667</v>
      </c>
      <c r="R136" s="25">
        <f t="shared" si="17"/>
        <v>14753271.95360136</v>
      </c>
      <c r="S136" s="25">
        <f t="shared" si="4"/>
        <v>1064506.3054277513</v>
      </c>
      <c r="T136" s="25">
        <f t="shared" si="18"/>
        <v>515112616.24571282</v>
      </c>
      <c r="U136" s="25">
        <f>S136/((1+'How much will I make'!$C$5/12)^(Calculations!$B$1*12-Calculations!$A136))</f>
        <v>250454.90289419581</v>
      </c>
      <c r="V136" s="25">
        <f t="shared" si="19"/>
        <v>84982070.353731334</v>
      </c>
      <c r="W136" s="25">
        <f t="shared" si="5"/>
        <v>4393070.2824465418</v>
      </c>
      <c r="X136" s="25">
        <f t="shared" si="20"/>
        <v>3068985826.9104571</v>
      </c>
      <c r="Y136" s="25">
        <f>W136/((1+'How much will I make'!$C$5/12)^(Calculations!$B$1*12-Calculations!$A136))</f>
        <v>1033592.7419005804</v>
      </c>
      <c r="Z136" s="25">
        <f t="shared" si="21"/>
        <v>496447958.8461386</v>
      </c>
      <c r="AA136" s="25">
        <f t="shared" si="6"/>
        <v>18025636.699384395</v>
      </c>
      <c r="AB136" s="25">
        <f t="shared" si="22"/>
        <v>18466530250.761234</v>
      </c>
      <c r="AC136" s="25">
        <f>AA136/((1+'How much will I make'!$C$5/12)^(Calculations!$B$1*12-Calculations!$A136))</f>
        <v>4241035.5543514257</v>
      </c>
      <c r="AD136" s="25">
        <f t="shared" si="23"/>
        <v>2935228110.6855407</v>
      </c>
      <c r="AE136" s="25">
        <f t="shared" si="7"/>
        <v>73542062.728853196</v>
      </c>
      <c r="AF136" s="25">
        <f t="shared" si="24"/>
        <v>111980428540.34354</v>
      </c>
      <c r="AG136" s="25">
        <f>AE136/((1+'How much will I make'!$C$5/12)^(Calculations!$B$1*12-Calculations!$A136))</f>
        <v>17302828.630960975</v>
      </c>
      <c r="AH136" s="25">
        <f t="shared" si="25"/>
        <v>17526514120.894321</v>
      </c>
    </row>
    <row r="137" spans="1:34" ht="15.75" customHeight="1">
      <c r="A137" s="22">
        <f t="shared" si="8"/>
        <v>133</v>
      </c>
      <c r="B137" s="22">
        <f>B136*(1+'How much will I make'!$C$4)</f>
        <v>855.16967905815716</v>
      </c>
      <c r="C137" s="25">
        <f t="shared" si="0"/>
        <v>3619.6384562654143</v>
      </c>
      <c r="D137" s="25">
        <f t="shared" si="10"/>
        <v>473769.68269171845</v>
      </c>
      <c r="E137" s="25">
        <f>$C137/((1+'How much will I make'!$C$5/12)^(Calculations!$B$1*12-Calculations!$A137))</f>
        <v>855.16967905815716</v>
      </c>
      <c r="F137" s="25">
        <f t="shared" si="11"/>
        <v>86095.892653015777</v>
      </c>
      <c r="G137" s="25">
        <f t="shared" si="1"/>
        <v>15229.421805486496</v>
      </c>
      <c r="H137" s="25">
        <f t="shared" si="12"/>
        <v>2654975.6551184142</v>
      </c>
      <c r="I137" s="25">
        <f>G137/((1+'How much will I make'!$C$5/12)^(Calculations!$B$1*12-Calculations!$A137))</f>
        <v>3598.0775193433315</v>
      </c>
      <c r="J137" s="25">
        <f t="shared" si="13"/>
        <v>470411.44426624832</v>
      </c>
      <c r="K137" s="25">
        <f t="shared" si="2"/>
        <v>63698.375812440267</v>
      </c>
      <c r="L137" s="25">
        <f t="shared" si="14"/>
        <v>15142015.198634919</v>
      </c>
      <c r="M137" s="25">
        <f>K137/((1+'How much will I make'!$C$5/12)^(Calculations!$B$1*12-Calculations!$A137))</f>
        <v>15049.270875592701</v>
      </c>
      <c r="N137" s="25">
        <f t="shared" si="15"/>
        <v>2617079.9092972754</v>
      </c>
      <c r="O137" s="25">
        <f t="shared" si="3"/>
        <v>264862.91821045923</v>
      </c>
      <c r="P137" s="25">
        <f t="shared" si="16"/>
        <v>87774394.841470227</v>
      </c>
      <c r="Q137" s="25">
        <f>O137/((1+'How much will I make'!$C$5/12)^(Calculations!$B$1*12-Calculations!$A137))</f>
        <v>62576.066504205795</v>
      </c>
      <c r="R137" s="25">
        <f t="shared" si="17"/>
        <v>14815848.020105567</v>
      </c>
      <c r="S137" s="25">
        <f t="shared" si="4"/>
        <v>1094920.7712971156</v>
      </c>
      <c r="T137" s="25">
        <f t="shared" si="18"/>
        <v>516207537.01700991</v>
      </c>
      <c r="U137" s="25">
        <f>S137/((1+'How much will I make'!$C$5/12)^(Calculations!$B$1*12-Calculations!$A137))</f>
        <v>258684.13541786224</v>
      </c>
      <c r="V137" s="25">
        <f t="shared" si="19"/>
        <v>85240754.489149198</v>
      </c>
      <c r="W137" s="25">
        <f t="shared" si="5"/>
        <v>4500218.3381159706</v>
      </c>
      <c r="X137" s="25">
        <f t="shared" si="20"/>
        <v>3073486045.2485733</v>
      </c>
      <c r="Y137" s="25">
        <f>W137/((1+'How much will I make'!$C$5/12)^(Calculations!$B$1*12-Calculations!$A137))</f>
        <v>1063213.9973087069</v>
      </c>
      <c r="Z137" s="25">
        <f t="shared" si="21"/>
        <v>497511172.84344733</v>
      </c>
      <c r="AA137" s="25">
        <f t="shared" si="6"/>
        <v>18390528.13054603</v>
      </c>
      <c r="AB137" s="25">
        <f t="shared" si="22"/>
        <v>18484920778.891781</v>
      </c>
      <c r="AC137" s="25">
        <f>AA137/((1+'How much will I make'!$C$5/12)^(Calculations!$B$1*12-Calculations!$A137))</f>
        <v>4344915.1701563913</v>
      </c>
      <c r="AD137" s="25">
        <f t="shared" si="23"/>
        <v>2939573025.8556972</v>
      </c>
      <c r="AE137" s="25">
        <f t="shared" si="7"/>
        <v>74728225.030931443</v>
      </c>
      <c r="AF137" s="25">
        <f t="shared" si="24"/>
        <v>112055156765.37447</v>
      </c>
      <c r="AG137" s="25">
        <f>AE137/((1+'How much will I make'!$C$5/12)^(Calculations!$B$1*12-Calculations!$A137))</f>
        <v>17655164.45590594</v>
      </c>
      <c r="AH137" s="25">
        <f t="shared" si="25"/>
        <v>17544169285.350227</v>
      </c>
    </row>
    <row r="138" spans="1:34" ht="15.75" customHeight="1">
      <c r="A138" s="22">
        <f t="shared" si="8"/>
        <v>134</v>
      </c>
      <c r="B138" s="22">
        <f t="shared" ref="B138:B148" si="36">B137</f>
        <v>855.16967905815716</v>
      </c>
      <c r="C138" s="25">
        <f t="shared" si="0"/>
        <v>3604.6192095589199</v>
      </c>
      <c r="D138" s="25">
        <f t="shared" si="10"/>
        <v>477374.30190127739</v>
      </c>
      <c r="E138" s="25">
        <f>$C138/((1+'How much will I make'!$C$5/12)^(Calculations!$B$1*12-Calculations!$A138))</f>
        <v>855.16967905815716</v>
      </c>
      <c r="F138" s="25">
        <f t="shared" si="11"/>
        <v>86951.06233207394</v>
      </c>
      <c r="G138" s="25">
        <f t="shared" si="1"/>
        <v>15103.558815358509</v>
      </c>
      <c r="H138" s="25">
        <f t="shared" si="12"/>
        <v>2670079.2139337729</v>
      </c>
      <c r="I138" s="25">
        <f>G138/((1+'How much will I make'!$C$5/12)^(Calculations!$B$1*12-Calculations!$A138))</f>
        <v>3583.2094304204243</v>
      </c>
      <c r="J138" s="25">
        <f t="shared" si="13"/>
        <v>473994.65369666874</v>
      </c>
      <c r="K138" s="25">
        <f t="shared" si="2"/>
        <v>62911.976111052136</v>
      </c>
      <c r="L138" s="25">
        <f t="shared" si="14"/>
        <v>15204927.174745971</v>
      </c>
      <c r="M138" s="25">
        <f>K138/((1+'How much will I make'!$C$5/12)^(Calculations!$B$1*12-Calculations!$A138))</f>
        <v>14925.408563859428</v>
      </c>
      <c r="N138" s="25">
        <f t="shared" si="15"/>
        <v>2632005.3178611347</v>
      </c>
      <c r="O138" s="25">
        <f t="shared" si="3"/>
        <v>260520.90315782878</v>
      </c>
      <c r="P138" s="25">
        <f t="shared" si="16"/>
        <v>88034915.744628057</v>
      </c>
      <c r="Q138" s="25">
        <f>O138/((1+'How much will I make'!$C$5/12)^(Calculations!$B$1*12-Calculations!$A138))</f>
        <v>61806.688637350795</v>
      </c>
      <c r="R138" s="25">
        <f t="shared" si="17"/>
        <v>14877654.708742918</v>
      </c>
      <c r="S138" s="25">
        <f t="shared" si="4"/>
        <v>1072575.4494339095</v>
      </c>
      <c r="T138" s="25">
        <f t="shared" si="18"/>
        <v>517280112.46644384</v>
      </c>
      <c r="U138" s="25">
        <f>S138/((1+'How much will I make'!$C$5/12)^(Calculations!$B$1*12-Calculations!$A138))</f>
        <v>254460.72096206041</v>
      </c>
      <c r="V138" s="25">
        <f t="shared" si="19"/>
        <v>85495215.21011126</v>
      </c>
      <c r="W138" s="25">
        <f t="shared" si="5"/>
        <v>4390456.9152350929</v>
      </c>
      <c r="X138" s="25">
        <f t="shared" si="20"/>
        <v>3077876502.1638083</v>
      </c>
      <c r="Y138" s="25">
        <f>W138/((1+'How much will I make'!$C$5/12)^(Calculations!$B$1*12-Calculations!$A138))</f>
        <v>1041603.956713001</v>
      </c>
      <c r="Z138" s="25">
        <f t="shared" si="21"/>
        <v>498552776.80016035</v>
      </c>
      <c r="AA138" s="25">
        <f t="shared" si="6"/>
        <v>17869339.074214768</v>
      </c>
      <c r="AB138" s="25">
        <f t="shared" si="22"/>
        <v>18502790117.965996</v>
      </c>
      <c r="AC138" s="25">
        <f>AA138/((1+'How much will I make'!$C$5/12)^(Calculations!$B$1*12-Calculations!$A138))</f>
        <v>4239370.6720959116</v>
      </c>
      <c r="AD138" s="25">
        <f t="shared" si="23"/>
        <v>2943812396.5277929</v>
      </c>
      <c r="AE138" s="25">
        <f t="shared" si="7"/>
        <v>72317637.126707852</v>
      </c>
      <c r="AF138" s="25">
        <f t="shared" si="24"/>
        <v>112127474402.50117</v>
      </c>
      <c r="AG138" s="25">
        <f>AE138/((1+'How much will I make'!$C$5/12)^(Calculations!$B$1*12-Calculations!$A138))</f>
        <v>17156833.201102138</v>
      </c>
      <c r="AH138" s="25">
        <f t="shared" si="25"/>
        <v>17561326118.551331</v>
      </c>
    </row>
    <row r="139" spans="1:34" ht="15.75" customHeight="1">
      <c r="A139" s="22">
        <f t="shared" si="8"/>
        <v>135</v>
      </c>
      <c r="B139" s="22">
        <f t="shared" si="36"/>
        <v>855.16967905815716</v>
      </c>
      <c r="C139" s="25">
        <f t="shared" si="0"/>
        <v>3589.6622833781757</v>
      </c>
      <c r="D139" s="25">
        <f t="shared" si="10"/>
        <v>480963.96418465558</v>
      </c>
      <c r="E139" s="25">
        <f>$C139/((1+'How much will I make'!$C$5/12)^(Calculations!$B$1*12-Calculations!$A139))</f>
        <v>855.16967905815716</v>
      </c>
      <c r="F139" s="25">
        <f t="shared" si="11"/>
        <v>87806.232011132102</v>
      </c>
      <c r="G139" s="25">
        <f t="shared" si="1"/>
        <v>14978.736015231578</v>
      </c>
      <c r="H139" s="25">
        <f t="shared" si="12"/>
        <v>2685057.9499490042</v>
      </c>
      <c r="I139" s="25">
        <f>G139/((1+'How much will I make'!$C$5/12)^(Calculations!$B$1*12-Calculations!$A139))</f>
        <v>3568.4027798814977</v>
      </c>
      <c r="J139" s="25">
        <f t="shared" si="13"/>
        <v>477563.05647655023</v>
      </c>
      <c r="K139" s="25">
        <f t="shared" si="2"/>
        <v>62135.285047952719</v>
      </c>
      <c r="L139" s="25">
        <f t="shared" si="14"/>
        <v>15267062.459793923</v>
      </c>
      <c r="M139" s="25">
        <f>K139/((1+'How much will I make'!$C$5/12)^(Calculations!$B$1*12-Calculations!$A139))</f>
        <v>14802.565695021083</v>
      </c>
      <c r="N139" s="25">
        <f t="shared" si="15"/>
        <v>2646807.883556156</v>
      </c>
      <c r="O139" s="25">
        <f t="shared" si="3"/>
        <v>256250.0686798316</v>
      </c>
      <c r="P139" s="25">
        <f t="shared" si="16"/>
        <v>88291165.813307881</v>
      </c>
      <c r="Q139" s="25">
        <f>O139/((1+'How much will I make'!$C$5/12)^(Calculations!$B$1*12-Calculations!$A139))</f>
        <v>61046.770334432571</v>
      </c>
      <c r="R139" s="25">
        <f t="shared" si="17"/>
        <v>14938701.47907735</v>
      </c>
      <c r="S139" s="25">
        <f t="shared" si="4"/>
        <v>1050686.1545475032</v>
      </c>
      <c r="T139" s="25">
        <f t="shared" si="18"/>
        <v>518330798.62099135</v>
      </c>
      <c r="U139" s="25">
        <f>S139/((1+'How much will I make'!$C$5/12)^(Calculations!$B$1*12-Calculations!$A139))</f>
        <v>250306.26021165954</v>
      </c>
      <c r="V139" s="25">
        <f t="shared" si="19"/>
        <v>85745521.470322922</v>
      </c>
      <c r="W139" s="25">
        <f t="shared" si="5"/>
        <v>4283372.6002293583</v>
      </c>
      <c r="X139" s="25">
        <f t="shared" si="20"/>
        <v>3082159874.7640376</v>
      </c>
      <c r="Y139" s="25">
        <f>W139/((1+'How much will I make'!$C$5/12)^(Calculations!$B$1*12-Calculations!$A139))</f>
        <v>1020433.1445846882</v>
      </c>
      <c r="Z139" s="25">
        <f t="shared" si="21"/>
        <v>499573209.94474506</v>
      </c>
      <c r="AA139" s="25">
        <f t="shared" si="6"/>
        <v>17362920.557941478</v>
      </c>
      <c r="AB139" s="25">
        <f t="shared" si="22"/>
        <v>18520153038.523937</v>
      </c>
      <c r="AC139" s="25">
        <f>AA139/((1+'How much will I make'!$C$5/12)^(Calculations!$B$1*12-Calculations!$A139))</f>
        <v>4136390.0079964176</v>
      </c>
      <c r="AD139" s="25">
        <f t="shared" si="23"/>
        <v>2947948786.5357895</v>
      </c>
      <c r="AE139" s="25">
        <f t="shared" si="7"/>
        <v>69984810.122620523</v>
      </c>
      <c r="AF139" s="25">
        <f t="shared" si="24"/>
        <v>112197459212.62379</v>
      </c>
      <c r="AG139" s="25">
        <f>AE139/((1+'How much will I make'!$C$5/12)^(Calculations!$B$1*12-Calculations!$A139))</f>
        <v>16672567.747845236</v>
      </c>
      <c r="AH139" s="25">
        <f t="shared" si="25"/>
        <v>17577998686.299175</v>
      </c>
    </row>
    <row r="140" spans="1:34" ht="15.75" customHeight="1">
      <c r="A140" s="22">
        <f t="shared" si="8"/>
        <v>136</v>
      </c>
      <c r="B140" s="22">
        <f t="shared" si="36"/>
        <v>855.16967905815716</v>
      </c>
      <c r="C140" s="25">
        <f t="shared" si="0"/>
        <v>3574.7674191317942</v>
      </c>
      <c r="D140" s="25">
        <f t="shared" si="10"/>
        <v>484538.7316037874</v>
      </c>
      <c r="E140" s="25">
        <f>$C140/((1+'How much will I make'!$C$5/12)^(Calculations!$B$1*12-Calculations!$A140))</f>
        <v>855.16967905815716</v>
      </c>
      <c r="F140" s="25">
        <f t="shared" si="11"/>
        <v>88661.401690190265</v>
      </c>
      <c r="G140" s="25">
        <f t="shared" si="1"/>
        <v>14854.944808494127</v>
      </c>
      <c r="H140" s="25">
        <f t="shared" si="12"/>
        <v>2699912.8947574985</v>
      </c>
      <c r="I140" s="25">
        <f>G140/((1+'How much will I make'!$C$5/12)^(Calculations!$B$1*12-Calculations!$A140))</f>
        <v>3553.6573138489289</v>
      </c>
      <c r="J140" s="25">
        <f t="shared" si="13"/>
        <v>481116.71379039914</v>
      </c>
      <c r="K140" s="25">
        <f t="shared" si="2"/>
        <v>61368.182763410085</v>
      </c>
      <c r="L140" s="25">
        <f t="shared" si="14"/>
        <v>15328430.642557334</v>
      </c>
      <c r="M140" s="25">
        <f>K140/((1+'How much will I make'!$C$5/12)^(Calculations!$B$1*12-Calculations!$A140))</f>
        <v>14680.733878601151</v>
      </c>
      <c r="N140" s="25">
        <f t="shared" si="15"/>
        <v>2661488.6174347573</v>
      </c>
      <c r="O140" s="25">
        <f t="shared" si="3"/>
        <v>252049.24788180157</v>
      </c>
      <c r="P140" s="25">
        <f t="shared" si="16"/>
        <v>88543215.061189681</v>
      </c>
      <c r="Q140" s="25">
        <f>O140/((1+'How much will I make'!$C$5/12)^(Calculations!$B$1*12-Calculations!$A140))</f>
        <v>60296.195289337076</v>
      </c>
      <c r="R140" s="25">
        <f t="shared" si="17"/>
        <v>14998997.674366686</v>
      </c>
      <c r="S140" s="25">
        <f t="shared" si="4"/>
        <v>1029243.5799649012</v>
      </c>
      <c r="T140" s="25">
        <f t="shared" si="18"/>
        <v>519360042.20095623</v>
      </c>
      <c r="U140" s="25">
        <f>S140/((1+'How much will I make'!$C$5/12)^(Calculations!$B$1*12-Calculations!$A140))</f>
        <v>246219.62739187732</v>
      </c>
      <c r="V140" s="25">
        <f t="shared" si="19"/>
        <v>85991741.097714797</v>
      </c>
      <c r="W140" s="25">
        <f t="shared" si="5"/>
        <v>4178900.0977847413</v>
      </c>
      <c r="X140" s="25">
        <f t="shared" si="20"/>
        <v>3086338774.8618221</v>
      </c>
      <c r="Y140" s="25">
        <f>W140/((1+'How much will I make'!$C$5/12)^(Calculations!$B$1*12-Calculations!$A140))</f>
        <v>999692.63351589395</v>
      </c>
      <c r="Z140" s="25">
        <f t="shared" si="21"/>
        <v>500572902.57826096</v>
      </c>
      <c r="AA140" s="25">
        <f t="shared" si="6"/>
        <v>16870853.983424917</v>
      </c>
      <c r="AB140" s="25">
        <f t="shared" si="22"/>
        <v>18537023892.507362</v>
      </c>
      <c r="AC140" s="25">
        <f>AA140/((1+'How much will I make'!$C$5/12)^(Calculations!$B$1*12-Calculations!$A140))</f>
        <v>4035910.8984904308</v>
      </c>
      <c r="AD140" s="25">
        <f t="shared" si="23"/>
        <v>2951984697.4342799</v>
      </c>
      <c r="AE140" s="25">
        <f t="shared" si="7"/>
        <v>67727235.602535963</v>
      </c>
      <c r="AF140" s="25">
        <f t="shared" si="24"/>
        <v>112265186448.22633</v>
      </c>
      <c r="AG140" s="25">
        <f>AE140/((1+'How much will I make'!$C$5/12)^(Calculations!$B$1*12-Calculations!$A140))</f>
        <v>16201971.077543143</v>
      </c>
      <c r="AH140" s="25">
        <f t="shared" si="25"/>
        <v>17594200657.376717</v>
      </c>
    </row>
    <row r="141" spans="1:34" ht="15.75" customHeight="1">
      <c r="A141" s="22">
        <f t="shared" si="8"/>
        <v>137</v>
      </c>
      <c r="B141" s="22">
        <f t="shared" si="36"/>
        <v>855.16967905815716</v>
      </c>
      <c r="C141" s="25">
        <f t="shared" si="0"/>
        <v>3559.9343593013723</v>
      </c>
      <c r="D141" s="25">
        <f t="shared" si="10"/>
        <v>488098.66596308874</v>
      </c>
      <c r="E141" s="25">
        <f>$C141/((1+'How much will I make'!$C$5/12)^(Calculations!$B$1*12-Calculations!$A141))</f>
        <v>855.16967905815716</v>
      </c>
      <c r="F141" s="25">
        <f t="shared" si="11"/>
        <v>89516.571369248428</v>
      </c>
      <c r="G141" s="25">
        <f t="shared" si="1"/>
        <v>14732.176669580953</v>
      </c>
      <c r="H141" s="25">
        <f t="shared" si="12"/>
        <v>2714645.0714270794</v>
      </c>
      <c r="I141" s="25">
        <f>G141/((1+'How much will I make'!$C$5/12)^(Calculations!$B$1*12-Calculations!$A141))</f>
        <v>3538.9727794941809</v>
      </c>
      <c r="J141" s="25">
        <f t="shared" si="13"/>
        <v>484655.68656989333</v>
      </c>
      <c r="K141" s="25">
        <f t="shared" si="2"/>
        <v>60610.550877442052</v>
      </c>
      <c r="L141" s="25">
        <f t="shared" si="14"/>
        <v>15389041.193434777</v>
      </c>
      <c r="M141" s="25">
        <f>K141/((1+'How much will I make'!$C$5/12)^(Calculations!$B$1*12-Calculations!$A141))</f>
        <v>14559.904793180562</v>
      </c>
      <c r="N141" s="25">
        <f t="shared" si="15"/>
        <v>2676048.5222279378</v>
      </c>
      <c r="O141" s="25">
        <f t="shared" si="3"/>
        <v>247917.2929984933</v>
      </c>
      <c r="P141" s="25">
        <f t="shared" si="16"/>
        <v>88791132.354188174</v>
      </c>
      <c r="Q141" s="25">
        <f>O141/((1+'How much will I make'!$C$5/12)^(Calculations!$B$1*12-Calculations!$A141))</f>
        <v>59554.848625943567</v>
      </c>
      <c r="R141" s="25">
        <f t="shared" si="17"/>
        <v>15058552.52299263</v>
      </c>
      <c r="S141" s="25">
        <f t="shared" si="4"/>
        <v>1008238.6089452094</v>
      </c>
      <c r="T141" s="25">
        <f t="shared" si="18"/>
        <v>520368280.80990142</v>
      </c>
      <c r="U141" s="25">
        <f>S141/((1+'How much will I make'!$C$5/12)^(Calculations!$B$1*12-Calculations!$A141))</f>
        <v>242199.71510792826</v>
      </c>
      <c r="V141" s="25">
        <f t="shared" si="19"/>
        <v>86233940.812822729</v>
      </c>
      <c r="W141" s="25">
        <f t="shared" si="5"/>
        <v>4076975.7051558453</v>
      </c>
      <c r="X141" s="25">
        <f t="shared" si="20"/>
        <v>3090415750.566978</v>
      </c>
      <c r="Y141" s="25">
        <f>W141/((1+'How much will I make'!$C$5/12)^(Calculations!$B$1*12-Calculations!$A141))</f>
        <v>979373.67755012366</v>
      </c>
      <c r="Z141" s="25">
        <f t="shared" si="21"/>
        <v>501552276.2558111</v>
      </c>
      <c r="AA141" s="25">
        <f t="shared" si="6"/>
        <v>16392732.615473608</v>
      </c>
      <c r="AB141" s="25">
        <f t="shared" si="22"/>
        <v>18553416625.122837</v>
      </c>
      <c r="AC141" s="25">
        <f>AA141/((1+'How much will I make'!$C$5/12)^(Calculations!$B$1*12-Calculations!$A141))</f>
        <v>3937872.5770696113</v>
      </c>
      <c r="AD141" s="25">
        <f t="shared" si="23"/>
        <v>2955922570.0113497</v>
      </c>
      <c r="AE141" s="25">
        <f t="shared" si="7"/>
        <v>65542486.066970274</v>
      </c>
      <c r="AF141" s="25">
        <f t="shared" si="24"/>
        <v>112330728934.2933</v>
      </c>
      <c r="AG141" s="25">
        <f>AE141/((1+'How much will I make'!$C$5/12)^(Calculations!$B$1*12-Calculations!$A141))</f>
        <v>15744657.377773775</v>
      </c>
      <c r="AH141" s="25">
        <f t="shared" si="25"/>
        <v>17609945314.75449</v>
      </c>
    </row>
    <row r="142" spans="1:34" ht="15.75" customHeight="1">
      <c r="A142" s="22">
        <f t="shared" si="8"/>
        <v>138</v>
      </c>
      <c r="B142" s="22">
        <f t="shared" si="36"/>
        <v>855.16967905815716</v>
      </c>
      <c r="C142" s="25">
        <f t="shared" si="0"/>
        <v>3545.16284743705</v>
      </c>
      <c r="D142" s="25">
        <f t="shared" si="10"/>
        <v>491643.82881052577</v>
      </c>
      <c r="E142" s="25">
        <f>$C142/((1+'How much will I make'!$C$5/12)^(Calculations!$B$1*12-Calculations!$A142))</f>
        <v>855.16967905815716</v>
      </c>
      <c r="F142" s="25">
        <f t="shared" si="11"/>
        <v>90371.741048306591</v>
      </c>
      <c r="G142" s="25">
        <f t="shared" si="1"/>
        <v>14610.423143386073</v>
      </c>
      <c r="H142" s="25">
        <f t="shared" si="12"/>
        <v>2729255.4945704653</v>
      </c>
      <c r="I142" s="25">
        <f>G142/((1+'How much will I make'!$C$5/12)^(Calculations!$B$1*12-Calculations!$A142))</f>
        <v>3524.3489250334633</v>
      </c>
      <c r="J142" s="25">
        <f t="shared" si="13"/>
        <v>488180.03549492679</v>
      </c>
      <c r="K142" s="25">
        <f t="shared" si="2"/>
        <v>59862.272471547716</v>
      </c>
      <c r="L142" s="25">
        <f t="shared" si="14"/>
        <v>15448903.465906324</v>
      </c>
      <c r="M142" s="25">
        <f>K142/((1+'How much will I make'!$C$5/12)^(Calculations!$B$1*12-Calculations!$A142))</f>
        <v>14440.070185829289</v>
      </c>
      <c r="N142" s="25">
        <f t="shared" si="15"/>
        <v>2690488.5924137672</v>
      </c>
      <c r="O142" s="25">
        <f t="shared" si="3"/>
        <v>243853.07508048529</v>
      </c>
      <c r="P142" s="25">
        <f t="shared" si="16"/>
        <v>89034985.429268658</v>
      </c>
      <c r="Q142" s="25">
        <f>O142/((1+'How much will I make'!$C$5/12)^(Calculations!$B$1*12-Calculations!$A142))</f>
        <v>58822.616880542657</v>
      </c>
      <c r="R142" s="25">
        <f t="shared" si="17"/>
        <v>15117375.139873173</v>
      </c>
      <c r="S142" s="25">
        <f t="shared" si="4"/>
        <v>987662.31080347067</v>
      </c>
      <c r="T142" s="25">
        <f t="shared" si="18"/>
        <v>521355943.12070489</v>
      </c>
      <c r="U142" s="25">
        <f>S142/((1+'How much will I make'!$C$5/12)^(Calculations!$B$1*12-Calculations!$A142))</f>
        <v>238245.43404494182</v>
      </c>
      <c r="V142" s="25">
        <f t="shared" si="19"/>
        <v>86472186.246867672</v>
      </c>
      <c r="W142" s="25">
        <f t="shared" si="5"/>
        <v>3977537.2733227764</v>
      </c>
      <c r="X142" s="25">
        <f t="shared" si="20"/>
        <v>3094393287.8403006</v>
      </c>
      <c r="Y142" s="25">
        <f>W142/((1+'How much will I make'!$C$5/12)^(Calculations!$B$1*12-Calculations!$A142))</f>
        <v>959467.70849422726</v>
      </c>
      <c r="Z142" s="25">
        <f t="shared" si="21"/>
        <v>502511743.96430534</v>
      </c>
      <c r="AA142" s="25">
        <f t="shared" si="6"/>
        <v>15928161.245804314</v>
      </c>
      <c r="AB142" s="25">
        <f t="shared" si="22"/>
        <v>18569344786.368641</v>
      </c>
      <c r="AC142" s="25">
        <f>AA142/((1+'How much will I make'!$C$5/12)^(Calculations!$B$1*12-Calculations!$A142))</f>
        <v>3842215.7533351276</v>
      </c>
      <c r="AD142" s="25">
        <f t="shared" si="23"/>
        <v>2959764785.7646847</v>
      </c>
      <c r="AE142" s="25">
        <f t="shared" si="7"/>
        <v>63428212.322874457</v>
      </c>
      <c r="AF142" s="25">
        <f t="shared" si="24"/>
        <v>112394157146.61618</v>
      </c>
      <c r="AG142" s="25">
        <f>AE142/((1+'How much will I make'!$C$5/12)^(Calculations!$B$1*12-Calculations!$A142))</f>
        <v>15300251.725981778</v>
      </c>
      <c r="AH142" s="25">
        <f t="shared" si="25"/>
        <v>17625245566.480473</v>
      </c>
    </row>
    <row r="143" spans="1:34" ht="15.75" customHeight="1">
      <c r="A143" s="22">
        <f t="shared" si="8"/>
        <v>139</v>
      </c>
      <c r="B143" s="22">
        <f t="shared" si="36"/>
        <v>855.16967905815716</v>
      </c>
      <c r="C143" s="25">
        <f t="shared" si="0"/>
        <v>3530.4526281530793</v>
      </c>
      <c r="D143" s="25">
        <f t="shared" si="10"/>
        <v>495174.28143867885</v>
      </c>
      <c r="E143" s="25">
        <f>$C143/((1+'How much will I make'!$C$5/12)^(Calculations!$B$1*12-Calculations!$A143))</f>
        <v>855.16967905815716</v>
      </c>
      <c r="F143" s="25">
        <f t="shared" si="11"/>
        <v>91226.910727364753</v>
      </c>
      <c r="G143" s="25">
        <f t="shared" si="1"/>
        <v>14489.675844680401</v>
      </c>
      <c r="H143" s="25">
        <f t="shared" si="12"/>
        <v>2743745.1704151458</v>
      </c>
      <c r="I143" s="25">
        <f>G143/((1+'How much will I make'!$C$5/12)^(Calculations!$B$1*12-Calculations!$A143))</f>
        <v>3509.7854997234067</v>
      </c>
      <c r="J143" s="25">
        <f t="shared" si="13"/>
        <v>491689.82099465019</v>
      </c>
      <c r="K143" s="25">
        <f t="shared" si="2"/>
        <v>59123.23207066441</v>
      </c>
      <c r="L143" s="25">
        <f t="shared" si="14"/>
        <v>15508026.697976988</v>
      </c>
      <c r="M143" s="25">
        <f>K143/((1+'How much will I make'!$C$5/12)^(Calculations!$B$1*12-Calculations!$A143))</f>
        <v>14321.221871542626</v>
      </c>
      <c r="N143" s="25">
        <f t="shared" si="15"/>
        <v>2704809.81428531</v>
      </c>
      <c r="O143" s="25">
        <f t="shared" si="3"/>
        <v>239855.48368572319</v>
      </c>
      <c r="P143" s="25">
        <f t="shared" si="16"/>
        <v>89274840.912954375</v>
      </c>
      <c r="Q143" s="25">
        <f>O143/((1+'How much will I make'!$C$5/12)^(Calculations!$B$1*12-Calculations!$A143))</f>
        <v>58099.387984470392</v>
      </c>
      <c r="R143" s="25">
        <f t="shared" si="17"/>
        <v>15175474.527857643</v>
      </c>
      <c r="S143" s="25">
        <f t="shared" si="4"/>
        <v>967505.93711360393</v>
      </c>
      <c r="T143" s="25">
        <f t="shared" si="18"/>
        <v>522323449.05781847</v>
      </c>
      <c r="U143" s="25">
        <f>S143/((1+'How much will I make'!$C$5/12)^(Calculations!$B$1*12-Calculations!$A143))</f>
        <v>234355.71267277948</v>
      </c>
      <c r="V143" s="25">
        <f t="shared" si="19"/>
        <v>86706541.959540457</v>
      </c>
      <c r="W143" s="25">
        <f t="shared" si="5"/>
        <v>3880524.1690953914</v>
      </c>
      <c r="X143" s="25">
        <f t="shared" si="20"/>
        <v>3098273812.0093961</v>
      </c>
      <c r="Y143" s="25">
        <f>W143/((1+'How much will I make'!$C$5/12)^(Calculations!$B$1*12-Calculations!$A143))</f>
        <v>939966.33230531996</v>
      </c>
      <c r="Z143" s="25">
        <f t="shared" si="21"/>
        <v>503451710.29661065</v>
      </c>
      <c r="AA143" s="25">
        <f t="shared" si="6"/>
        <v>15476755.866368568</v>
      </c>
      <c r="AB143" s="25">
        <f t="shared" si="22"/>
        <v>18584821542.235008</v>
      </c>
      <c r="AC143" s="25">
        <f>AA143/((1+'How much will I make'!$C$5/12)^(Calculations!$B$1*12-Calculations!$A143))</f>
        <v>3748882.5771407522</v>
      </c>
      <c r="AD143" s="25">
        <f t="shared" si="23"/>
        <v>2963513668.3418255</v>
      </c>
      <c r="AE143" s="25">
        <f t="shared" si="7"/>
        <v>61382140.957620442</v>
      </c>
      <c r="AF143" s="25">
        <f t="shared" si="24"/>
        <v>112455539287.57381</v>
      </c>
      <c r="AG143" s="25">
        <f>AE143/((1+'How much will I make'!$C$5/12)^(Calculations!$B$1*12-Calculations!$A143))</f>
        <v>14868389.782103257</v>
      </c>
      <c r="AH143" s="25">
        <f t="shared" si="25"/>
        <v>17640113956.262577</v>
      </c>
    </row>
    <row r="144" spans="1:34" ht="15.75" customHeight="1">
      <c r="A144" s="22">
        <f t="shared" si="8"/>
        <v>140</v>
      </c>
      <c r="B144" s="22">
        <f t="shared" si="36"/>
        <v>855.16967905815716</v>
      </c>
      <c r="C144" s="25">
        <f t="shared" si="0"/>
        <v>3515.8034471233982</v>
      </c>
      <c r="D144" s="25">
        <f t="shared" si="10"/>
        <v>498690.08488580224</v>
      </c>
      <c r="E144" s="25">
        <f>$C144/((1+'How much will I make'!$C$5/12)^(Calculations!$B$1*12-Calculations!$A144))</f>
        <v>855.16967905815716</v>
      </c>
      <c r="F144" s="25">
        <f t="shared" si="11"/>
        <v>92082.080406422916</v>
      </c>
      <c r="G144" s="25">
        <f t="shared" si="1"/>
        <v>14369.926457534284</v>
      </c>
      <c r="H144" s="25">
        <f t="shared" si="12"/>
        <v>2758115.0968726799</v>
      </c>
      <c r="I144" s="25">
        <f>G144/((1+'How much will I make'!$C$5/12)^(Calculations!$B$1*12-Calculations!$A144))</f>
        <v>3495.2822538567821</v>
      </c>
      <c r="J144" s="25">
        <f t="shared" si="13"/>
        <v>495185.10324850696</v>
      </c>
      <c r="K144" s="25">
        <f t="shared" si="2"/>
        <v>58393.315625347575</v>
      </c>
      <c r="L144" s="25">
        <f t="shared" si="14"/>
        <v>15566420.013602335</v>
      </c>
      <c r="M144" s="25">
        <f>K144/((1+'How much will I make'!$C$5/12)^(Calculations!$B$1*12-Calculations!$A144))</f>
        <v>14203.351732682197</v>
      </c>
      <c r="N144" s="25">
        <f t="shared" si="15"/>
        <v>2719013.166017992</v>
      </c>
      <c r="O144" s="25">
        <f t="shared" si="3"/>
        <v>235923.42657612119</v>
      </c>
      <c r="P144" s="25">
        <f t="shared" si="16"/>
        <v>89510764.339530498</v>
      </c>
      <c r="Q144" s="25">
        <f>O144/((1+'How much will I make'!$C$5/12)^(Calculations!$B$1*12-Calculations!$A144))</f>
        <v>57385.051246956427</v>
      </c>
      <c r="R144" s="25">
        <f t="shared" si="17"/>
        <v>15232859.579104599</v>
      </c>
      <c r="S144" s="25">
        <f t="shared" si="4"/>
        <v>947760.91798883653</v>
      </c>
      <c r="T144" s="25">
        <f t="shared" si="18"/>
        <v>523271209.97580731</v>
      </c>
      <c r="U144" s="25">
        <f>S144/((1+'How much will I make'!$C$5/12)^(Calculations!$B$1*12-Calculations!$A144))</f>
        <v>230529.49695567292</v>
      </c>
      <c r="V144" s="25">
        <f t="shared" si="19"/>
        <v>86937071.456496134</v>
      </c>
      <c r="W144" s="25">
        <f t="shared" si="5"/>
        <v>3785877.2381418459</v>
      </c>
      <c r="X144" s="25">
        <f t="shared" si="20"/>
        <v>3102059689.2475381</v>
      </c>
      <c r="Y144" s="25">
        <f>W144/((1+'How much will I make'!$C$5/12)^(Calculations!$B$1*12-Calculations!$A144))</f>
        <v>920861.32555114711</v>
      </c>
      <c r="Z144" s="25">
        <f t="shared" si="21"/>
        <v>504372571.62216181</v>
      </c>
      <c r="AA144" s="25">
        <f t="shared" si="6"/>
        <v>15038143.35193707</v>
      </c>
      <c r="AB144" s="25">
        <f t="shared" si="22"/>
        <v>18599859685.586945</v>
      </c>
      <c r="AC144" s="25">
        <f>AA144/((1+'How much will I make'!$C$5/12)^(Calculations!$B$1*12-Calculations!$A144))</f>
        <v>3657816.6036069696</v>
      </c>
      <c r="AD144" s="25">
        <f t="shared" si="23"/>
        <v>2967171484.9454327</v>
      </c>
      <c r="AE144" s="25">
        <f t="shared" si="7"/>
        <v>59402071.894471385</v>
      </c>
      <c r="AF144" s="25">
        <f t="shared" si="24"/>
        <v>112514941359.46828</v>
      </c>
      <c r="AG144" s="25">
        <f>AE144/((1+'How much will I make'!$C$5/12)^(Calculations!$B$1*12-Calculations!$A144))</f>
        <v>14448717.489866471</v>
      </c>
      <c r="AH144" s="25">
        <f t="shared" si="25"/>
        <v>17654562673.752445</v>
      </c>
    </row>
    <row r="145" spans="1:34" ht="15.75" customHeight="1">
      <c r="A145" s="22">
        <f t="shared" si="8"/>
        <v>141</v>
      </c>
      <c r="B145" s="22">
        <f t="shared" si="36"/>
        <v>855.16967905815716</v>
      </c>
      <c r="C145" s="25">
        <f t="shared" si="0"/>
        <v>3501.2150510772431</v>
      </c>
      <c r="D145" s="25">
        <f t="shared" si="10"/>
        <v>502191.29993687948</v>
      </c>
      <c r="E145" s="25">
        <f>$C145/((1+'How much will I make'!$C$5/12)^(Calculations!$B$1*12-Calculations!$A145))</f>
        <v>855.16967905815716</v>
      </c>
      <c r="F145" s="25">
        <f t="shared" si="11"/>
        <v>92937.250085481079</v>
      </c>
      <c r="G145" s="25">
        <f t="shared" si="1"/>
        <v>14251.166734744744</v>
      </c>
      <c r="H145" s="25">
        <f t="shared" si="12"/>
        <v>2772366.2636074247</v>
      </c>
      <c r="I145" s="25">
        <f>G145/((1+'How much will I make'!$C$5/12)^(Calculations!$B$1*12-Calculations!$A145))</f>
        <v>3480.8389387582001</v>
      </c>
      <c r="J145" s="25">
        <f t="shared" si="13"/>
        <v>498665.94218726514</v>
      </c>
      <c r="K145" s="25">
        <f t="shared" si="2"/>
        <v>57672.410494170443</v>
      </c>
      <c r="L145" s="25">
        <f t="shared" si="14"/>
        <v>15624092.424096506</v>
      </c>
      <c r="M145" s="25">
        <f>K145/((1+'How much will I make'!$C$5/12)^(Calculations!$B$1*12-Calculations!$A145))</f>
        <v>14086.451718421438</v>
      </c>
      <c r="N145" s="25">
        <f t="shared" si="15"/>
        <v>2733099.6177364136</v>
      </c>
      <c r="O145" s="25">
        <f t="shared" si="3"/>
        <v>232055.82941913558</v>
      </c>
      <c r="P145" s="25">
        <f t="shared" si="16"/>
        <v>89742820.168949634</v>
      </c>
      <c r="Q145" s="25">
        <f>O145/((1+'How much will I make'!$C$5/12)^(Calculations!$B$1*12-Calculations!$A145))</f>
        <v>56679.497338182366</v>
      </c>
      <c r="R145" s="25">
        <f t="shared" si="17"/>
        <v>15289539.076442782</v>
      </c>
      <c r="S145" s="25">
        <f t="shared" si="4"/>
        <v>928418.85843804397</v>
      </c>
      <c r="T145" s="25">
        <f t="shared" si="18"/>
        <v>524199628.83424532</v>
      </c>
      <c r="U145" s="25">
        <f>S145/((1+'How much will I make'!$C$5/12)^(Calculations!$B$1*12-Calculations!$A145))</f>
        <v>226765.75006660071</v>
      </c>
      <c r="V145" s="25">
        <f t="shared" si="19"/>
        <v>87163837.206562728</v>
      </c>
      <c r="W145" s="25">
        <f t="shared" si="5"/>
        <v>3693538.7689188742</v>
      </c>
      <c r="X145" s="25">
        <f t="shared" si="20"/>
        <v>3105753228.0164571</v>
      </c>
      <c r="Y145" s="25">
        <f>W145/((1+'How much will I make'!$C$5/12)^(Calculations!$B$1*12-Calculations!$A145))</f>
        <v>902144.63194238406</v>
      </c>
      <c r="Z145" s="25">
        <f t="shared" si="21"/>
        <v>505274716.2541042</v>
      </c>
      <c r="AA145" s="25">
        <f t="shared" si="6"/>
        <v>14611961.151679749</v>
      </c>
      <c r="AB145" s="25">
        <f t="shared" si="22"/>
        <v>18614471646.738625</v>
      </c>
      <c r="AC145" s="25">
        <f>AA145/((1+'How much will I make'!$C$5/12)^(Calculations!$B$1*12-Calculations!$A145))</f>
        <v>3568962.7589849392</v>
      </c>
      <c r="AD145" s="25">
        <f t="shared" si="23"/>
        <v>2970740447.7044177</v>
      </c>
      <c r="AE145" s="25">
        <f t="shared" si="7"/>
        <v>57485876.026907787</v>
      </c>
      <c r="AF145" s="25">
        <f t="shared" si="24"/>
        <v>112572427235.49518</v>
      </c>
      <c r="AG145" s="25">
        <f>AE145/((1+'How much will I make'!$C$5/12)^(Calculations!$B$1*12-Calculations!$A145))</f>
        <v>14040890.786523465</v>
      </c>
      <c r="AH145" s="25">
        <f t="shared" si="25"/>
        <v>17668603564.538967</v>
      </c>
    </row>
    <row r="146" spans="1:34" ht="15.75" customHeight="1">
      <c r="A146" s="22">
        <f t="shared" si="8"/>
        <v>142</v>
      </c>
      <c r="B146" s="22">
        <f t="shared" si="36"/>
        <v>855.16967905815716</v>
      </c>
      <c r="C146" s="25">
        <f t="shared" si="0"/>
        <v>3486.6871877947647</v>
      </c>
      <c r="D146" s="25">
        <f t="shared" si="10"/>
        <v>505677.98712467426</v>
      </c>
      <c r="E146" s="25">
        <f>$C146/((1+'How much will I make'!$C$5/12)^(Calculations!$B$1*12-Calculations!$A146))</f>
        <v>855.16967905815716</v>
      </c>
      <c r="F146" s="25">
        <f t="shared" si="11"/>
        <v>93792.419764539241</v>
      </c>
      <c r="G146" s="25">
        <f t="shared" si="1"/>
        <v>14133.388497267517</v>
      </c>
      <c r="H146" s="25">
        <f t="shared" si="12"/>
        <v>2786499.6521046921</v>
      </c>
      <c r="I146" s="25">
        <f>G146/((1+'How much will I make'!$C$5/12)^(Calculations!$B$1*12-Calculations!$A146))</f>
        <v>3466.4553067798615</v>
      </c>
      <c r="J146" s="25">
        <f t="shared" si="13"/>
        <v>502132.39749404503</v>
      </c>
      <c r="K146" s="25">
        <f t="shared" si="2"/>
        <v>56960.405426341182</v>
      </c>
      <c r="L146" s="25">
        <f t="shared" si="14"/>
        <v>15681052.829522848</v>
      </c>
      <c r="M146" s="25">
        <f>K146/((1+'How much will I make'!$C$5/12)^(Calculations!$B$1*12-Calculations!$A146))</f>
        <v>13970.51384419575</v>
      </c>
      <c r="N146" s="25">
        <f t="shared" si="15"/>
        <v>2747070.1315806094</v>
      </c>
      <c r="O146" s="25">
        <f t="shared" si="3"/>
        <v>228251.63549423177</v>
      </c>
      <c r="P146" s="25">
        <f t="shared" si="16"/>
        <v>89971071.804443866</v>
      </c>
      <c r="Q146" s="25">
        <f>O146/((1+'How much will I make'!$C$5/12)^(Calculations!$B$1*12-Calculations!$A146))</f>
        <v>55982.618272549</v>
      </c>
      <c r="R146" s="25">
        <f t="shared" si="17"/>
        <v>15345521.69471533</v>
      </c>
      <c r="S146" s="25">
        <f t="shared" si="4"/>
        <v>909471.53479645133</v>
      </c>
      <c r="T146" s="25">
        <f t="shared" si="18"/>
        <v>525109100.3690418</v>
      </c>
      <c r="U146" s="25">
        <f>S146/((1+'How much will I make'!$C$5/12)^(Calculations!$B$1*12-Calculations!$A146))</f>
        <v>223063.45210632973</v>
      </c>
      <c r="V146" s="25">
        <f t="shared" si="19"/>
        <v>87386900.658669055</v>
      </c>
      <c r="W146" s="25">
        <f t="shared" si="5"/>
        <v>3603452.457481829</v>
      </c>
      <c r="X146" s="25">
        <f t="shared" si="20"/>
        <v>3109356680.4739389</v>
      </c>
      <c r="Y146" s="25">
        <f>W146/((1+'How much will I make'!$C$5/12)^(Calculations!$B$1*12-Calculations!$A146))</f>
        <v>883808.35893542517</v>
      </c>
      <c r="Z146" s="25">
        <f t="shared" si="21"/>
        <v>506158524.61303961</v>
      </c>
      <c r="AA146" s="25">
        <f t="shared" si="6"/>
        <v>14197856.989486394</v>
      </c>
      <c r="AB146" s="25">
        <f t="shared" si="22"/>
        <v>18628669503.728111</v>
      </c>
      <c r="AC146" s="25">
        <f>AA146/((1+'How much will I make'!$C$5/12)^(Calculations!$B$1*12-Calculations!$A146))</f>
        <v>3482267.3073496772</v>
      </c>
      <c r="AD146" s="25">
        <f t="shared" si="23"/>
        <v>2974222715.0117674</v>
      </c>
      <c r="AE146" s="25">
        <f t="shared" si="7"/>
        <v>55631492.929265596</v>
      </c>
      <c r="AF146" s="25">
        <f t="shared" si="24"/>
        <v>112628058728.42444</v>
      </c>
      <c r="AG146" s="25">
        <f>AE146/((1+'How much will I make'!$C$5/12)^(Calculations!$B$1*12-Calculations!$A146))</f>
        <v>13644575.320774818</v>
      </c>
      <c r="AH146" s="25">
        <f t="shared" si="25"/>
        <v>17682248139.859741</v>
      </c>
    </row>
    <row r="147" spans="1:34" ht="15.75" customHeight="1">
      <c r="A147" s="22">
        <f t="shared" si="8"/>
        <v>143</v>
      </c>
      <c r="B147" s="22">
        <f t="shared" si="36"/>
        <v>855.16967905815716</v>
      </c>
      <c r="C147" s="25">
        <f t="shared" si="0"/>
        <v>3472.2196061026702</v>
      </c>
      <c r="D147" s="25">
        <f t="shared" si="10"/>
        <v>509150.20673077693</v>
      </c>
      <c r="E147" s="25">
        <f>$C147/((1+'How much will I make'!$C$5/12)^(Calculations!$B$1*12-Calculations!$A147))</f>
        <v>855.16967905815716</v>
      </c>
      <c r="F147" s="25">
        <f t="shared" si="11"/>
        <v>94647.589443597404</v>
      </c>
      <c r="G147" s="25">
        <f t="shared" si="1"/>
        <v>14016.583633653732</v>
      </c>
      <c r="H147" s="25">
        <f t="shared" si="12"/>
        <v>2800516.2357383459</v>
      </c>
      <c r="I147" s="25">
        <f>G147/((1+'How much will I make'!$C$5/12)^(Calculations!$B$1*12-Calculations!$A147))</f>
        <v>3452.131111297299</v>
      </c>
      <c r="J147" s="25">
        <f t="shared" si="13"/>
        <v>505584.52860534232</v>
      </c>
      <c r="K147" s="25">
        <f t="shared" si="2"/>
        <v>56257.190544534504</v>
      </c>
      <c r="L147" s="25">
        <f t="shared" si="14"/>
        <v>15737310.020067383</v>
      </c>
      <c r="M147" s="25">
        <f>K147/((1+'How much will I make'!$C$5/12)^(Calculations!$B$1*12-Calculations!$A147))</f>
        <v>13855.5301911571</v>
      </c>
      <c r="N147" s="25">
        <f t="shared" si="15"/>
        <v>2760925.6617717664</v>
      </c>
      <c r="O147" s="25">
        <f t="shared" si="3"/>
        <v>224509.80540416241</v>
      </c>
      <c r="P147" s="25">
        <f t="shared" si="16"/>
        <v>90195581.609848022</v>
      </c>
      <c r="Q147" s="25">
        <f>O147/((1+'How much will I make'!$C$5/12)^(Calculations!$B$1*12-Calculations!$A147))</f>
        <v>55294.307392148803</v>
      </c>
      <c r="R147" s="25">
        <f t="shared" si="17"/>
        <v>15400816.002107479</v>
      </c>
      <c r="S147" s="25">
        <f t="shared" si="4"/>
        <v>890910.89122917713</v>
      </c>
      <c r="T147" s="25">
        <f t="shared" si="18"/>
        <v>526000011.26027095</v>
      </c>
      <c r="U147" s="25">
        <f>S147/((1+'How much will I make'!$C$5/12)^(Calculations!$B$1*12-Calculations!$A147))</f>
        <v>219421.59982704275</v>
      </c>
      <c r="V147" s="25">
        <f t="shared" si="19"/>
        <v>87606322.258496091</v>
      </c>
      <c r="W147" s="25">
        <f t="shared" si="5"/>
        <v>3515563.3731530039</v>
      </c>
      <c r="X147" s="25">
        <f t="shared" si="20"/>
        <v>3112872243.8470922</v>
      </c>
      <c r="Y147" s="25">
        <f>W147/((1+'How much will I make'!$C$5/12)^(Calculations!$B$1*12-Calculations!$A147))</f>
        <v>865844.77440421726</v>
      </c>
      <c r="Z147" s="25">
        <f t="shared" si="21"/>
        <v>507024369.38744384</v>
      </c>
      <c r="AA147" s="25">
        <f t="shared" si="6"/>
        <v>13795488.572780302</v>
      </c>
      <c r="AB147" s="25">
        <f t="shared" si="22"/>
        <v>18642464992.300892</v>
      </c>
      <c r="AC147" s="25">
        <f>AA147/((1+'How much will I make'!$C$5/12)^(Calculations!$B$1*12-Calculations!$A147))</f>
        <v>3397677.8181023165</v>
      </c>
      <c r="AD147" s="25">
        <f t="shared" si="23"/>
        <v>2977620392.8298697</v>
      </c>
      <c r="AE147" s="25">
        <f t="shared" si="7"/>
        <v>53836928.641224764</v>
      </c>
      <c r="AF147" s="25">
        <f t="shared" si="24"/>
        <v>112681895657.06566</v>
      </c>
      <c r="AG147" s="25">
        <f>AE147/((1+'How much will I make'!$C$5/12)^(Calculations!$B$1*12-Calculations!$A147))</f>
        <v>13259446.178656172</v>
      </c>
      <c r="AH147" s="25">
        <f t="shared" si="25"/>
        <v>17695507586.038399</v>
      </c>
    </row>
    <row r="148" spans="1:34" ht="15.75" customHeight="1">
      <c r="A148" s="22">
        <f t="shared" si="8"/>
        <v>144</v>
      </c>
      <c r="B148" s="22">
        <f t="shared" si="36"/>
        <v>855.16967905815716</v>
      </c>
      <c r="C148" s="25">
        <f t="shared" si="0"/>
        <v>3457.8120558698793</v>
      </c>
      <c r="D148" s="25">
        <f t="shared" si="10"/>
        <v>512608.01878664683</v>
      </c>
      <c r="E148" s="25">
        <f>$C148/((1+'How much will I make'!$C$5/12)^(Calculations!$B$1*12-Calculations!$A148))</f>
        <v>855.16967905815716</v>
      </c>
      <c r="F148" s="25">
        <f t="shared" si="11"/>
        <v>95502.759122655567</v>
      </c>
      <c r="G148" s="25">
        <f t="shared" si="1"/>
        <v>13900.744099491307</v>
      </c>
      <c r="H148" s="25">
        <f t="shared" si="12"/>
        <v>2814416.9798378372</v>
      </c>
      <c r="I148" s="25">
        <f>G148/((1+'How much will I make'!$C$5/12)^(Calculations!$B$1*12-Calculations!$A148))</f>
        <v>3437.8661067051617</v>
      </c>
      <c r="J148" s="25">
        <f t="shared" si="13"/>
        <v>509022.39471204748</v>
      </c>
      <c r="K148" s="25">
        <f t="shared" si="2"/>
        <v>55562.657327935311</v>
      </c>
      <c r="L148" s="25">
        <f t="shared" si="14"/>
        <v>15792872.677395318</v>
      </c>
      <c r="M148" s="25">
        <f>K148/((1+'How much will I make'!$C$5/12)^(Calculations!$B$1*12-Calculations!$A148))</f>
        <v>13741.492905633173</v>
      </c>
      <c r="N148" s="25">
        <f t="shared" si="15"/>
        <v>2774667.1546773994</v>
      </c>
      <c r="O148" s="25">
        <f t="shared" si="3"/>
        <v>220829.31679097944</v>
      </c>
      <c r="P148" s="25">
        <f t="shared" si="16"/>
        <v>90416410.926639006</v>
      </c>
      <c r="Q148" s="25">
        <f>O148/((1+'How much will I make'!$C$5/12)^(Calculations!$B$1*12-Calculations!$A148))</f>
        <v>54614.459350442055</v>
      </c>
      <c r="R148" s="25">
        <f t="shared" si="17"/>
        <v>15455430.461457921</v>
      </c>
      <c r="S148" s="25">
        <f t="shared" si="4"/>
        <v>872729.0363061328</v>
      </c>
      <c r="T148" s="25">
        <f t="shared" si="18"/>
        <v>526872740.2965771</v>
      </c>
      <c r="U148" s="25">
        <f>S148/((1+'How much will I make'!$C$5/12)^(Calculations!$B$1*12-Calculations!$A148))</f>
        <v>215839.2063604788</v>
      </c>
      <c r="V148" s="25">
        <f t="shared" si="19"/>
        <v>87822161.464856565</v>
      </c>
      <c r="W148" s="25">
        <f t="shared" si="5"/>
        <v>3429817.9250273206</v>
      </c>
      <c r="X148" s="25">
        <f t="shared" si="20"/>
        <v>3116302061.7721195</v>
      </c>
      <c r="Y148" s="25">
        <f>W148/((1+'How much will I make'!$C$5/12)^(Calculations!$B$1*12-Calculations!$A148))</f>
        <v>848246.30337974115</v>
      </c>
      <c r="Z148" s="25">
        <f t="shared" si="21"/>
        <v>507872615.69082355</v>
      </c>
      <c r="AA148" s="25">
        <f t="shared" si="6"/>
        <v>13404523.309584102</v>
      </c>
      <c r="AB148" s="25">
        <f t="shared" si="22"/>
        <v>18655869515.610477</v>
      </c>
      <c r="AC148" s="25">
        <f>AA148/((1+'How much will I make'!$C$5/12)^(Calculations!$B$1*12-Calculations!$A148))</f>
        <v>3315143.1342617748</v>
      </c>
      <c r="AD148" s="25">
        <f t="shared" si="23"/>
        <v>2980935535.9641314</v>
      </c>
      <c r="AE148" s="25">
        <f t="shared" si="7"/>
        <v>52100253.523765899</v>
      </c>
      <c r="AF148" s="25">
        <f t="shared" si="24"/>
        <v>112733995910.58943</v>
      </c>
      <c r="AG148" s="25">
        <f>AE148/((1+'How much will I make'!$C$5/12)^(Calculations!$B$1*12-Calculations!$A148))</f>
        <v>12885187.617161844</v>
      </c>
      <c r="AH148" s="25">
        <f t="shared" si="25"/>
        <v>17708392773.65556</v>
      </c>
    </row>
    <row r="149" spans="1:34" ht="15.75" customHeight="1">
      <c r="A149" s="22">
        <f t="shared" si="8"/>
        <v>145</v>
      </c>
      <c r="B149" s="22">
        <f>B148*(1+'How much will I make'!$C$4)</f>
        <v>897.92816301106507</v>
      </c>
      <c r="C149" s="25">
        <f t="shared" si="0"/>
        <v>3615.63750240336</v>
      </c>
      <c r="D149" s="25">
        <f t="shared" si="10"/>
        <v>516223.65628905018</v>
      </c>
      <c r="E149" s="25">
        <f>$C149/((1+'How much will I make'!$C$5/12)^(Calculations!$B$1*12-Calculations!$A149))</f>
        <v>897.92816301106507</v>
      </c>
      <c r="F149" s="25">
        <f t="shared" si="11"/>
        <v>96400.68728566663</v>
      </c>
      <c r="G149" s="25">
        <f t="shared" si="1"/>
        <v>14475.155012693431</v>
      </c>
      <c r="H149" s="25">
        <f t="shared" si="12"/>
        <v>2828892.1348505304</v>
      </c>
      <c r="I149" s="25">
        <f>G149/((1+'How much will I make'!$C$5/12)^(Calculations!$B$1*12-Calculations!$A149))</f>
        <v>3594.8430508336414</v>
      </c>
      <c r="J149" s="25">
        <f t="shared" si="13"/>
        <v>512617.23776288109</v>
      </c>
      <c r="K149" s="25">
        <f t="shared" si="2"/>
        <v>57620.533525266241</v>
      </c>
      <c r="L149" s="25">
        <f t="shared" si="14"/>
        <v>15850493.210920583</v>
      </c>
      <c r="M149" s="25">
        <f>K149/((1+'How much will I make'!$C$5/12)^(Calculations!$B$1*12-Calculations!$A149))</f>
        <v>14309.813908520468</v>
      </c>
      <c r="N149" s="25">
        <f t="shared" si="15"/>
        <v>2788976.9685859201</v>
      </c>
      <c r="O149" s="25">
        <f t="shared" si="3"/>
        <v>228069.62225953612</v>
      </c>
      <c r="P149" s="25">
        <f t="shared" si="16"/>
        <v>90644480.548898548</v>
      </c>
      <c r="Q149" s="25">
        <f>O149/((1+'How much will I make'!$C$5/12)^(Calculations!$B$1*12-Calculations!$A149))</f>
        <v>56640.118600939997</v>
      </c>
      <c r="R149" s="25">
        <f t="shared" si="17"/>
        <v>15512070.580058862</v>
      </c>
      <c r="S149" s="25">
        <f t="shared" si="4"/>
        <v>897664.15162916528</v>
      </c>
      <c r="T149" s="25">
        <f t="shared" si="18"/>
        <v>527770404.44820625</v>
      </c>
      <c r="U149" s="25">
        <f>S149/((1+'How much will I make'!$C$5/12)^(Calculations!$B$1*12-Calculations!$A149))</f>
        <v>222931.0659980374</v>
      </c>
      <c r="V149" s="25">
        <f t="shared" si="19"/>
        <v>88045092.530854598</v>
      </c>
      <c r="W149" s="25">
        <f t="shared" si="5"/>
        <v>3513472.0207596952</v>
      </c>
      <c r="X149" s="25">
        <f t="shared" si="20"/>
        <v>3119815533.7928791</v>
      </c>
      <c r="Y149" s="25">
        <f>W149/((1+'How much will I make'!$C$5/12)^(Calculations!$B$1*12-Calculations!$A149))</f>
        <v>872555.80109855102</v>
      </c>
      <c r="Z149" s="25">
        <f t="shared" si="21"/>
        <v>508745171.49192208</v>
      </c>
      <c r="AA149" s="25">
        <f t="shared" si="6"/>
        <v>13675869.935284188</v>
      </c>
      <c r="AB149" s="25">
        <f t="shared" si="22"/>
        <v>18669545385.545761</v>
      </c>
      <c r="AC149" s="25">
        <f>AA149/((1+'How much will I make'!$C$5/12)^(Calculations!$B$1*12-Calculations!$A149))</f>
        <v>3396344.0086030047</v>
      </c>
      <c r="AD149" s="25">
        <f t="shared" si="23"/>
        <v>2984331879.9727345</v>
      </c>
      <c r="AE149" s="25">
        <f t="shared" si="7"/>
        <v>52940580.19350405</v>
      </c>
      <c r="AF149" s="25">
        <f t="shared" si="24"/>
        <v>112786936490.78293</v>
      </c>
      <c r="AG149" s="25">
        <f>AE149/((1+'How much will I make'!$C$5/12)^(Calculations!$B$1*12-Calculations!$A149))</f>
        <v>13147567.445656465</v>
      </c>
      <c r="AH149" s="25">
        <f t="shared" si="25"/>
        <v>17721540341.101215</v>
      </c>
    </row>
    <row r="150" spans="1:34" ht="15.75" customHeight="1">
      <c r="A150" s="22">
        <f t="shared" si="8"/>
        <v>146</v>
      </c>
      <c r="B150" s="22">
        <f t="shared" ref="B150:B160" si="37">B149</f>
        <v>897.92816301106507</v>
      </c>
      <c r="C150" s="25">
        <f t="shared" si="0"/>
        <v>3600.6348571651706</v>
      </c>
      <c r="D150" s="25">
        <f t="shared" si="10"/>
        <v>519824.29114621534</v>
      </c>
      <c r="E150" s="25">
        <f>$C150/((1+'How much will I make'!$C$5/12)^(Calculations!$B$1*12-Calculations!$A150))</f>
        <v>897.92816301106507</v>
      </c>
      <c r="F150" s="25">
        <f t="shared" si="11"/>
        <v>97298.615448677694</v>
      </c>
      <c r="G150" s="25">
        <f t="shared" si="1"/>
        <v>14355.525632423238</v>
      </c>
      <c r="H150" s="25">
        <f t="shared" si="12"/>
        <v>2843247.6604829538</v>
      </c>
      <c r="I150" s="25">
        <f>G150/((1+'How much will I make'!$C$5/12)^(Calculations!$B$1*12-Calculations!$A150))</f>
        <v>3579.9883274830909</v>
      </c>
      <c r="J150" s="25">
        <f t="shared" si="13"/>
        <v>516197.22609036416</v>
      </c>
      <c r="K150" s="25">
        <f t="shared" si="2"/>
        <v>56909.168913843219</v>
      </c>
      <c r="L150" s="25">
        <f t="shared" si="14"/>
        <v>15907402.379834427</v>
      </c>
      <c r="M150" s="25">
        <f>K150/((1+'How much will I make'!$C$5/12)^(Calculations!$B$1*12-Calculations!$A150))</f>
        <v>14192.037662359815</v>
      </c>
      <c r="N150" s="25">
        <f t="shared" si="15"/>
        <v>2803169.0062482799</v>
      </c>
      <c r="O150" s="25">
        <f t="shared" si="3"/>
        <v>224330.77599298643</v>
      </c>
      <c r="P150" s="25">
        <f t="shared" si="16"/>
        <v>90868811.324891537</v>
      </c>
      <c r="Q150" s="25">
        <f>O150/((1+'How much will I make'!$C$5/12)^(Calculations!$B$1*12-Calculations!$A150))</f>
        <v>55943.723700108807</v>
      </c>
      <c r="R150" s="25">
        <f t="shared" si="17"/>
        <v>15568014.30375897</v>
      </c>
      <c r="S150" s="25">
        <f t="shared" si="4"/>
        <v>879344.47506530478</v>
      </c>
      <c r="T150" s="25">
        <f t="shared" si="18"/>
        <v>528649748.92327154</v>
      </c>
      <c r="U150" s="25">
        <f>S150/((1+'How much will I make'!$C$5/12)^(Calculations!$B$1*12-Calculations!$A150))</f>
        <v>219291.37512460013</v>
      </c>
      <c r="V150" s="25">
        <f t="shared" si="19"/>
        <v>88264383.905979201</v>
      </c>
      <c r="W150" s="25">
        <f t="shared" si="5"/>
        <v>3427777.5812289701</v>
      </c>
      <c r="X150" s="25">
        <f t="shared" si="20"/>
        <v>3123243311.3741078</v>
      </c>
      <c r="Y150" s="25">
        <f>W150/((1+'How much will I make'!$C$5/12)^(Calculations!$B$1*12-Calculations!$A150))</f>
        <v>854820.92709248292</v>
      </c>
      <c r="Z150" s="25">
        <f t="shared" si="21"/>
        <v>509599992.41901457</v>
      </c>
      <c r="AA150" s="25">
        <f t="shared" si="6"/>
        <v>13288294.673960347</v>
      </c>
      <c r="AB150" s="25">
        <f t="shared" si="22"/>
        <v>18682833680.219723</v>
      </c>
      <c r="AC150" s="25">
        <f>AA150/((1+'How much will I make'!$C$5/12)^(Calculations!$B$1*12-Calculations!$A150))</f>
        <v>3313841.7249932168</v>
      </c>
      <c r="AD150" s="25">
        <f t="shared" si="23"/>
        <v>2987645721.6977277</v>
      </c>
      <c r="AE150" s="25">
        <f t="shared" si="7"/>
        <v>51232819.54210069</v>
      </c>
      <c r="AF150" s="25">
        <f t="shared" si="24"/>
        <v>112838169310.32503</v>
      </c>
      <c r="AG150" s="25">
        <f>AE150/((1+'How much will I make'!$C$5/12)^(Calculations!$B$1*12-Calculations!$A150))</f>
        <v>12776466.751625843</v>
      </c>
      <c r="AH150" s="25">
        <f t="shared" si="25"/>
        <v>17734316807.85284</v>
      </c>
    </row>
    <row r="151" spans="1:34" ht="15.75" customHeight="1">
      <c r="A151" s="22">
        <f t="shared" si="8"/>
        <v>147</v>
      </c>
      <c r="B151" s="22">
        <f t="shared" si="37"/>
        <v>897.92816301106507</v>
      </c>
      <c r="C151" s="25">
        <f t="shared" si="0"/>
        <v>3585.6944635669747</v>
      </c>
      <c r="D151" s="25">
        <f t="shared" si="10"/>
        <v>523409.98560978234</v>
      </c>
      <c r="E151" s="25">
        <f>$C151/((1+'How much will I make'!$C$5/12)^(Calculations!$B$1*12-Calculations!$A151))</f>
        <v>897.92816301106507</v>
      </c>
      <c r="F151" s="25">
        <f t="shared" si="11"/>
        <v>98196.543611688758</v>
      </c>
      <c r="G151" s="25">
        <f t="shared" si="1"/>
        <v>14236.884924717258</v>
      </c>
      <c r="H151" s="25">
        <f t="shared" si="12"/>
        <v>2857484.545407671</v>
      </c>
      <c r="I151" s="25">
        <f>G151/((1+'How much will I make'!$C$5/12)^(Calculations!$B$1*12-Calculations!$A151))</f>
        <v>3565.194987286879</v>
      </c>
      <c r="J151" s="25">
        <f t="shared" si="13"/>
        <v>519762.42107765103</v>
      </c>
      <c r="K151" s="25">
        <f t="shared" si="2"/>
        <v>56206.586581573538</v>
      </c>
      <c r="L151" s="25">
        <f t="shared" si="14"/>
        <v>15963608.966415999</v>
      </c>
      <c r="M151" s="25">
        <f>K151/((1+'How much will I make'!$C$5/12)^(Calculations!$B$1*12-Calculations!$A151))</f>
        <v>14075.230768019403</v>
      </c>
      <c r="N151" s="25">
        <f t="shared" si="15"/>
        <v>2817244.2370162993</v>
      </c>
      <c r="O151" s="25">
        <f t="shared" si="3"/>
        <v>220653.22228818337</v>
      </c>
      <c r="P151" s="25">
        <f t="shared" si="16"/>
        <v>91089464.547179714</v>
      </c>
      <c r="Q151" s="25">
        <f>O151/((1+'How much will I make'!$C$5/12)^(Calculations!$B$1*12-Calculations!$A151))</f>
        <v>55255.891031664847</v>
      </c>
      <c r="R151" s="25">
        <f t="shared" si="17"/>
        <v>15623270.194790635</v>
      </c>
      <c r="S151" s="25">
        <f t="shared" si="4"/>
        <v>861398.66945172742</v>
      </c>
      <c r="T151" s="25">
        <f t="shared" si="18"/>
        <v>529511147.59272325</v>
      </c>
      <c r="U151" s="25">
        <f>S151/((1+'How much will I make'!$C$5/12)^(Calculations!$B$1*12-Calculations!$A151))</f>
        <v>215711.10777562714</v>
      </c>
      <c r="V151" s="25">
        <f t="shared" si="19"/>
        <v>88480095.01375483</v>
      </c>
      <c r="W151" s="25">
        <f t="shared" si="5"/>
        <v>3344173.2499794839</v>
      </c>
      <c r="X151" s="25">
        <f t="shared" si="20"/>
        <v>3126587484.6240873</v>
      </c>
      <c r="Y151" s="25">
        <f>W151/((1+'How much will I make'!$C$5/12)^(Calculations!$B$1*12-Calculations!$A151))</f>
        <v>837446.51800523768</v>
      </c>
      <c r="Z151" s="25">
        <f t="shared" si="21"/>
        <v>510437438.93701982</v>
      </c>
      <c r="AA151" s="25">
        <f t="shared" si="6"/>
        <v>12911703.326925032</v>
      </c>
      <c r="AB151" s="25">
        <f t="shared" si="22"/>
        <v>18695745383.546646</v>
      </c>
      <c r="AC151" s="25">
        <f>AA151/((1+'How much will I make'!$C$5/12)^(Calculations!$B$1*12-Calculations!$A151))</f>
        <v>3233343.5454387255</v>
      </c>
      <c r="AD151" s="25">
        <f t="shared" si="23"/>
        <v>2990879065.2431664</v>
      </c>
      <c r="AE151" s="25">
        <f t="shared" si="7"/>
        <v>49580147.943968408</v>
      </c>
      <c r="AF151" s="25">
        <f t="shared" si="24"/>
        <v>112887749458.269</v>
      </c>
      <c r="AG151" s="25">
        <f>AE151/((1+'How much will I make'!$C$5/12)^(Calculations!$B$1*12-Calculations!$A151))</f>
        <v>12415840.673958985</v>
      </c>
      <c r="AH151" s="25">
        <f t="shared" si="25"/>
        <v>17746732648.526798</v>
      </c>
    </row>
    <row r="152" spans="1:34" ht="15.75" customHeight="1">
      <c r="A152" s="22">
        <f t="shared" si="8"/>
        <v>148</v>
      </c>
      <c r="B152" s="22">
        <f t="shared" si="37"/>
        <v>897.92816301106507</v>
      </c>
      <c r="C152" s="25">
        <f t="shared" si="0"/>
        <v>3570.8160633032116</v>
      </c>
      <c r="D152" s="25">
        <f t="shared" si="10"/>
        <v>526980.80167308555</v>
      </c>
      <c r="E152" s="25">
        <f>$C152/((1+'How much will I make'!$C$5/12)^(Calculations!$B$1*12-Calculations!$A152))</f>
        <v>897.92816301106507</v>
      </c>
      <c r="F152" s="25">
        <f t="shared" si="11"/>
        <v>99094.471774699821</v>
      </c>
      <c r="G152" s="25">
        <f t="shared" si="1"/>
        <v>14119.224718727863</v>
      </c>
      <c r="H152" s="25">
        <f t="shared" si="12"/>
        <v>2871603.7701263987</v>
      </c>
      <c r="I152" s="25">
        <f>G152/((1+'How much will I make'!$C$5/12)^(Calculations!$B$1*12-Calculations!$A152))</f>
        <v>3550.4627765956116</v>
      </c>
      <c r="J152" s="25">
        <f t="shared" si="13"/>
        <v>523312.88385424664</v>
      </c>
      <c r="K152" s="25">
        <f t="shared" si="2"/>
        <v>55512.678105257823</v>
      </c>
      <c r="L152" s="25">
        <f t="shared" si="14"/>
        <v>16019121.644521257</v>
      </c>
      <c r="M152" s="25">
        <f>K152/((1+'How much will I make'!$C$5/12)^(Calculations!$B$1*12-Calculations!$A152))</f>
        <v>13959.385247294964</v>
      </c>
      <c r="N152" s="25">
        <f t="shared" si="15"/>
        <v>2831203.6222635941</v>
      </c>
      <c r="O152" s="25">
        <f t="shared" si="3"/>
        <v>217035.95634903281</v>
      </c>
      <c r="P152" s="25">
        <f t="shared" si="16"/>
        <v>91306500.503528744</v>
      </c>
      <c r="Q152" s="25">
        <f>O152/((1+'How much will I make'!$C$5/12)^(Calculations!$B$1*12-Calculations!$A152))</f>
        <v>54576.515322259125</v>
      </c>
      <c r="R152" s="25">
        <f t="shared" si="17"/>
        <v>15677846.710112894</v>
      </c>
      <c r="S152" s="25">
        <f t="shared" si="4"/>
        <v>843819.10476903897</v>
      </c>
      <c r="T152" s="25">
        <f t="shared" si="18"/>
        <v>530354966.6974923</v>
      </c>
      <c r="U152" s="25">
        <f>S152/((1+'How much will I make'!$C$5/12)^(Calculations!$B$1*12-Calculations!$A152))</f>
        <v>212189.29377112706</v>
      </c>
      <c r="V152" s="25">
        <f t="shared" si="19"/>
        <v>88692284.307525963</v>
      </c>
      <c r="W152" s="25">
        <f t="shared" si="5"/>
        <v>3262608.0487604719</v>
      </c>
      <c r="X152" s="25">
        <f t="shared" si="20"/>
        <v>3129850092.6728477</v>
      </c>
      <c r="Y152" s="25">
        <f>W152/((1+'How much will I make'!$C$5/12)^(Calculations!$B$1*12-Calculations!$A152))</f>
        <v>820425.24731407408</v>
      </c>
      <c r="Z152" s="25">
        <f t="shared" si="21"/>
        <v>511257864.18433392</v>
      </c>
      <c r="AA152" s="25">
        <f t="shared" si="6"/>
        <v>12545784.609157927</v>
      </c>
      <c r="AB152" s="25">
        <f t="shared" si="22"/>
        <v>18708291168.155804</v>
      </c>
      <c r="AC152" s="25">
        <f>AA152/((1+'How much will I make'!$C$5/12)^(Calculations!$B$1*12-Calculations!$A152))</f>
        <v>3154800.7872499307</v>
      </c>
      <c r="AD152" s="25">
        <f t="shared" si="23"/>
        <v>2994033866.0304165</v>
      </c>
      <c r="AE152" s="25">
        <f t="shared" si="7"/>
        <v>47980788.332872659</v>
      </c>
      <c r="AF152" s="25">
        <f t="shared" si="24"/>
        <v>112935730246.60187</v>
      </c>
      <c r="AG152" s="25">
        <f>AE152/((1+'How much will I make'!$C$5/12)^(Calculations!$B$1*12-Calculations!$A152))</f>
        <v>12065393.558161756</v>
      </c>
      <c r="AH152" s="25">
        <f t="shared" si="25"/>
        <v>17758798042.084961</v>
      </c>
    </row>
    <row r="153" spans="1:34" ht="15.75" customHeight="1">
      <c r="A153" s="22">
        <f t="shared" si="8"/>
        <v>149</v>
      </c>
      <c r="B153" s="22">
        <f t="shared" si="37"/>
        <v>897.92816301106507</v>
      </c>
      <c r="C153" s="25">
        <f t="shared" si="0"/>
        <v>3555.9993991401275</v>
      </c>
      <c r="D153" s="25">
        <f t="shared" si="10"/>
        <v>530536.80107222567</v>
      </c>
      <c r="E153" s="25">
        <f>$C153/((1+'How much will I make'!$C$5/12)^(Calculations!$B$1*12-Calculations!$A153))</f>
        <v>897.92816301106507</v>
      </c>
      <c r="F153" s="25">
        <f t="shared" si="11"/>
        <v>99992.399937710885</v>
      </c>
      <c r="G153" s="25">
        <f t="shared" si="1"/>
        <v>14002.536911135068</v>
      </c>
      <c r="H153" s="25">
        <f t="shared" si="12"/>
        <v>2885606.3070375337</v>
      </c>
      <c r="I153" s="25">
        <f>G153/((1+'How much will I make'!$C$5/12)^(Calculations!$B$1*12-Calculations!$A153))</f>
        <v>3535.7914428080262</v>
      </c>
      <c r="J153" s="25">
        <f t="shared" si="13"/>
        <v>526848.67529705469</v>
      </c>
      <c r="K153" s="25">
        <f t="shared" si="2"/>
        <v>54827.33640025463</v>
      </c>
      <c r="L153" s="25">
        <f t="shared" si="14"/>
        <v>16073948.980921511</v>
      </c>
      <c r="M153" s="25">
        <f>K153/((1+'How much will I make'!$C$5/12)^(Calculations!$B$1*12-Calculations!$A153))</f>
        <v>13844.493187646443</v>
      </c>
      <c r="N153" s="25">
        <f t="shared" si="15"/>
        <v>2845048.1154512404</v>
      </c>
      <c r="O153" s="25">
        <f t="shared" si="3"/>
        <v>213477.98985150765</v>
      </c>
      <c r="P153" s="25">
        <f t="shared" si="16"/>
        <v>91519978.493380249</v>
      </c>
      <c r="Q153" s="25">
        <f>O153/((1+'How much will I make'!$C$5/12)^(Calculations!$B$1*12-Calculations!$A153))</f>
        <v>53905.49259288708</v>
      </c>
      <c r="R153" s="25">
        <f t="shared" si="17"/>
        <v>15731752.202705782</v>
      </c>
      <c r="S153" s="25">
        <f t="shared" si="4"/>
        <v>826598.30671252799</v>
      </c>
      <c r="T153" s="25">
        <f t="shared" si="18"/>
        <v>531181565.00420481</v>
      </c>
      <c r="U153" s="25">
        <f>S153/((1+'How much will I make'!$C$5/12)^(Calculations!$B$1*12-Calculations!$A153))</f>
        <v>208724.97877078215</v>
      </c>
      <c r="V153" s="25">
        <f t="shared" si="19"/>
        <v>88901009.28629674</v>
      </c>
      <c r="W153" s="25">
        <f t="shared" si="5"/>
        <v>3183032.2426931439</v>
      </c>
      <c r="X153" s="25">
        <f t="shared" si="20"/>
        <v>3133033124.9155407</v>
      </c>
      <c r="Y153" s="25">
        <f>W153/((1+'How much will I make'!$C$5/12)^(Calculations!$B$1*12-Calculations!$A153))</f>
        <v>803749.93740931677</v>
      </c>
      <c r="Z153" s="25">
        <f t="shared" si="21"/>
        <v>512061614.12174326</v>
      </c>
      <c r="AA153" s="25">
        <f t="shared" si="6"/>
        <v>12190236.057481393</v>
      </c>
      <c r="AB153" s="25">
        <f t="shared" si="22"/>
        <v>18720481404.213284</v>
      </c>
      <c r="AC153" s="25">
        <f>AA153/((1+'How much will I make'!$C$5/12)^(Calculations!$B$1*12-Calculations!$A153))</f>
        <v>3078165.9503126871</v>
      </c>
      <c r="AD153" s="25">
        <f t="shared" si="23"/>
        <v>2997112031.9807291</v>
      </c>
      <c r="AE153" s="25">
        <f t="shared" si="7"/>
        <v>46433020.967296094</v>
      </c>
      <c r="AF153" s="25">
        <f t="shared" si="24"/>
        <v>112982163267.56917</v>
      </c>
      <c r="AG153" s="25">
        <f>AE153/((1+'How much will I make'!$C$5/12)^(Calculations!$B$1*12-Calculations!$A153))</f>
        <v>11724838.094826538</v>
      </c>
      <c r="AH153" s="25">
        <f t="shared" si="25"/>
        <v>17770522880.179787</v>
      </c>
    </row>
    <row r="154" spans="1:34" ht="15.75" customHeight="1">
      <c r="A154" s="22">
        <f t="shared" si="8"/>
        <v>150</v>
      </c>
      <c r="B154" s="22">
        <f t="shared" si="37"/>
        <v>897.92816301106507</v>
      </c>
      <c r="C154" s="25">
        <f t="shared" si="0"/>
        <v>3541.2442149113313</v>
      </c>
      <c r="D154" s="25">
        <f t="shared" si="10"/>
        <v>534078.04528713704</v>
      </c>
      <c r="E154" s="25">
        <f>$C154/((1+'How much will I make'!$C$5/12)^(Calculations!$B$1*12-Calculations!$A154))</f>
        <v>897.92816301106507</v>
      </c>
      <c r="F154" s="25">
        <f t="shared" si="11"/>
        <v>100890.32810072195</v>
      </c>
      <c r="G154" s="25">
        <f t="shared" si="1"/>
        <v>13886.813465588499</v>
      </c>
      <c r="H154" s="25">
        <f t="shared" si="12"/>
        <v>2899493.1205031225</v>
      </c>
      <c r="I154" s="25">
        <f>G154/((1+'How much will I make'!$C$5/12)^(Calculations!$B$1*12-Calculations!$A154))</f>
        <v>3521.1807343666701</v>
      </c>
      <c r="J154" s="25">
        <f t="shared" si="13"/>
        <v>530369.85603142134</v>
      </c>
      <c r="K154" s="25">
        <f t="shared" si="2"/>
        <v>54150.455703955202</v>
      </c>
      <c r="L154" s="25">
        <f t="shared" si="14"/>
        <v>16128099.436625466</v>
      </c>
      <c r="M154" s="25">
        <f>K154/((1+'How much will I make'!$C$5/12)^(Calculations!$B$1*12-Calculations!$A154))</f>
        <v>13730.546741657583</v>
      </c>
      <c r="N154" s="25">
        <f t="shared" si="15"/>
        <v>2858778.6621928979</v>
      </c>
      <c r="O154" s="25">
        <f t="shared" si="3"/>
        <v>209978.35067361416</v>
      </c>
      <c r="P154" s="25">
        <f t="shared" si="16"/>
        <v>91729956.844053864</v>
      </c>
      <c r="Q154" s="25">
        <f>O154/((1+'How much will I make'!$C$5/12)^(Calculations!$B$1*12-Calculations!$A154))</f>
        <v>53242.72014297454</v>
      </c>
      <c r="R154" s="25">
        <f t="shared" si="17"/>
        <v>15784994.922848757</v>
      </c>
      <c r="S154" s="25">
        <f t="shared" si="4"/>
        <v>809728.95351431333</v>
      </c>
      <c r="T154" s="25">
        <f t="shared" si="18"/>
        <v>531991293.95771915</v>
      </c>
      <c r="U154" s="25">
        <f>S154/((1+'How much will I make'!$C$5/12)^(Calculations!$B$1*12-Calculations!$A154))</f>
        <v>205317.22401534082</v>
      </c>
      <c r="V154" s="25">
        <f t="shared" si="19"/>
        <v>89106326.51031208</v>
      </c>
      <c r="W154" s="25">
        <f t="shared" si="5"/>
        <v>3105397.30994453</v>
      </c>
      <c r="X154" s="25">
        <f t="shared" si="20"/>
        <v>3136138522.2254853</v>
      </c>
      <c r="Y154" s="25">
        <f>W154/((1+'How much will I make'!$C$5/12)^(Calculations!$B$1*12-Calculations!$A154))</f>
        <v>787413.55656766356</v>
      </c>
      <c r="Z154" s="25">
        <f t="shared" si="21"/>
        <v>512849027.67831093</v>
      </c>
      <c r="AA154" s="25">
        <f t="shared" si="6"/>
        <v>11844763.780548722</v>
      </c>
      <c r="AB154" s="25">
        <f t="shared" si="22"/>
        <v>18732326167.993832</v>
      </c>
      <c r="AC154" s="25">
        <f>AA154/((1+'How much will I make'!$C$5/12)^(Calculations!$B$1*12-Calculations!$A154))</f>
        <v>3003392.6883617709</v>
      </c>
      <c r="AD154" s="25">
        <f t="shared" si="23"/>
        <v>3000115424.6690907</v>
      </c>
      <c r="AE154" s="25">
        <f t="shared" si="7"/>
        <v>44935181.581254281</v>
      </c>
      <c r="AF154" s="25">
        <f t="shared" si="24"/>
        <v>113027098449.15042</v>
      </c>
      <c r="AG154" s="25">
        <f>AE154/((1+'How much will I make'!$C$5/12)^(Calculations!$B$1*12-Calculations!$A154))</f>
        <v>11393895.084085464</v>
      </c>
      <c r="AH154" s="25">
        <f t="shared" si="25"/>
        <v>17781916775.26387</v>
      </c>
    </row>
    <row r="155" spans="1:34" ht="15.75" customHeight="1">
      <c r="A155" s="22">
        <f t="shared" si="8"/>
        <v>151</v>
      </c>
      <c r="B155" s="22">
        <f t="shared" si="37"/>
        <v>897.92816301106507</v>
      </c>
      <c r="C155" s="25">
        <f t="shared" si="0"/>
        <v>3526.5502555133585</v>
      </c>
      <c r="D155" s="25">
        <f t="shared" si="10"/>
        <v>537604.59554265044</v>
      </c>
      <c r="E155" s="25">
        <f>$C155/((1+'How much will I make'!$C$5/12)^(Calculations!$B$1*12-Calculations!$A155))</f>
        <v>897.92816301106507</v>
      </c>
      <c r="F155" s="25">
        <f t="shared" si="11"/>
        <v>101788.25626373301</v>
      </c>
      <c r="G155" s="25">
        <f t="shared" si="1"/>
        <v>13772.046412153884</v>
      </c>
      <c r="H155" s="25">
        <f t="shared" si="12"/>
        <v>2913265.1669152766</v>
      </c>
      <c r="I155" s="25">
        <f>G155/((1+'How much will I make'!$C$5/12)^(Calculations!$B$1*12-Calculations!$A155))</f>
        <v>3506.6304007535855</v>
      </c>
      <c r="J155" s="25">
        <f t="shared" si="13"/>
        <v>533876.48643217492</v>
      </c>
      <c r="K155" s="25">
        <f t="shared" si="2"/>
        <v>53481.931559461918</v>
      </c>
      <c r="L155" s="25">
        <f t="shared" si="14"/>
        <v>16181581.368184928</v>
      </c>
      <c r="M155" s="25">
        <f>K155/((1+'How much will I make'!$C$5/12)^(Calculations!$B$1*12-Calculations!$A155))</f>
        <v>13617.538126499907</v>
      </c>
      <c r="N155" s="25">
        <f t="shared" si="15"/>
        <v>2872396.2003193977</v>
      </c>
      <c r="O155" s="25">
        <f t="shared" si="3"/>
        <v>206536.08262978442</v>
      </c>
      <c r="P155" s="25">
        <f t="shared" si="16"/>
        <v>91936492.926683649</v>
      </c>
      <c r="Q155" s="25">
        <f>O155/((1+'How much will I make'!$C$5/12)^(Calculations!$B$1*12-Calculations!$A155))</f>
        <v>52588.096534659286</v>
      </c>
      <c r="R155" s="25">
        <f t="shared" si="17"/>
        <v>15837583.019383417</v>
      </c>
      <c r="S155" s="25">
        <f t="shared" si="4"/>
        <v>793203.87283034797</v>
      </c>
      <c r="T155" s="25">
        <f t="shared" si="18"/>
        <v>532784497.83054948</v>
      </c>
      <c r="U155" s="25">
        <f>S155/((1+'How much will I make'!$C$5/12)^(Calculations!$B$1*12-Calculations!$A155))</f>
        <v>201965.10607223329</v>
      </c>
      <c r="V155" s="25">
        <f t="shared" si="19"/>
        <v>89308291.616384313</v>
      </c>
      <c r="W155" s="25">
        <f t="shared" si="5"/>
        <v>3029655.912141005</v>
      </c>
      <c r="X155" s="25">
        <f t="shared" si="20"/>
        <v>3139168178.1376262</v>
      </c>
      <c r="Y155" s="25">
        <f>W155/((1+'How much will I make'!$C$5/12)^(Calculations!$B$1*12-Calculations!$A155))</f>
        <v>771409.21598702017</v>
      </c>
      <c r="Z155" s="25">
        <f t="shared" si="21"/>
        <v>513620436.89429796</v>
      </c>
      <c r="AA155" s="25">
        <f t="shared" si="6"/>
        <v>11509082.215917787</v>
      </c>
      <c r="AB155" s="25">
        <f t="shared" si="22"/>
        <v>18743835250.209751</v>
      </c>
      <c r="AC155" s="25">
        <f>AA155/((1+'How much will I make'!$C$5/12)^(Calculations!$B$1*12-Calculations!$A155))</f>
        <v>2930435.7809521738</v>
      </c>
      <c r="AD155" s="25">
        <f t="shared" si="23"/>
        <v>3003045860.4500427</v>
      </c>
      <c r="AE155" s="25">
        <f t="shared" si="7"/>
        <v>43485659.594762214</v>
      </c>
      <c r="AF155" s="25">
        <f t="shared" si="24"/>
        <v>113070584108.74518</v>
      </c>
      <c r="AG155" s="25">
        <f>AE155/((1+'How much will I make'!$C$5/12)^(Calculations!$B$1*12-Calculations!$A155))</f>
        <v>11072293.206712088</v>
      </c>
      <c r="AH155" s="25">
        <f t="shared" si="25"/>
        <v>17792989068.470581</v>
      </c>
    </row>
    <row r="156" spans="1:34" ht="15.75" customHeight="1">
      <c r="A156" s="22">
        <f t="shared" si="8"/>
        <v>152</v>
      </c>
      <c r="B156" s="22">
        <f t="shared" si="37"/>
        <v>897.92816301106507</v>
      </c>
      <c r="C156" s="25">
        <f t="shared" si="0"/>
        <v>3511.9172669012696</v>
      </c>
      <c r="D156" s="25">
        <f t="shared" si="10"/>
        <v>541116.51280955167</v>
      </c>
      <c r="E156" s="25">
        <f>$C156/((1+'How much will I make'!$C$5/12)^(Calculations!$B$1*12-Calculations!$A156))</f>
        <v>897.92816301106507</v>
      </c>
      <c r="F156" s="25">
        <f t="shared" si="11"/>
        <v>102686.18442674408</v>
      </c>
      <c r="G156" s="25">
        <f t="shared" si="1"/>
        <v>13658.227846764185</v>
      </c>
      <c r="H156" s="25">
        <f t="shared" si="12"/>
        <v>2926923.3947620406</v>
      </c>
      <c r="I156" s="25">
        <f>G156/((1+'How much will I make'!$C$5/12)^(Calculations!$B$1*12-Calculations!$A156))</f>
        <v>3492.1401924860093</v>
      </c>
      <c r="J156" s="25">
        <f t="shared" si="13"/>
        <v>537368.62662466092</v>
      </c>
      <c r="K156" s="25">
        <f t="shared" si="2"/>
        <v>52821.660799468569</v>
      </c>
      <c r="L156" s="25">
        <f t="shared" si="14"/>
        <v>16234403.028984396</v>
      </c>
      <c r="M156" s="25">
        <f>K156/((1+'How much will I make'!$C$5/12)^(Calculations!$B$1*12-Calculations!$A156))</f>
        <v>13505.459623401144</v>
      </c>
      <c r="N156" s="25">
        <f t="shared" si="15"/>
        <v>2885901.6599427988</v>
      </c>
      <c r="O156" s="25">
        <f t="shared" si="3"/>
        <v>203150.245209624</v>
      </c>
      <c r="P156" s="25">
        <f t="shared" si="16"/>
        <v>92139643.171893269</v>
      </c>
      <c r="Q156" s="25">
        <f>O156/((1+'How much will I make'!$C$5/12)^(Calculations!$B$1*12-Calculations!$A156))</f>
        <v>51941.521577265936</v>
      </c>
      <c r="R156" s="25">
        <f t="shared" si="17"/>
        <v>15889524.540960683</v>
      </c>
      <c r="S156" s="25">
        <f t="shared" si="4"/>
        <v>777016.03869095305</v>
      </c>
      <c r="T156" s="25">
        <f t="shared" si="18"/>
        <v>533561513.8692404</v>
      </c>
      <c r="U156" s="25">
        <f>S156/((1+'How much will I make'!$C$5/12)^(Calculations!$B$1*12-Calculations!$A156))</f>
        <v>198667.71658533966</v>
      </c>
      <c r="V156" s="25">
        <f t="shared" si="19"/>
        <v>89506959.332969651</v>
      </c>
      <c r="W156" s="25">
        <f t="shared" si="5"/>
        <v>2955761.8655034201</v>
      </c>
      <c r="X156" s="25">
        <f t="shared" si="20"/>
        <v>3142123940.0031295</v>
      </c>
      <c r="Y156" s="25">
        <f>W156/((1+'How much will I make'!$C$5/12)^(Calculations!$B$1*12-Calculations!$A156))</f>
        <v>755730.16688159306</v>
      </c>
      <c r="Z156" s="25">
        <f t="shared" si="21"/>
        <v>514376167.06117958</v>
      </c>
      <c r="AA156" s="25">
        <f t="shared" si="6"/>
        <v>11182913.894009186</v>
      </c>
      <c r="AB156" s="25">
        <f t="shared" si="22"/>
        <v>18755018164.10376</v>
      </c>
      <c r="AC156" s="25">
        <f>AA156/((1+'How much will I make'!$C$5/12)^(Calculations!$B$1*12-Calculations!$A156))</f>
        <v>2859251.1061112303</v>
      </c>
      <c r="AD156" s="25">
        <f t="shared" si="23"/>
        <v>3005905111.5561538</v>
      </c>
      <c r="AE156" s="25">
        <f t="shared" si="7"/>
        <v>42082896.382027946</v>
      </c>
      <c r="AF156" s="25">
        <f t="shared" si="24"/>
        <v>113112667005.12721</v>
      </c>
      <c r="AG156" s="25">
        <f>AE156/((1+'How much will I make'!$C$5/12)^(Calculations!$B$1*12-Calculations!$A156))</f>
        <v>10759768.801683923</v>
      </c>
      <c r="AH156" s="25">
        <f t="shared" si="25"/>
        <v>17803748837.272266</v>
      </c>
    </row>
    <row r="157" spans="1:34" ht="15.75" customHeight="1">
      <c r="A157" s="22">
        <f t="shared" si="8"/>
        <v>153</v>
      </c>
      <c r="B157" s="22">
        <f t="shared" si="37"/>
        <v>897.92816301106507</v>
      </c>
      <c r="C157" s="25">
        <f t="shared" si="0"/>
        <v>3497.3449960842522</v>
      </c>
      <c r="D157" s="25">
        <f t="shared" si="10"/>
        <v>544613.8578056359</v>
      </c>
      <c r="E157" s="25">
        <f>$C157/((1+'How much will I make'!$C$5/12)^(Calculations!$B$1*12-Calculations!$A157))</f>
        <v>897.92816301106507</v>
      </c>
      <c r="F157" s="25">
        <f t="shared" si="11"/>
        <v>103584.11258975514</v>
      </c>
      <c r="G157" s="25">
        <f t="shared" si="1"/>
        <v>13545.349930675222</v>
      </c>
      <c r="H157" s="25">
        <f t="shared" si="12"/>
        <v>2940468.7446927158</v>
      </c>
      <c r="I157" s="25">
        <f>G157/((1+'How much will I make'!$C$5/12)^(Calculations!$B$1*12-Calculations!$A157))</f>
        <v>3477.7098611120991</v>
      </c>
      <c r="J157" s="25">
        <f t="shared" si="13"/>
        <v>540846.33648577298</v>
      </c>
      <c r="K157" s="25">
        <f t="shared" si="2"/>
        <v>52169.541530339317</v>
      </c>
      <c r="L157" s="25">
        <f t="shared" si="14"/>
        <v>16286572.570514735</v>
      </c>
      <c r="M157" s="25">
        <f>K157/((1+'How much will I make'!$C$5/12)^(Calculations!$B$1*12-Calculations!$A157))</f>
        <v>13394.303577118004</v>
      </c>
      <c r="N157" s="25">
        <f t="shared" si="15"/>
        <v>2899295.9635199169</v>
      </c>
      <c r="O157" s="25">
        <f t="shared" si="3"/>
        <v>199819.91332094165</v>
      </c>
      <c r="P157" s="25">
        <f t="shared" si="16"/>
        <v>92339463.085214213</v>
      </c>
      <c r="Q157" s="25">
        <f>O157/((1+'How much will I make'!$C$5/12)^(Calculations!$B$1*12-Calculations!$A157))</f>
        <v>51302.896311971679</v>
      </c>
      <c r="R157" s="25">
        <f t="shared" si="17"/>
        <v>15940827.437272655</v>
      </c>
      <c r="S157" s="25">
        <f t="shared" si="4"/>
        <v>761158.56851358677</v>
      </c>
      <c r="T157" s="25">
        <f t="shared" si="18"/>
        <v>534322672.43775398</v>
      </c>
      <c r="U157" s="25">
        <f>S157/((1+'How much will I make'!$C$5/12)^(Calculations!$B$1*12-Calculations!$A157))</f>
        <v>195424.16202884435</v>
      </c>
      <c r="V157" s="25">
        <f t="shared" si="19"/>
        <v>89702383.4949985</v>
      </c>
      <c r="W157" s="25">
        <f t="shared" si="5"/>
        <v>2883670.1126862639</v>
      </c>
      <c r="X157" s="25">
        <f t="shared" si="20"/>
        <v>3145007610.1158156</v>
      </c>
      <c r="Y157" s="25">
        <f>W157/((1+'How much will I make'!$C$5/12)^(Calculations!$B$1*12-Calculations!$A157))</f>
        <v>740369.79763603234</v>
      </c>
      <c r="Z157" s="25">
        <f t="shared" si="21"/>
        <v>515116536.85881561</v>
      </c>
      <c r="AA157" s="25">
        <f t="shared" si="6"/>
        <v>10865989.208753867</v>
      </c>
      <c r="AB157" s="25">
        <f t="shared" si="22"/>
        <v>18765884153.312515</v>
      </c>
      <c r="AC157" s="25">
        <f>AA157/((1+'How much will I make'!$C$5/12)^(Calculations!$B$1*12-Calculations!$A157))</f>
        <v>2789795.6136550875</v>
      </c>
      <c r="AD157" s="25">
        <f t="shared" si="23"/>
        <v>3008694907.1698089</v>
      </c>
      <c r="AE157" s="25">
        <f t="shared" si="7"/>
        <v>40725383.595510907</v>
      </c>
      <c r="AF157" s="25">
        <f t="shared" si="24"/>
        <v>113153392388.72272</v>
      </c>
      <c r="AG157" s="25">
        <f>AE157/((1+'How much will I make'!$C$5/12)^(Calculations!$B$1*12-Calculations!$A157))</f>
        <v>10456065.650023486</v>
      </c>
      <c r="AH157" s="25">
        <f t="shared" si="25"/>
        <v>17814204902.922291</v>
      </c>
    </row>
    <row r="158" spans="1:34" ht="15.75" customHeight="1">
      <c r="A158" s="22">
        <f t="shared" si="8"/>
        <v>154</v>
      </c>
      <c r="B158" s="22">
        <f t="shared" si="37"/>
        <v>897.92816301106507</v>
      </c>
      <c r="C158" s="25">
        <f t="shared" si="0"/>
        <v>3482.8331911212463</v>
      </c>
      <c r="D158" s="25">
        <f t="shared" si="10"/>
        <v>548096.69099675713</v>
      </c>
      <c r="E158" s="25">
        <f>$C158/((1+'How much will I make'!$C$5/12)^(Calculations!$B$1*12-Calculations!$A158))</f>
        <v>897.92816301106507</v>
      </c>
      <c r="F158" s="25">
        <f t="shared" si="11"/>
        <v>104482.0407527662</v>
      </c>
      <c r="G158" s="25">
        <f t="shared" si="1"/>
        <v>13433.404889925843</v>
      </c>
      <c r="H158" s="25">
        <f t="shared" si="12"/>
        <v>2953902.1495826417</v>
      </c>
      <c r="I158" s="25">
        <f>G158/((1+'How much will I make'!$C$5/12)^(Calculations!$B$1*12-Calculations!$A158))</f>
        <v>3463.3391592066787</v>
      </c>
      <c r="J158" s="25">
        <f t="shared" si="13"/>
        <v>544309.6756449797</v>
      </c>
      <c r="K158" s="25">
        <f t="shared" si="2"/>
        <v>51525.473116384521</v>
      </c>
      <c r="L158" s="25">
        <f t="shared" si="14"/>
        <v>16338098.04363112</v>
      </c>
      <c r="M158" s="25">
        <f>K158/((1+'How much will I make'!$C$5/12)^(Calculations!$B$1*12-Calculations!$A158))</f>
        <v>13284.062395413333</v>
      </c>
      <c r="N158" s="25">
        <f t="shared" si="15"/>
        <v>2912580.0259153303</v>
      </c>
      <c r="O158" s="25">
        <f t="shared" si="3"/>
        <v>196544.17703699181</v>
      </c>
      <c r="P158" s="25">
        <f t="shared" si="16"/>
        <v>92536007.262251198</v>
      </c>
      <c r="Q158" s="25">
        <f>O158/((1+'How much will I make'!$C$5/12)^(Calculations!$B$1*12-Calculations!$A158))</f>
        <v>50672.122996660568</v>
      </c>
      <c r="R158" s="25">
        <f t="shared" si="17"/>
        <v>15991499.560269315</v>
      </c>
      <c r="S158" s="25">
        <f t="shared" si="4"/>
        <v>745624.72017657501</v>
      </c>
      <c r="T158" s="25">
        <f t="shared" si="18"/>
        <v>535068297.15793055</v>
      </c>
      <c r="U158" s="25">
        <f>S158/((1+'How much will I make'!$C$5/12)^(Calculations!$B$1*12-Calculations!$A158))</f>
        <v>192233.56346510819</v>
      </c>
      <c r="V158" s="25">
        <f t="shared" si="19"/>
        <v>89894617.058463603</v>
      </c>
      <c r="W158" s="25">
        <f t="shared" si="5"/>
        <v>2813336.6953036715</v>
      </c>
      <c r="X158" s="25">
        <f t="shared" si="20"/>
        <v>3147820946.8111191</v>
      </c>
      <c r="Y158" s="25">
        <f>W158/((1+'How much will I make'!$C$5/12)^(Calculations!$B$1*12-Calculations!$A158))</f>
        <v>725321.63101741369</v>
      </c>
      <c r="Z158" s="25">
        <f t="shared" si="21"/>
        <v>515841858.489833</v>
      </c>
      <c r="AA158" s="25">
        <f t="shared" si="6"/>
        <v>10558046.194740601</v>
      </c>
      <c r="AB158" s="25">
        <f t="shared" si="22"/>
        <v>18776442199.507256</v>
      </c>
      <c r="AC158" s="25">
        <f>AA158/((1+'How much will I make'!$C$5/12)^(Calculations!$B$1*12-Calculations!$A158))</f>
        <v>2722027.2991533456</v>
      </c>
      <c r="AD158" s="25">
        <f t="shared" si="23"/>
        <v>3011416934.4689622</v>
      </c>
      <c r="AE158" s="25">
        <f t="shared" si="7"/>
        <v>39411661.544042803</v>
      </c>
      <c r="AF158" s="25">
        <f t="shared" si="24"/>
        <v>113192804050.26675</v>
      </c>
      <c r="AG158" s="25">
        <f>AE158/((1+'How much will I make'!$C$5/12)^(Calculations!$B$1*12-Calculations!$A158))</f>
        <v>10160934.764740564</v>
      </c>
      <c r="AH158" s="25">
        <f t="shared" si="25"/>
        <v>17824365837.687031</v>
      </c>
    </row>
    <row r="159" spans="1:34" ht="15.75" customHeight="1">
      <c r="A159" s="22">
        <f t="shared" si="8"/>
        <v>155</v>
      </c>
      <c r="B159" s="22">
        <f t="shared" si="37"/>
        <v>897.92816301106507</v>
      </c>
      <c r="C159" s="25">
        <f t="shared" si="0"/>
        <v>3468.3816011165936</v>
      </c>
      <c r="D159" s="25">
        <f t="shared" si="10"/>
        <v>551565.07259787375</v>
      </c>
      <c r="E159" s="25">
        <f>$C159/((1+'How much will I make'!$C$5/12)^(Calculations!$B$1*12-Calculations!$A159))</f>
        <v>897.92816301106507</v>
      </c>
      <c r="F159" s="25">
        <f t="shared" si="11"/>
        <v>105379.96891577727</v>
      </c>
      <c r="G159" s="25">
        <f t="shared" si="1"/>
        <v>13322.385014802487</v>
      </c>
      <c r="H159" s="25">
        <f t="shared" si="12"/>
        <v>2967224.5345974443</v>
      </c>
      <c r="I159" s="25">
        <f>G159/((1+'How much will I make'!$C$5/12)^(Calculations!$B$1*12-Calculations!$A159))</f>
        <v>3449.0278403669813</v>
      </c>
      <c r="J159" s="25">
        <f t="shared" si="13"/>
        <v>547758.70348534663</v>
      </c>
      <c r="K159" s="25">
        <f t="shared" si="2"/>
        <v>50889.356164330384</v>
      </c>
      <c r="L159" s="25">
        <f t="shared" si="14"/>
        <v>16388987.39979545</v>
      </c>
      <c r="M159" s="25">
        <f>K159/((1+'How much will I make'!$C$5/12)^(Calculations!$B$1*12-Calculations!$A159))</f>
        <v>13174.728548537503</v>
      </c>
      <c r="N159" s="25">
        <f t="shared" si="15"/>
        <v>2925754.7544638678</v>
      </c>
      <c r="O159" s="25">
        <f t="shared" si="3"/>
        <v>193322.14134786083</v>
      </c>
      <c r="P159" s="25">
        <f t="shared" si="16"/>
        <v>92729329.403599054</v>
      </c>
      <c r="Q159" s="25">
        <f>O159/((1+'How much will I make'!$C$5/12)^(Calculations!$B$1*12-Calculations!$A159))</f>
        <v>50049.105090963931</v>
      </c>
      <c r="R159" s="25">
        <f t="shared" si="17"/>
        <v>16041548.665360279</v>
      </c>
      <c r="S159" s="25">
        <f t="shared" si="4"/>
        <v>730407.88915256329</v>
      </c>
      <c r="T159" s="25">
        <f t="shared" si="18"/>
        <v>535798705.04708314</v>
      </c>
      <c r="U159" s="25">
        <f>S159/((1+'How much will I make'!$C$5/12)^(Calculations!$B$1*12-Calculations!$A159))</f>
        <v>189095.0563064942</v>
      </c>
      <c r="V159" s="25">
        <f t="shared" si="19"/>
        <v>90083712.1147701</v>
      </c>
      <c r="W159" s="25">
        <f t="shared" si="5"/>
        <v>2744718.7271255334</v>
      </c>
      <c r="X159" s="25">
        <f t="shared" si="20"/>
        <v>3150565665.5382447</v>
      </c>
      <c r="Y159" s="25">
        <f>W159/((1+'How much will I make'!$C$5/12)^(Calculations!$B$1*12-Calculations!$A159))</f>
        <v>710579.32144388917</v>
      </c>
      <c r="Z159" s="25">
        <f t="shared" si="21"/>
        <v>516552437.81127691</v>
      </c>
      <c r="AA159" s="25">
        <f t="shared" si="6"/>
        <v>10258830.310679127</v>
      </c>
      <c r="AB159" s="25">
        <f t="shared" si="22"/>
        <v>18786701029.817936</v>
      </c>
      <c r="AC159" s="25">
        <f>AA159/((1+'How much will I make'!$C$5/12)^(Calculations!$B$1*12-Calculations!$A159))</f>
        <v>2655905.1785261389</v>
      </c>
      <c r="AD159" s="25">
        <f t="shared" si="23"/>
        <v>3014072839.6474881</v>
      </c>
      <c r="AE159" s="25">
        <f t="shared" si="7"/>
        <v>38140317.623267233</v>
      </c>
      <c r="AF159" s="25">
        <f t="shared" si="24"/>
        <v>113230944367.89001</v>
      </c>
      <c r="AG159" s="25">
        <f>AE159/((1+'How much will I make'!$C$5/12)^(Calculations!$B$1*12-Calculations!$A159))</f>
        <v>9874134.1867035348</v>
      </c>
      <c r="AH159" s="25">
        <f t="shared" si="25"/>
        <v>17834239971.873734</v>
      </c>
    </row>
    <row r="160" spans="1:34" ht="15.75" customHeight="1">
      <c r="A160" s="22">
        <f t="shared" si="8"/>
        <v>156</v>
      </c>
      <c r="B160" s="22">
        <f t="shared" si="37"/>
        <v>897.92816301106507</v>
      </c>
      <c r="C160" s="25">
        <f t="shared" si="0"/>
        <v>3453.9899762156956</v>
      </c>
      <c r="D160" s="25">
        <f t="shared" si="10"/>
        <v>555019.06257408939</v>
      </c>
      <c r="E160" s="25">
        <f>$C160/((1+'How much will I make'!$C$5/12)^(Calculations!$B$1*12-Calculations!$A160))</f>
        <v>897.92816301106507</v>
      </c>
      <c r="F160" s="25">
        <f t="shared" si="11"/>
        <v>106277.89707878833</v>
      </c>
      <c r="G160" s="25">
        <f t="shared" si="1"/>
        <v>13212.282659308252</v>
      </c>
      <c r="H160" s="25">
        <f t="shared" si="12"/>
        <v>2980436.8172567524</v>
      </c>
      <c r="I160" s="25">
        <f>G160/((1+'How much will I make'!$C$5/12)^(Calculations!$B$1*12-Calculations!$A160))</f>
        <v>3434.7756592084397</v>
      </c>
      <c r="J160" s="25">
        <f t="shared" si="13"/>
        <v>551193.47914455505</v>
      </c>
      <c r="K160" s="25">
        <f t="shared" si="2"/>
        <v>50261.092507980633</v>
      </c>
      <c r="L160" s="25">
        <f t="shared" si="14"/>
        <v>16439248.492303431</v>
      </c>
      <c r="M160" s="25">
        <f>K160/((1+'How much will I make'!$C$5/12)^(Calculations!$B$1*12-Calculations!$A160))</f>
        <v>13066.294568714149</v>
      </c>
      <c r="N160" s="25">
        <f t="shared" si="15"/>
        <v>2938821.049032582</v>
      </c>
      <c r="O160" s="25">
        <f t="shared" si="3"/>
        <v>190152.92591592867</v>
      </c>
      <c r="P160" s="25">
        <f t="shared" si="16"/>
        <v>92919482.32951498</v>
      </c>
      <c r="Q160" s="25">
        <f>O160/((1+'How much will I make'!$C$5/12)^(Calculations!$B$1*12-Calculations!$A160))</f>
        <v>49433.74724148486</v>
      </c>
      <c r="R160" s="25">
        <f t="shared" si="17"/>
        <v>16090982.412601763</v>
      </c>
      <c r="S160" s="25">
        <f t="shared" si="4"/>
        <v>715501.60570047016</v>
      </c>
      <c r="T160" s="25">
        <f t="shared" si="18"/>
        <v>536514206.65278363</v>
      </c>
      <c r="U160" s="25">
        <f>S160/((1+'How much will I make'!$C$5/12)^(Calculations!$B$1*12-Calculations!$A160))</f>
        <v>186007.79008108203</v>
      </c>
      <c r="V160" s="25">
        <f t="shared" si="19"/>
        <v>90269719.904851183</v>
      </c>
      <c r="W160" s="25">
        <f t="shared" si="5"/>
        <v>2677774.3679273506</v>
      </c>
      <c r="X160" s="25">
        <f t="shared" si="20"/>
        <v>3153243439.9061723</v>
      </c>
      <c r="Y160" s="25">
        <f>W160/((1+'How much will I make'!$C$5/12)^(Calculations!$B$1*12-Calculations!$A160))</f>
        <v>696136.6523088509</v>
      </c>
      <c r="Z160" s="25">
        <f t="shared" si="21"/>
        <v>517248574.46358573</v>
      </c>
      <c r="AA160" s="25">
        <f t="shared" si="6"/>
        <v>9968094.2289999612</v>
      </c>
      <c r="AB160" s="25">
        <f t="shared" si="22"/>
        <v>18796669124.046936</v>
      </c>
      <c r="AC160" s="25">
        <f>AA160/((1+'How much will I make'!$C$5/12)^(Calculations!$B$1*12-Calculations!$A160))</f>
        <v>2591389.263258297</v>
      </c>
      <c r="AD160" s="25">
        <f t="shared" si="23"/>
        <v>3016664228.9107466</v>
      </c>
      <c r="AE160" s="25">
        <f t="shared" si="7"/>
        <v>36909984.796710223</v>
      </c>
      <c r="AF160" s="25">
        <f t="shared" si="24"/>
        <v>113267854352.68672</v>
      </c>
      <c r="AG160" s="25">
        <f>AE160/((1+'How much will I make'!$C$5/12)^(Calculations!$B$1*12-Calculations!$A160))</f>
        <v>9595428.7862723842</v>
      </c>
      <c r="AH160" s="25">
        <f t="shared" si="25"/>
        <v>17843835400.660007</v>
      </c>
    </row>
    <row r="161" spans="1:34" ht="15.75" customHeight="1">
      <c r="A161" s="22">
        <f t="shared" si="8"/>
        <v>157</v>
      </c>
      <c r="B161" s="22">
        <f>B160*(1+'How much will I make'!$C$4)</f>
        <v>942.82457116161834</v>
      </c>
      <c r="C161" s="25">
        <f t="shared" si="0"/>
        <v>3611.6409709807272</v>
      </c>
      <c r="D161" s="25">
        <f t="shared" si="10"/>
        <v>558630.70354507014</v>
      </c>
      <c r="E161" s="25">
        <f>$C161/((1+'How much will I make'!$C$5/12)^(Calculations!$B$1*12-Calculations!$A161))</f>
        <v>942.82457116161834</v>
      </c>
      <c r="F161" s="25">
        <f t="shared" si="11"/>
        <v>107220.72164994995</v>
      </c>
      <c r="G161" s="25">
        <f t="shared" si="1"/>
        <v>13758.244752668099</v>
      </c>
      <c r="H161" s="25">
        <f t="shared" si="12"/>
        <v>2994195.0620094207</v>
      </c>
      <c r="I161" s="25">
        <f>G161/((1+'How much will I make'!$C$5/12)^(Calculations!$B$1*12-Calculations!$A161))</f>
        <v>3591.6114899284948</v>
      </c>
      <c r="J161" s="25">
        <f t="shared" si="13"/>
        <v>554785.09063448349</v>
      </c>
      <c r="K161" s="25">
        <f t="shared" si="2"/>
        <v>52122.614452720649</v>
      </c>
      <c r="L161" s="25">
        <f t="shared" si="14"/>
        <v>16491371.106756153</v>
      </c>
      <c r="M161" s="25">
        <f>K161/((1+'How much will I make'!$C$5/12)^(Calculations!$B$1*12-Calculations!$A161))</f>
        <v>13606.690702111584</v>
      </c>
      <c r="N161" s="25">
        <f t="shared" si="15"/>
        <v>2952427.7397346934</v>
      </c>
      <c r="O161" s="25">
        <f t="shared" si="3"/>
        <v>196387.44807710662</v>
      </c>
      <c r="P161" s="25">
        <f t="shared" si="16"/>
        <v>93115869.777592093</v>
      </c>
      <c r="Q161" s="25">
        <f>O161/((1+'How much will I make'!$C$5/12)^(Calculations!$B$1*12-Calculations!$A161))</f>
        <v>51267.253030564512</v>
      </c>
      <c r="R161" s="25">
        <f t="shared" si="17"/>
        <v>16142249.665632328</v>
      </c>
      <c r="S161" s="25">
        <f t="shared" si="4"/>
        <v>735944.50872048363</v>
      </c>
      <c r="T161" s="25">
        <f t="shared" si="18"/>
        <v>537250151.16150415</v>
      </c>
      <c r="U161" s="25">
        <f>S161/((1+'How much will I make'!$C$5/12)^(Calculations!$B$1*12-Calculations!$A161))</f>
        <v>192119.4746123176</v>
      </c>
      <c r="V161" s="25">
        <f t="shared" si="19"/>
        <v>90461839.379463494</v>
      </c>
      <c r="W161" s="25">
        <f t="shared" si="5"/>
        <v>2743085.9378767982</v>
      </c>
      <c r="X161" s="25">
        <f t="shared" si="20"/>
        <v>3155986525.844049</v>
      </c>
      <c r="Y161" s="25">
        <f>W161/((1+'How much will I make'!$C$5/12)^(Calculations!$B$1*12-Calculations!$A161))</f>
        <v>716086.91002745822</v>
      </c>
      <c r="Z161" s="25">
        <f t="shared" si="21"/>
        <v>517964661.37361318</v>
      </c>
      <c r="AA161" s="25">
        <f t="shared" si="6"/>
        <v>10169877.512987819</v>
      </c>
      <c r="AB161" s="25">
        <f t="shared" si="22"/>
        <v>18806839001.559925</v>
      </c>
      <c r="AC161" s="25">
        <f>AA161/((1+'How much will I make'!$C$5/12)^(Calculations!$B$1*12-Calculations!$A161))</f>
        <v>2654862.5630263658</v>
      </c>
      <c r="AD161" s="25">
        <f t="shared" si="23"/>
        <v>3019319091.473773</v>
      </c>
      <c r="AE161" s="25">
        <f t="shared" si="7"/>
        <v>37505307.132141024</v>
      </c>
      <c r="AF161" s="25">
        <f t="shared" si="24"/>
        <v>113305359659.81886</v>
      </c>
      <c r="AG161" s="25">
        <f>AE161/((1+'How much will I make'!$C$5/12)^(Calculations!$B$1*12-Calculations!$A161))</f>
        <v>9790819.574057363</v>
      </c>
      <c r="AH161" s="25">
        <f t="shared" si="25"/>
        <v>17853626220.234066</v>
      </c>
    </row>
    <row r="162" spans="1:34" ht="15.75" customHeight="1">
      <c r="A162" s="22">
        <f t="shared" si="8"/>
        <v>158</v>
      </c>
      <c r="B162" s="22">
        <f t="shared" ref="B162:B172" si="38">B161</f>
        <v>942.82457116161834</v>
      </c>
      <c r="C162" s="25">
        <f t="shared" si="0"/>
        <v>3596.6549088604752</v>
      </c>
      <c r="D162" s="25">
        <f t="shared" si="10"/>
        <v>562227.35845393059</v>
      </c>
      <c r="E162" s="25">
        <f>$C162/((1+'How much will I make'!$C$5/12)^(Calculations!$B$1*12-Calculations!$A162))</f>
        <v>942.82457116161834</v>
      </c>
      <c r="F162" s="25">
        <f t="shared" si="11"/>
        <v>108163.54622111157</v>
      </c>
      <c r="G162" s="25">
        <f t="shared" si="1"/>
        <v>13644.540250579934</v>
      </c>
      <c r="H162" s="25">
        <f t="shared" si="12"/>
        <v>3007839.6022600005</v>
      </c>
      <c r="I162" s="25">
        <f>G162/((1+'How much will I make'!$C$5/12)^(Calculations!$B$1*12-Calculations!$A162))</f>
        <v>3576.7701201354025</v>
      </c>
      <c r="J162" s="25">
        <f t="shared" si="13"/>
        <v>558361.86075461889</v>
      </c>
      <c r="K162" s="25">
        <f t="shared" si="2"/>
        <v>51479.125385403124</v>
      </c>
      <c r="L162" s="25">
        <f t="shared" si="14"/>
        <v>16542850.232141556</v>
      </c>
      <c r="M162" s="25">
        <f>K162/((1+'How much will I make'!$C$5/12)^(Calculations!$B$1*12-Calculations!$A162))</f>
        <v>13494.701478225896</v>
      </c>
      <c r="N162" s="25">
        <f t="shared" si="15"/>
        <v>2965922.4412129195</v>
      </c>
      <c r="O162" s="25">
        <f t="shared" si="3"/>
        <v>193167.98171518691</v>
      </c>
      <c r="P162" s="25">
        <f t="shared" si="16"/>
        <v>93309037.75930728</v>
      </c>
      <c r="Q162" s="25">
        <f>O162/((1+'How much will I make'!$C$5/12)^(Calculations!$B$1*12-Calculations!$A162))</f>
        <v>50636.917952319884</v>
      </c>
      <c r="R162" s="25">
        <f t="shared" si="17"/>
        <v>16192886.583584648</v>
      </c>
      <c r="S162" s="25">
        <f t="shared" si="4"/>
        <v>720925.23303231073</v>
      </c>
      <c r="T162" s="25">
        <f t="shared" si="18"/>
        <v>537971076.3945365</v>
      </c>
      <c r="U162" s="25">
        <f>S162/((1+'How much will I make'!$C$5/12)^(Calculations!$B$1*12-Calculations!$A162))</f>
        <v>188982.83012885123</v>
      </c>
      <c r="V162" s="25">
        <f t="shared" si="19"/>
        <v>90650822.209592342</v>
      </c>
      <c r="W162" s="25">
        <f t="shared" si="5"/>
        <v>2676181.4028066322</v>
      </c>
      <c r="X162" s="25">
        <f t="shared" si="20"/>
        <v>3158662707.2468557</v>
      </c>
      <c r="Y162" s="25">
        <f>W162/((1+'How much will I make'!$C$5/12)^(Calculations!$B$1*12-Calculations!$A162))</f>
        <v>701532.29803503014</v>
      </c>
      <c r="Z162" s="25">
        <f t="shared" si="21"/>
        <v>518666193.6716482</v>
      </c>
      <c r="AA162" s="25">
        <f t="shared" si="6"/>
        <v>9881662.3607978802</v>
      </c>
      <c r="AB162" s="25">
        <f t="shared" si="22"/>
        <v>18816720663.920723</v>
      </c>
      <c r="AC162" s="25">
        <f>AA162/((1+'How much will I make'!$C$5/12)^(Calculations!$B$1*12-Calculations!$A162))</f>
        <v>2590371.9744508266</v>
      </c>
      <c r="AD162" s="25">
        <f t="shared" si="23"/>
        <v>3021909463.4482241</v>
      </c>
      <c r="AE162" s="25">
        <f t="shared" si="7"/>
        <v>36295458.514975183</v>
      </c>
      <c r="AF162" s="25">
        <f t="shared" si="24"/>
        <v>113341655118.33383</v>
      </c>
      <c r="AG162" s="25">
        <f>AE162/((1+'How much will I make'!$C$5/12)^(Calculations!$B$1*12-Calculations!$A162))</f>
        <v>9514465.795757357</v>
      </c>
      <c r="AH162" s="25">
        <f t="shared" si="25"/>
        <v>17863140686.029823</v>
      </c>
    </row>
    <row r="163" spans="1:34" ht="15.75" customHeight="1">
      <c r="A163" s="22">
        <f t="shared" si="8"/>
        <v>159</v>
      </c>
      <c r="B163" s="22">
        <f t="shared" si="38"/>
        <v>942.82457116161834</v>
      </c>
      <c r="C163" s="25">
        <f t="shared" si="0"/>
        <v>3581.7310295705975</v>
      </c>
      <c r="D163" s="25">
        <f t="shared" si="10"/>
        <v>565809.08948350116</v>
      </c>
      <c r="E163" s="25">
        <f>$C163/((1+'How much will I make'!$C$5/12)^(Calculations!$B$1*12-Calculations!$A163))</f>
        <v>942.82457116161834</v>
      </c>
      <c r="F163" s="25">
        <f t="shared" si="11"/>
        <v>109106.37079227318</v>
      </c>
      <c r="G163" s="25">
        <f t="shared" si="1"/>
        <v>13531.775455120596</v>
      </c>
      <c r="H163" s="25">
        <f t="shared" si="12"/>
        <v>3021371.377715121</v>
      </c>
      <c r="I163" s="25">
        <f>G163/((1+'How much will I make'!$C$5/12)^(Calculations!$B$1*12-Calculations!$A163))</f>
        <v>3561.9900783166613</v>
      </c>
      <c r="J163" s="25">
        <f t="shared" si="13"/>
        <v>561923.85083293554</v>
      </c>
      <c r="K163" s="25">
        <f t="shared" si="2"/>
        <v>50843.580627558644</v>
      </c>
      <c r="L163" s="25">
        <f t="shared" si="14"/>
        <v>16593693.812769115</v>
      </c>
      <c r="M163" s="25">
        <f>K163/((1+'How much will I make'!$C$5/12)^(Calculations!$B$1*12-Calculations!$A163))</f>
        <v>13383.633976347495</v>
      </c>
      <c r="N163" s="25">
        <f t="shared" si="15"/>
        <v>2979306.0751892668</v>
      </c>
      <c r="O163" s="25">
        <f t="shared" si="3"/>
        <v>190001.29349034774</v>
      </c>
      <c r="P163" s="25">
        <f t="shared" si="16"/>
        <v>93499039.05279763</v>
      </c>
      <c r="Q163" s="25">
        <f>O163/((1+'How much will I make'!$C$5/12)^(Calculations!$B$1*12-Calculations!$A163))</f>
        <v>50014.332895529056</v>
      </c>
      <c r="R163" s="25">
        <f t="shared" si="17"/>
        <v>16242900.916480176</v>
      </c>
      <c r="S163" s="25">
        <f t="shared" si="4"/>
        <v>706212.47317450854</v>
      </c>
      <c r="T163" s="25">
        <f t="shared" si="18"/>
        <v>538677288.86771095</v>
      </c>
      <c r="U163" s="25">
        <f>S163/((1+'How much will I make'!$C$5/12)^(Calculations!$B$1*12-Calculations!$A163))</f>
        <v>185897.39616756389</v>
      </c>
      <c r="V163" s="25">
        <f t="shared" si="19"/>
        <v>90836719.605759904</v>
      </c>
      <c r="W163" s="25">
        <f t="shared" si="5"/>
        <v>2610908.6856650072</v>
      </c>
      <c r="X163" s="25">
        <f t="shared" si="20"/>
        <v>3161273615.9325209</v>
      </c>
      <c r="Y163" s="25">
        <f>W163/((1+'How much will I make'!$C$5/12)^(Calculations!$B$1*12-Calculations!$A163))</f>
        <v>687273.51148960274</v>
      </c>
      <c r="Z163" s="25">
        <f t="shared" si="21"/>
        <v>519353467.18313783</v>
      </c>
      <c r="AA163" s="25">
        <f t="shared" si="6"/>
        <v>9601615.2493582647</v>
      </c>
      <c r="AB163" s="25">
        <f t="shared" si="22"/>
        <v>18826322279.170082</v>
      </c>
      <c r="AC163" s="25">
        <f>AA163/((1+'How much will I make'!$C$5/12)^(Calculations!$B$1*12-Calculations!$A163))</f>
        <v>2527447.9588771225</v>
      </c>
      <c r="AD163" s="25">
        <f t="shared" si="23"/>
        <v>3024436911.4071012</v>
      </c>
      <c r="AE163" s="25">
        <f t="shared" si="7"/>
        <v>35124637.272556633</v>
      </c>
      <c r="AF163" s="25">
        <f t="shared" si="24"/>
        <v>113376779755.60638</v>
      </c>
      <c r="AG163" s="25">
        <f>AE163/((1+'How much will I make'!$C$5/12)^(Calculations!$B$1*12-Calculations!$A163))</f>
        <v>9245912.3257158194</v>
      </c>
      <c r="AH163" s="25">
        <f t="shared" si="25"/>
        <v>17872386598.355537</v>
      </c>
    </row>
    <row r="164" spans="1:34" ht="15.75" customHeight="1">
      <c r="A164" s="22">
        <f t="shared" si="8"/>
        <v>160</v>
      </c>
      <c r="B164" s="22">
        <f t="shared" si="38"/>
        <v>942.82457116161834</v>
      </c>
      <c r="C164" s="25">
        <f t="shared" si="0"/>
        <v>3566.8690750910509</v>
      </c>
      <c r="D164" s="25">
        <f t="shared" si="10"/>
        <v>569375.95855859225</v>
      </c>
      <c r="E164" s="25">
        <f>$C164/((1+'How much will I make'!$C$5/12)^(Calculations!$B$1*12-Calculations!$A164))</f>
        <v>942.82457116161822</v>
      </c>
      <c r="F164" s="25">
        <f t="shared" si="11"/>
        <v>110049.1953634348</v>
      </c>
      <c r="G164" s="25">
        <f t="shared" si="1"/>
        <v>13419.942600119601</v>
      </c>
      <c r="H164" s="25">
        <f t="shared" si="12"/>
        <v>3034791.3203152404</v>
      </c>
      <c r="I164" s="25">
        <f>G164/((1+'How much will I make'!$C$5/12)^(Calculations!$B$1*12-Calculations!$A164))</f>
        <v>3547.2711110508908</v>
      </c>
      <c r="J164" s="25">
        <f t="shared" si="13"/>
        <v>565471.12194398639</v>
      </c>
      <c r="K164" s="25">
        <f t="shared" si="2"/>
        <v>50215.882101292482</v>
      </c>
      <c r="L164" s="25">
        <f t="shared" si="14"/>
        <v>16643909.694870407</v>
      </c>
      <c r="M164" s="25">
        <f>K164/((1+'How much will I make'!$C$5/12)^(Calculations!$B$1*12-Calculations!$A164))</f>
        <v>13273.480610287021</v>
      </c>
      <c r="N164" s="25">
        <f t="shared" si="15"/>
        <v>2992579.5557995536</v>
      </c>
      <c r="O164" s="25">
        <f t="shared" si="3"/>
        <v>186886.51818722731</v>
      </c>
      <c r="P164" s="25">
        <f t="shared" si="16"/>
        <v>93685925.570984855</v>
      </c>
      <c r="Q164" s="25">
        <f>O164/((1+'How much will I make'!$C$5/12)^(Calculations!$B$1*12-Calculations!$A164))</f>
        <v>49399.402573043051</v>
      </c>
      <c r="R164" s="25">
        <f t="shared" si="17"/>
        <v>16292300.31905322</v>
      </c>
      <c r="S164" s="25">
        <f t="shared" si="4"/>
        <v>691799.97372196754</v>
      </c>
      <c r="T164" s="25">
        <f t="shared" si="18"/>
        <v>539369088.84143293</v>
      </c>
      <c r="U164" s="25">
        <f>S164/((1+'How much will I make'!$C$5/12)^(Calculations!$B$1*12-Calculations!$A164))</f>
        <v>182862.33663829757</v>
      </c>
      <c r="V164" s="25">
        <f t="shared" si="19"/>
        <v>91019581.942398205</v>
      </c>
      <c r="W164" s="25">
        <f t="shared" si="5"/>
        <v>2547227.9860146414</v>
      </c>
      <c r="X164" s="25">
        <f t="shared" si="20"/>
        <v>3163820843.9185357</v>
      </c>
      <c r="Y164" s="25">
        <f>W164/((1+'How much will I make'!$C$5/12)^(Calculations!$B$1*12-Calculations!$A164))</f>
        <v>673304.53767883859</v>
      </c>
      <c r="Z164" s="25">
        <f t="shared" si="21"/>
        <v>520026771.72081667</v>
      </c>
      <c r="AA164" s="25">
        <f t="shared" si="6"/>
        <v>9329504.6957327295</v>
      </c>
      <c r="AB164" s="25">
        <f t="shared" si="22"/>
        <v>18835651783.865814</v>
      </c>
      <c r="AC164" s="25">
        <f>AA164/((1+'How much will I make'!$C$5/12)^(Calculations!$B$1*12-Calculations!$A164))</f>
        <v>2466052.4619003511</v>
      </c>
      <c r="AD164" s="25">
        <f t="shared" si="23"/>
        <v>3026902963.8690014</v>
      </c>
      <c r="AE164" s="25">
        <f t="shared" si="7"/>
        <v>33991584.45731286</v>
      </c>
      <c r="AF164" s="25">
        <f t="shared" si="24"/>
        <v>113410771340.06369</v>
      </c>
      <c r="AG164" s="25">
        <f>AE164/((1+'How much will I make'!$C$5/12)^(Calculations!$B$1*12-Calculations!$A164))</f>
        <v>8984938.9939415809</v>
      </c>
      <c r="AH164" s="25">
        <f t="shared" si="25"/>
        <v>17881371537.34948</v>
      </c>
    </row>
    <row r="165" spans="1:34" ht="15.75" customHeight="1">
      <c r="A165" s="22">
        <f t="shared" si="8"/>
        <v>161</v>
      </c>
      <c r="B165" s="22">
        <f t="shared" si="38"/>
        <v>942.82457116161834</v>
      </c>
      <c r="C165" s="25">
        <f t="shared" si="0"/>
        <v>3552.0687884724175</v>
      </c>
      <c r="D165" s="25">
        <f t="shared" si="10"/>
        <v>572928.02734706469</v>
      </c>
      <c r="E165" s="25">
        <f>$C165/((1+'How much will I make'!$C$5/12)^(Calculations!$B$1*12-Calculations!$A165))</f>
        <v>942.82457116161834</v>
      </c>
      <c r="F165" s="25">
        <f t="shared" si="11"/>
        <v>110992.01993459642</v>
      </c>
      <c r="G165" s="25">
        <f t="shared" si="1"/>
        <v>13309.033983589687</v>
      </c>
      <c r="H165" s="25">
        <f t="shared" si="12"/>
        <v>3048100.35429883</v>
      </c>
      <c r="I165" s="25">
        <f>G165/((1+'How much will I make'!$C$5/12)^(Calculations!$B$1*12-Calculations!$A165))</f>
        <v>3532.6129659639018</v>
      </c>
      <c r="J165" s="25">
        <f t="shared" si="13"/>
        <v>569003.73490995029</v>
      </c>
      <c r="K165" s="25">
        <f t="shared" si="2"/>
        <v>49595.932939548125</v>
      </c>
      <c r="L165" s="25">
        <f t="shared" si="14"/>
        <v>16693505.627809955</v>
      </c>
      <c r="M165" s="25">
        <f>K165/((1+'How much will I make'!$C$5/12)^(Calculations!$B$1*12-Calculations!$A165))</f>
        <v>13164.233856292884</v>
      </c>
      <c r="N165" s="25">
        <f t="shared" si="15"/>
        <v>3005743.7896558465</v>
      </c>
      <c r="O165" s="25">
        <f t="shared" si="3"/>
        <v>183822.80477432194</v>
      </c>
      <c r="P165" s="25">
        <f t="shared" si="16"/>
        <v>93869748.375759184</v>
      </c>
      <c r="Q165" s="25">
        <f>O165/((1+'How much will I make'!$C$5/12)^(Calculations!$B$1*12-Calculations!$A165))</f>
        <v>48792.03286927611</v>
      </c>
      <c r="R165" s="25">
        <f t="shared" si="17"/>
        <v>16341092.351922495</v>
      </c>
      <c r="S165" s="25">
        <f t="shared" si="4"/>
        <v>677681.60691131535</v>
      </c>
      <c r="T165" s="25">
        <f t="shared" si="18"/>
        <v>540046770.44834423</v>
      </c>
      <c r="U165" s="25">
        <f>S165/((1+'How much will I make'!$C$5/12)^(Calculations!$B$1*12-Calculations!$A165))</f>
        <v>179876.82910134573</v>
      </c>
      <c r="V165" s="25">
        <f t="shared" si="19"/>
        <v>91199458.771499544</v>
      </c>
      <c r="W165" s="25">
        <f t="shared" si="5"/>
        <v>2485100.4741606265</v>
      </c>
      <c r="X165" s="25">
        <f t="shared" si="20"/>
        <v>3166305944.3926964</v>
      </c>
      <c r="Y165" s="25">
        <f>W165/((1+'How much will I make'!$C$5/12)^(Calculations!$B$1*12-Calculations!$A165))</f>
        <v>659619.48610000033</v>
      </c>
      <c r="Z165" s="25">
        <f t="shared" si="21"/>
        <v>520686391.20691669</v>
      </c>
      <c r="AA165" s="25">
        <f t="shared" si="6"/>
        <v>9065105.7772301827</v>
      </c>
      <c r="AB165" s="25">
        <f t="shared" si="22"/>
        <v>18844716889.643044</v>
      </c>
      <c r="AC165" s="25">
        <f>AA165/((1+'How much will I make'!$C$5/12)^(Calculations!$B$1*12-Calculations!$A165))</f>
        <v>2406148.3535141069</v>
      </c>
      <c r="AD165" s="25">
        <f t="shared" si="23"/>
        <v>3029309112.2225156</v>
      </c>
      <c r="AE165" s="25">
        <f t="shared" si="7"/>
        <v>32895081.732883409</v>
      </c>
      <c r="AF165" s="25">
        <f t="shared" si="24"/>
        <v>113443666421.79657</v>
      </c>
      <c r="AG165" s="25">
        <f>AE165/((1+'How much will I make'!$C$5/12)^(Calculations!$B$1*12-Calculations!$A165))</f>
        <v>8731331.8449190315</v>
      </c>
      <c r="AH165" s="25">
        <f t="shared" si="25"/>
        <v>17890102869.194397</v>
      </c>
    </row>
    <row r="166" spans="1:34" ht="15.75" customHeight="1">
      <c r="A166" s="22">
        <f t="shared" si="8"/>
        <v>162</v>
      </c>
      <c r="B166" s="22">
        <f t="shared" si="38"/>
        <v>942.82457116161834</v>
      </c>
      <c r="C166" s="25">
        <f t="shared" si="0"/>
        <v>3537.329913831451</v>
      </c>
      <c r="D166" s="25">
        <f t="shared" si="10"/>
        <v>576465.35726089613</v>
      </c>
      <c r="E166" s="25">
        <f>$C166/((1+'How much will I make'!$C$5/12)^(Calculations!$B$1*12-Calculations!$A166))</f>
        <v>942.82457116161834</v>
      </c>
      <c r="F166" s="25">
        <f t="shared" si="11"/>
        <v>111934.84450575804</v>
      </c>
      <c r="G166" s="25">
        <f t="shared" si="1"/>
        <v>13199.041967196386</v>
      </c>
      <c r="H166" s="25">
        <f t="shared" si="12"/>
        <v>3061299.3962660264</v>
      </c>
      <c r="I166" s="25">
        <f>G166/((1+'How much will I make'!$C$5/12)^(Calculations!$B$1*12-Calculations!$A166))</f>
        <v>3518.0153917243847</v>
      </c>
      <c r="J166" s="25">
        <f t="shared" si="13"/>
        <v>572521.75030167471</v>
      </c>
      <c r="K166" s="25">
        <f t="shared" si="2"/>
        <v>48983.637471158654</v>
      </c>
      <c r="L166" s="25">
        <f t="shared" si="14"/>
        <v>16742489.265281113</v>
      </c>
      <c r="M166" s="25">
        <f>K166/((1+'How much will I make'!$C$5/12)^(Calculations!$B$1*12-Calculations!$A166))</f>
        <v>13055.886252537397</v>
      </c>
      <c r="N166" s="25">
        <f t="shared" si="15"/>
        <v>3018799.6759083839</v>
      </c>
      <c r="O166" s="25">
        <f t="shared" si="3"/>
        <v>180809.31617146425</v>
      </c>
      <c r="P166" s="25">
        <f t="shared" si="16"/>
        <v>94050557.691930652</v>
      </c>
      <c r="Q166" s="25">
        <f>O166/((1+'How much will I make'!$C$5/12)^(Calculations!$B$1*12-Calculations!$A166))</f>
        <v>48192.130825801447</v>
      </c>
      <c r="R166" s="25">
        <f t="shared" si="17"/>
        <v>16389284.482748296</v>
      </c>
      <c r="S166" s="25">
        <f t="shared" si="4"/>
        <v>663851.37003557431</v>
      </c>
      <c r="T166" s="25">
        <f t="shared" si="18"/>
        <v>540710621.81837976</v>
      </c>
      <c r="U166" s="25">
        <f>S166/((1+'How much will I make'!$C$5/12)^(Calculations!$B$1*12-Calculations!$A166))</f>
        <v>176940.06454458923</v>
      </c>
      <c r="V166" s="25">
        <f t="shared" si="19"/>
        <v>91376398.836044133</v>
      </c>
      <c r="W166" s="25">
        <f t="shared" si="5"/>
        <v>2424488.267473781</v>
      </c>
      <c r="X166" s="25">
        <f t="shared" si="20"/>
        <v>3168730432.6601701</v>
      </c>
      <c r="Y166" s="25">
        <f>W166/((1+'How much will I make'!$C$5/12)^(Calculations!$B$1*12-Calculations!$A166))</f>
        <v>646212.58597601682</v>
      </c>
      <c r="Z166" s="25">
        <f t="shared" si="21"/>
        <v>521332603.79289269</v>
      </c>
      <c r="AA166" s="25">
        <f t="shared" si="6"/>
        <v>8808199.9454868194</v>
      </c>
      <c r="AB166" s="25">
        <f t="shared" si="22"/>
        <v>18853525089.588531</v>
      </c>
      <c r="AC166" s="25">
        <f>AA166/((1+'How much will I make'!$C$5/12)^(Calculations!$B$1*12-Calculations!$A166))</f>
        <v>2347699.4056554665</v>
      </c>
      <c r="AD166" s="25">
        <f t="shared" si="23"/>
        <v>3031656811.628171</v>
      </c>
      <c r="AE166" s="25">
        <f t="shared" si="7"/>
        <v>31833950.064080719</v>
      </c>
      <c r="AF166" s="25">
        <f t="shared" si="24"/>
        <v>113475500371.86066</v>
      </c>
      <c r="AG166" s="25">
        <f>AE166/((1+'How much will I make'!$C$5/12)^(Calculations!$B$1*12-Calculations!$A166))</f>
        <v>8484882.9621995483</v>
      </c>
      <c r="AH166" s="25">
        <f t="shared" si="25"/>
        <v>17898587752.156597</v>
      </c>
    </row>
    <row r="167" spans="1:34" ht="15.75" customHeight="1">
      <c r="A167" s="22">
        <f t="shared" si="8"/>
        <v>163</v>
      </c>
      <c r="B167" s="22">
        <f t="shared" si="38"/>
        <v>942.82457116161834</v>
      </c>
      <c r="C167" s="25">
        <f t="shared" si="0"/>
        <v>3522.6521963466739</v>
      </c>
      <c r="D167" s="25">
        <f t="shared" si="10"/>
        <v>579988.00945724279</v>
      </c>
      <c r="E167" s="25">
        <f>$C167/((1+'How much will I make'!$C$5/12)^(Calculations!$B$1*12-Calculations!$A167))</f>
        <v>942.82457116161834</v>
      </c>
      <c r="F167" s="25">
        <f t="shared" si="11"/>
        <v>112877.66907691966</v>
      </c>
      <c r="G167" s="25">
        <f t="shared" si="1"/>
        <v>13089.958975731952</v>
      </c>
      <c r="H167" s="25">
        <f t="shared" si="12"/>
        <v>3074389.3552417583</v>
      </c>
      <c r="I167" s="25">
        <f>G167/((1+'How much will I make'!$C$5/12)^(Calculations!$B$1*12-Calculations!$A167))</f>
        <v>3503.4781380395725</v>
      </c>
      <c r="J167" s="25">
        <f t="shared" si="13"/>
        <v>576025.22843971429</v>
      </c>
      <c r="K167" s="25">
        <f t="shared" si="2"/>
        <v>48378.901206082606</v>
      </c>
      <c r="L167" s="25">
        <f t="shared" si="14"/>
        <v>16790868.166487195</v>
      </c>
      <c r="M167" s="25">
        <f>K167/((1+'How much will I make'!$C$5/12)^(Calculations!$B$1*12-Calculations!$A167))</f>
        <v>12948.430398607043</v>
      </c>
      <c r="N167" s="25">
        <f t="shared" si="15"/>
        <v>3031748.1063069911</v>
      </c>
      <c r="O167" s="25">
        <f t="shared" si="3"/>
        <v>177845.22902111241</v>
      </c>
      <c r="P167" s="25">
        <f t="shared" si="16"/>
        <v>94228402.920951769</v>
      </c>
      <c r="Q167" s="25">
        <f>O167/((1+'How much will I make'!$C$5/12)^(Calculations!$B$1*12-Calculations!$A167))</f>
        <v>47599.604627123561</v>
      </c>
      <c r="R167" s="25">
        <f t="shared" si="17"/>
        <v>16436884.087375419</v>
      </c>
      <c r="S167" s="25">
        <f t="shared" si="4"/>
        <v>650303.38289199129</v>
      </c>
      <c r="T167" s="25">
        <f t="shared" si="18"/>
        <v>541360925.20127177</v>
      </c>
      <c r="U167" s="25">
        <f>S167/((1+'How much will I make'!$C$5/12)^(Calculations!$B$1*12-Calculations!$A167))</f>
        <v>174051.24716426941</v>
      </c>
      <c r="V167" s="25">
        <f t="shared" si="19"/>
        <v>91550450.083208397</v>
      </c>
      <c r="W167" s="25">
        <f t="shared" si="5"/>
        <v>2365354.4072914943</v>
      </c>
      <c r="X167" s="25">
        <f t="shared" si="20"/>
        <v>3171095787.0674615</v>
      </c>
      <c r="Y167" s="25">
        <f>W167/((1+'How much will I make'!$C$5/12)^(Calculations!$B$1*12-Calculations!$A167))</f>
        <v>633078.18382203276</v>
      </c>
      <c r="Z167" s="25">
        <f t="shared" si="21"/>
        <v>521965681.97671473</v>
      </c>
      <c r="AA167" s="25">
        <f t="shared" si="6"/>
        <v>8558574.8458171524</v>
      </c>
      <c r="AB167" s="25">
        <f t="shared" si="22"/>
        <v>18862083664.434349</v>
      </c>
      <c r="AC167" s="25">
        <f>AA167/((1+'How much will I make'!$C$5/12)^(Calculations!$B$1*12-Calculations!$A167))</f>
        <v>2290670.2702954146</v>
      </c>
      <c r="AD167" s="25">
        <f t="shared" si="23"/>
        <v>3033947481.8984666</v>
      </c>
      <c r="AE167" s="25">
        <f t="shared" si="7"/>
        <v>30807048.44911037</v>
      </c>
      <c r="AF167" s="25">
        <f t="shared" si="24"/>
        <v>113506307420.30977</v>
      </c>
      <c r="AG167" s="25">
        <f>AE167/((1+'How much will I make'!$C$5/12)^(Calculations!$B$1*12-Calculations!$A167))</f>
        <v>8245390.2979439143</v>
      </c>
      <c r="AH167" s="25">
        <f t="shared" si="25"/>
        <v>17906833142.45454</v>
      </c>
    </row>
    <row r="168" spans="1:34" ht="15.75" customHeight="1">
      <c r="A168" s="22">
        <f t="shared" si="8"/>
        <v>164</v>
      </c>
      <c r="B168" s="22">
        <f t="shared" si="38"/>
        <v>942.82457116161834</v>
      </c>
      <c r="C168" s="25">
        <f t="shared" si="0"/>
        <v>3508.0353822539487</v>
      </c>
      <c r="D168" s="25">
        <f t="shared" si="10"/>
        <v>583496.04483949672</v>
      </c>
      <c r="E168" s="25">
        <f>$C168/((1+'How much will I make'!$C$5/12)^(Calculations!$B$1*12-Calculations!$A168))</f>
        <v>942.82457116161834</v>
      </c>
      <c r="F168" s="25">
        <f t="shared" si="11"/>
        <v>113820.49364808128</v>
      </c>
      <c r="G168" s="25">
        <f t="shared" si="1"/>
        <v>12981.777496593673</v>
      </c>
      <c r="H168" s="25">
        <f t="shared" si="12"/>
        <v>3087371.1327383518</v>
      </c>
      <c r="I168" s="25">
        <f>G168/((1+'How much will I make'!$C$5/12)^(Calculations!$B$1*12-Calculations!$A168))</f>
        <v>3489.0009556509794</v>
      </c>
      <c r="J168" s="25">
        <f t="shared" si="13"/>
        <v>579514.22939536523</v>
      </c>
      <c r="K168" s="25">
        <f t="shared" si="2"/>
        <v>47781.630820822334</v>
      </c>
      <c r="L168" s="25">
        <f t="shared" si="14"/>
        <v>16838649.797308017</v>
      </c>
      <c r="M168" s="25">
        <f>K168/((1+'How much will I make'!$C$5/12)^(Calculations!$B$1*12-Calculations!$A168))</f>
        <v>12841.858954997109</v>
      </c>
      <c r="N168" s="25">
        <f t="shared" si="15"/>
        <v>3044589.9652619883</v>
      </c>
      <c r="O168" s="25">
        <f t="shared" si="3"/>
        <v>174929.73346338922</v>
      </c>
      <c r="P168" s="25">
        <f t="shared" si="16"/>
        <v>94403332.65441516</v>
      </c>
      <c r="Q168" s="25">
        <f>O168/((1+'How much will I make'!$C$5/12)^(Calculations!$B$1*12-Calculations!$A168))</f>
        <v>47014.363586626132</v>
      </c>
      <c r="R168" s="25">
        <f t="shared" si="17"/>
        <v>16483898.450962046</v>
      </c>
      <c r="S168" s="25">
        <f t="shared" si="4"/>
        <v>637031.88528195058</v>
      </c>
      <c r="T168" s="25">
        <f t="shared" si="18"/>
        <v>541997957.08655369</v>
      </c>
      <c r="U168" s="25">
        <f>S168/((1+'How much will I make'!$C$5/12)^(Calculations!$B$1*12-Calculations!$A168))</f>
        <v>171209.59414934253</v>
      </c>
      <c r="V168" s="25">
        <f t="shared" si="19"/>
        <v>91721659.677357733</v>
      </c>
      <c r="W168" s="25">
        <f t="shared" si="5"/>
        <v>2307662.8363819458</v>
      </c>
      <c r="X168" s="25">
        <f t="shared" si="20"/>
        <v>3173403449.9038434</v>
      </c>
      <c r="Y168" s="25">
        <f>W168/((1+'How much will I make'!$C$5/12)^(Calculations!$B$1*12-Calculations!$A168))</f>
        <v>620210.74106142239</v>
      </c>
      <c r="Z168" s="25">
        <f t="shared" si="21"/>
        <v>522585892.71777618</v>
      </c>
      <c r="AA168" s="25">
        <f t="shared" si="6"/>
        <v>8316024.141684684</v>
      </c>
      <c r="AB168" s="25">
        <f t="shared" si="22"/>
        <v>18870399688.576035</v>
      </c>
      <c r="AC168" s="25">
        <f>AA168/((1+'How much will I make'!$C$5/12)^(Calculations!$B$1*12-Calculations!$A168))</f>
        <v>2235026.4580615181</v>
      </c>
      <c r="AD168" s="25">
        <f t="shared" si="23"/>
        <v>3036182508.3565283</v>
      </c>
      <c r="AE168" s="25">
        <f t="shared" si="7"/>
        <v>29813272.692687456</v>
      </c>
      <c r="AF168" s="25">
        <f t="shared" si="24"/>
        <v>113536120693.00246</v>
      </c>
      <c r="AG168" s="25">
        <f>AE168/((1+'How much will I make'!$C$5/12)^(Calculations!$B$1*12-Calculations!$A168))</f>
        <v>8012657.5072761429</v>
      </c>
      <c r="AH168" s="25">
        <f t="shared" si="25"/>
        <v>17914845799.961815</v>
      </c>
    </row>
    <row r="169" spans="1:34" ht="15.75" customHeight="1">
      <c r="A169" s="22">
        <f t="shared" si="8"/>
        <v>165</v>
      </c>
      <c r="B169" s="22">
        <f t="shared" si="38"/>
        <v>942.82457116161834</v>
      </c>
      <c r="C169" s="25">
        <f t="shared" si="0"/>
        <v>3493.4792188421065</v>
      </c>
      <c r="D169" s="25">
        <f t="shared" si="10"/>
        <v>586989.52405833884</v>
      </c>
      <c r="E169" s="25">
        <f>$C169/((1+'How much will I make'!$C$5/12)^(Calculations!$B$1*12-Calculations!$A169))</f>
        <v>942.82457116161834</v>
      </c>
      <c r="F169" s="25">
        <f t="shared" si="11"/>
        <v>114763.31821924289</v>
      </c>
      <c r="G169" s="25">
        <f t="shared" si="1"/>
        <v>12874.490079266452</v>
      </c>
      <c r="H169" s="25">
        <f t="shared" si="12"/>
        <v>3100245.6228176183</v>
      </c>
      <c r="I169" s="25">
        <f>G169/((1+'How much will I make'!$C$5/12)^(Calculations!$B$1*12-Calculations!$A169))</f>
        <v>3474.5835963301079</v>
      </c>
      <c r="J169" s="25">
        <f t="shared" si="13"/>
        <v>582988.81299169536</v>
      </c>
      <c r="K169" s="25">
        <f t="shared" si="2"/>
        <v>47191.734144022055</v>
      </c>
      <c r="L169" s="25">
        <f t="shared" si="14"/>
        <v>16885841.531452037</v>
      </c>
      <c r="M169" s="25">
        <f>K169/((1+'How much will I make'!$C$5/12)^(Calculations!$B$1*12-Calculations!$A169))</f>
        <v>12736.164642610302</v>
      </c>
      <c r="N169" s="25">
        <f t="shared" si="15"/>
        <v>3057326.1299045985</v>
      </c>
      <c r="O169" s="25">
        <f t="shared" si="3"/>
        <v>172062.03291480904</v>
      </c>
      <c r="P169" s="25">
        <f t="shared" si="16"/>
        <v>94575394.687329963</v>
      </c>
      <c r="Q169" s="25">
        <f>O169/((1+'How much will I make'!$C$5/12)^(Calculations!$B$1*12-Calculations!$A169))</f>
        <v>46436.318132692199</v>
      </c>
      <c r="R169" s="25">
        <f t="shared" si="17"/>
        <v>16530334.769094739</v>
      </c>
      <c r="S169" s="25">
        <f t="shared" si="4"/>
        <v>624031.23456191085</v>
      </c>
      <c r="T169" s="25">
        <f t="shared" si="18"/>
        <v>542621988.32111561</v>
      </c>
      <c r="U169" s="25">
        <f>S169/((1+'How much will I make'!$C$5/12)^(Calculations!$B$1*12-Calculations!$A169))</f>
        <v>168414.3354693533</v>
      </c>
      <c r="V169" s="25">
        <f t="shared" si="19"/>
        <v>91890074.012827083</v>
      </c>
      <c r="W169" s="25">
        <f t="shared" si="5"/>
        <v>2251378.3769579958</v>
      </c>
      <c r="X169" s="25">
        <f t="shared" si="20"/>
        <v>3175654828.2808013</v>
      </c>
      <c r="Y169" s="25">
        <f>W169/((1+'How much will I make'!$C$5/12)^(Calculations!$B$1*12-Calculations!$A169))</f>
        <v>607604.83169025532</v>
      </c>
      <c r="Z169" s="25">
        <f t="shared" si="21"/>
        <v>523193497.54946643</v>
      </c>
      <c r="AA169" s="25">
        <f t="shared" si="6"/>
        <v>8080347.3441470619</v>
      </c>
      <c r="AB169" s="25">
        <f t="shared" si="22"/>
        <v>18878480035.920181</v>
      </c>
      <c r="AC169" s="25">
        <f>AA169/((1+'How much will I make'!$C$5/12)^(Calculations!$B$1*12-Calculations!$A169))</f>
        <v>2180734.3173798621</v>
      </c>
      <c r="AD169" s="25">
        <f t="shared" si="23"/>
        <v>3038363242.6739082</v>
      </c>
      <c r="AE169" s="25">
        <f t="shared" si="7"/>
        <v>28851554.218729783</v>
      </c>
      <c r="AF169" s="25">
        <f t="shared" si="24"/>
        <v>113564972247.22119</v>
      </c>
      <c r="AG169" s="25">
        <f>AE169/((1+'How much will I make'!$C$5/12)^(Calculations!$B$1*12-Calculations!$A169))</f>
        <v>7786493.7873127004</v>
      </c>
      <c r="AH169" s="25">
        <f t="shared" si="25"/>
        <v>17922632293.749126</v>
      </c>
    </row>
    <row r="170" spans="1:34" ht="15.75" customHeight="1">
      <c r="A170" s="22">
        <f t="shared" si="8"/>
        <v>166</v>
      </c>
      <c r="B170" s="22">
        <f t="shared" si="38"/>
        <v>942.82457116161834</v>
      </c>
      <c r="C170" s="25">
        <f t="shared" si="0"/>
        <v>3478.9834544485711</v>
      </c>
      <c r="D170" s="25">
        <f t="shared" si="10"/>
        <v>590468.50751278736</v>
      </c>
      <c r="E170" s="25">
        <f>$C170/((1+'How much will I make'!$C$5/12)^(Calculations!$B$1*12-Calculations!$A170))</f>
        <v>942.82457116161834</v>
      </c>
      <c r="F170" s="25">
        <f t="shared" si="11"/>
        <v>115706.14279040451</v>
      </c>
      <c r="G170" s="25">
        <f t="shared" si="1"/>
        <v>12768.089334809705</v>
      </c>
      <c r="H170" s="25">
        <f t="shared" si="12"/>
        <v>3113013.712152428</v>
      </c>
      <c r="I170" s="25">
        <f>G170/((1+'How much will I make'!$C$5/12)^(Calculations!$B$1*12-Calculations!$A170))</f>
        <v>3460.2258128741978</v>
      </c>
      <c r="J170" s="25">
        <f t="shared" si="13"/>
        <v>586449.03880456951</v>
      </c>
      <c r="K170" s="25">
        <f t="shared" si="2"/>
        <v>46609.120142244021</v>
      </c>
      <c r="L170" s="25">
        <f t="shared" si="14"/>
        <v>16932450.651594281</v>
      </c>
      <c r="M170" s="25">
        <f>K170/((1+'How much will I make'!$C$5/12)^(Calculations!$B$1*12-Calculations!$A170))</f>
        <v>12631.340242259603</v>
      </c>
      <c r="N170" s="25">
        <f t="shared" si="15"/>
        <v>3069957.4701468581</v>
      </c>
      <c r="O170" s="25">
        <f t="shared" si="3"/>
        <v>169241.34385063191</v>
      </c>
      <c r="P170" s="25">
        <f t="shared" si="16"/>
        <v>94744636.03118059</v>
      </c>
      <c r="Q170" s="25">
        <f>O170/((1+'How much will I make'!$C$5/12)^(Calculations!$B$1*12-Calculations!$A170))</f>
        <v>45865.379794995177</v>
      </c>
      <c r="R170" s="25">
        <f t="shared" si="17"/>
        <v>16576200.148889733</v>
      </c>
      <c r="S170" s="25">
        <f t="shared" si="4"/>
        <v>611295.90324432089</v>
      </c>
      <c r="T170" s="25">
        <f t="shared" si="18"/>
        <v>543233284.22435999</v>
      </c>
      <c r="U170" s="25">
        <f>S170/((1+'How much will I make'!$C$5/12)^(Calculations!$B$1*12-Calculations!$A170))</f>
        <v>165664.71366577203</v>
      </c>
      <c r="V170" s="25">
        <f t="shared" si="19"/>
        <v>92055738.726492852</v>
      </c>
      <c r="W170" s="25">
        <f t="shared" si="5"/>
        <v>2196466.7092273128</v>
      </c>
      <c r="X170" s="25">
        <f t="shared" si="20"/>
        <v>3177851294.9900284</v>
      </c>
      <c r="Y170" s="25">
        <f>W170/((1+'How much will I make'!$C$5/12)^(Calculations!$B$1*12-Calculations!$A170))</f>
        <v>595255.13998923369</v>
      </c>
      <c r="Z170" s="25">
        <f t="shared" si="21"/>
        <v>523788752.68945569</v>
      </c>
      <c r="AA170" s="25">
        <f t="shared" si="6"/>
        <v>7851349.6461348012</v>
      </c>
      <c r="AB170" s="25">
        <f t="shared" si="22"/>
        <v>18886331385.566315</v>
      </c>
      <c r="AC170" s="25">
        <f>AA170/((1+'How much will I make'!$C$5/12)^(Calculations!$B$1*12-Calculations!$A170))</f>
        <v>2127761.0141236722</v>
      </c>
      <c r="AD170" s="25">
        <f t="shared" si="23"/>
        <v>3040491003.6880317</v>
      </c>
      <c r="AE170" s="25">
        <f t="shared" si="7"/>
        <v>27920858.921351403</v>
      </c>
      <c r="AF170" s="25">
        <f t="shared" si="24"/>
        <v>113592893106.14255</v>
      </c>
      <c r="AG170" s="25">
        <f>AE170/((1+'How much will I make'!$C$5/12)^(Calculations!$B$1*12-Calculations!$A170))</f>
        <v>7566713.7207353245</v>
      </c>
      <c r="AH170" s="25">
        <f t="shared" si="25"/>
        <v>17930199007.46986</v>
      </c>
    </row>
    <row r="171" spans="1:34" ht="15.75" customHeight="1">
      <c r="A171" s="22">
        <f t="shared" si="8"/>
        <v>167</v>
      </c>
      <c r="B171" s="22">
        <f t="shared" si="38"/>
        <v>942.82457116161834</v>
      </c>
      <c r="C171" s="25">
        <f t="shared" si="0"/>
        <v>3464.5478384550079</v>
      </c>
      <c r="D171" s="25">
        <f t="shared" si="10"/>
        <v>593933.05535124242</v>
      </c>
      <c r="E171" s="25">
        <f>$C171/((1+'How much will I make'!$C$5/12)^(Calculations!$B$1*12-Calculations!$A171))</f>
        <v>942.82457116161834</v>
      </c>
      <c r="F171" s="25">
        <f t="shared" si="11"/>
        <v>116648.96736156613</v>
      </c>
      <c r="G171" s="25">
        <f t="shared" si="1"/>
        <v>12662.567935348467</v>
      </c>
      <c r="H171" s="25">
        <f t="shared" si="12"/>
        <v>3125676.2800877765</v>
      </c>
      <c r="I171" s="25">
        <f>G171/((1+'How much will I make'!$C$5/12)^(Calculations!$B$1*12-Calculations!$A171))</f>
        <v>3445.927359101991</v>
      </c>
      <c r="J171" s="25">
        <f t="shared" si="13"/>
        <v>589894.96616367146</v>
      </c>
      <c r="K171" s="25">
        <f t="shared" si="2"/>
        <v>46033.698905920006</v>
      </c>
      <c r="L171" s="25">
        <f t="shared" si="14"/>
        <v>16978484.3505002</v>
      </c>
      <c r="M171" s="25">
        <f>K171/((1+'How much will I make'!$C$5/12)^(Calculations!$B$1*12-Calculations!$A171))</f>
        <v>12527.378594175161</v>
      </c>
      <c r="N171" s="25">
        <f t="shared" si="15"/>
        <v>3082484.8487410331</v>
      </c>
      <c r="O171" s="25">
        <f t="shared" si="3"/>
        <v>166466.89559078545</v>
      </c>
      <c r="P171" s="25">
        <f t="shared" si="16"/>
        <v>94911102.926771373</v>
      </c>
      <c r="Q171" s="25">
        <f>O171/((1+'How much will I make'!$C$5/12)^(Calculations!$B$1*12-Calculations!$A171))</f>
        <v>45301.461190958355</v>
      </c>
      <c r="R171" s="25">
        <f t="shared" si="17"/>
        <v>16621501.610080691</v>
      </c>
      <c r="S171" s="25">
        <f t="shared" si="4"/>
        <v>598820.47664749809</v>
      </c>
      <c r="T171" s="25">
        <f t="shared" si="18"/>
        <v>543832104.70100749</v>
      </c>
      <c r="U171" s="25">
        <f>S171/((1+'How much will I make'!$C$5/12)^(Calculations!$B$1*12-Calculations!$A171))</f>
        <v>162959.98364673907</v>
      </c>
      <c r="V171" s="25">
        <f t="shared" si="19"/>
        <v>92218698.710139588</v>
      </c>
      <c r="W171" s="25">
        <f t="shared" si="5"/>
        <v>2142894.3504656712</v>
      </c>
      <c r="X171" s="25">
        <f t="shared" si="20"/>
        <v>3179994189.3404942</v>
      </c>
      <c r="Y171" s="25">
        <f>W171/((1+'How much will I make'!$C$5/12)^(Calculations!$B$1*12-Calculations!$A171))</f>
        <v>583156.45828213566</v>
      </c>
      <c r="Z171" s="25">
        <f t="shared" si="21"/>
        <v>524371909.1477378</v>
      </c>
      <c r="AA171" s="25">
        <f t="shared" si="6"/>
        <v>7628841.7614265261</v>
      </c>
      <c r="AB171" s="25">
        <f t="shared" si="22"/>
        <v>18893960227.32774</v>
      </c>
      <c r="AC171" s="25">
        <f>AA171/((1+'How much will I make'!$C$5/12)^(Calculations!$B$1*12-Calculations!$A171))</f>
        <v>2076074.5117562956</v>
      </c>
      <c r="AD171" s="25">
        <f t="shared" si="23"/>
        <v>3042567078.1997881</v>
      </c>
      <c r="AE171" s="25">
        <f t="shared" si="7"/>
        <v>27020186.052920718</v>
      </c>
      <c r="AF171" s="25">
        <f t="shared" si="24"/>
        <v>113619913292.19547</v>
      </c>
      <c r="AG171" s="25">
        <f>AE171/((1+'How much will I make'!$C$5/12)^(Calculations!$B$1*12-Calculations!$A171))</f>
        <v>7353137.1237790892</v>
      </c>
      <c r="AH171" s="25">
        <f t="shared" si="25"/>
        <v>17937552144.593639</v>
      </c>
    </row>
    <row r="172" spans="1:34" ht="15.75" customHeight="1">
      <c r="A172" s="22">
        <f t="shared" si="8"/>
        <v>168</v>
      </c>
      <c r="B172" s="22">
        <f t="shared" si="38"/>
        <v>942.82457116161834</v>
      </c>
      <c r="C172" s="25">
        <f t="shared" si="0"/>
        <v>3450.1721212829962</v>
      </c>
      <c r="D172" s="25">
        <f t="shared" si="10"/>
        <v>597383.22747252544</v>
      </c>
      <c r="E172" s="25">
        <f>$C172/((1+'How much will I make'!$C$5/12)^(Calculations!$B$1*12-Calculations!$A172))</f>
        <v>942.82457116161834</v>
      </c>
      <c r="F172" s="25">
        <f t="shared" si="11"/>
        <v>117591.79193272775</v>
      </c>
      <c r="G172" s="25">
        <f t="shared" si="1"/>
        <v>12557.918613568729</v>
      </c>
      <c r="H172" s="25">
        <f t="shared" si="12"/>
        <v>3138234.1987013454</v>
      </c>
      <c r="I172" s="25">
        <f>G172/((1+'How much will I make'!$C$5/12)^(Calculations!$B$1*12-Calculations!$A172))</f>
        <v>3431.6879898495031</v>
      </c>
      <c r="J172" s="25">
        <f t="shared" si="13"/>
        <v>593326.65415352094</v>
      </c>
      <c r="K172" s="25">
        <f t="shared" si="2"/>
        <v>45465.381635476559</v>
      </c>
      <c r="L172" s="25">
        <f t="shared" si="14"/>
        <v>17023949.732135676</v>
      </c>
      <c r="M172" s="25">
        <f>K172/((1+'How much will I make'!$C$5/12)^(Calculations!$B$1*12-Calculations!$A172))</f>
        <v>12424.272597515283</v>
      </c>
      <c r="N172" s="25">
        <f t="shared" si="15"/>
        <v>3094909.1213385486</v>
      </c>
      <c r="O172" s="25">
        <f t="shared" si="3"/>
        <v>163737.93008929721</v>
      </c>
      <c r="P172" s="25">
        <f t="shared" si="16"/>
        <v>95074840.856860667</v>
      </c>
      <c r="Q172" s="25">
        <f>O172/((1+'How much will I make'!$C$5/12)^(Calculations!$B$1*12-Calculations!$A172))</f>
        <v>44744.476012380997</v>
      </c>
      <c r="R172" s="25">
        <f t="shared" si="17"/>
        <v>16666246.086093072</v>
      </c>
      <c r="S172" s="25">
        <f t="shared" si="4"/>
        <v>586599.65059346752</v>
      </c>
      <c r="T172" s="25">
        <f t="shared" si="18"/>
        <v>544418704.351601</v>
      </c>
      <c r="U172" s="25">
        <f>S172/((1+'How much will I make'!$C$5/12)^(Calculations!$B$1*12-Calculations!$A172))</f>
        <v>160299.41248515961</v>
      </c>
      <c r="V172" s="25">
        <f t="shared" si="19"/>
        <v>92378998.12262474</v>
      </c>
      <c r="W172" s="25">
        <f t="shared" si="5"/>
        <v>2090628.6346006552</v>
      </c>
      <c r="X172" s="25">
        <f t="shared" si="20"/>
        <v>3182084817.9750948</v>
      </c>
      <c r="Y172" s="25">
        <f>W172/((1+'How much will I make'!$C$5/12)^(Calculations!$B$1*12-Calculations!$A172))</f>
        <v>571303.68473981577</v>
      </c>
      <c r="Z172" s="25">
        <f t="shared" si="21"/>
        <v>524943212.83247763</v>
      </c>
      <c r="AA172" s="25">
        <f t="shared" si="6"/>
        <v>7412639.7681877175</v>
      </c>
      <c r="AB172" s="25">
        <f t="shared" si="22"/>
        <v>18901372867.095928</v>
      </c>
      <c r="AC172" s="25">
        <f>AA172/((1+'How much will I make'!$C$5/12)^(Calculations!$B$1*12-Calculations!$A172))</f>
        <v>2025643.551956547</v>
      </c>
      <c r="AD172" s="25">
        <f t="shared" si="23"/>
        <v>3044592721.7517447</v>
      </c>
      <c r="AE172" s="25">
        <f t="shared" si="7"/>
        <v>26148567.147987787</v>
      </c>
      <c r="AF172" s="25">
        <f t="shared" si="24"/>
        <v>113646061859.34346</v>
      </c>
      <c r="AG172" s="25">
        <f>AE172/((1+'How much will I make'!$C$5/12)^(Calculations!$B$1*12-Calculations!$A172))</f>
        <v>7145588.8985111285</v>
      </c>
      <c r="AH172" s="25">
        <f t="shared" si="25"/>
        <v>17944697733.492149</v>
      </c>
    </row>
    <row r="173" spans="1:34" ht="15.75" customHeight="1">
      <c r="A173" s="22">
        <f t="shared" si="8"/>
        <v>169</v>
      </c>
      <c r="B173" s="22">
        <f>B172*(1+'How much will I make'!$C$4)</f>
        <v>989.96579971969925</v>
      </c>
      <c r="C173" s="25">
        <f t="shared" si="0"/>
        <v>3607.6488571091913</v>
      </c>
      <c r="D173" s="25">
        <f t="shared" si="10"/>
        <v>600990.87632963469</v>
      </c>
      <c r="E173" s="25">
        <f>$C173/((1+'How much will I make'!$C$5/12)^(Calculations!$B$1*12-Calculations!$A173))</f>
        <v>989.96579971969925</v>
      </c>
      <c r="F173" s="25">
        <f t="shared" si="11"/>
        <v>118581.75773244746</v>
      </c>
      <c r="G173" s="25">
        <f t="shared" si="1"/>
        <v>13076.840870327767</v>
      </c>
      <c r="H173" s="25">
        <f t="shared" si="12"/>
        <v>3151311.0395716731</v>
      </c>
      <c r="I173" s="25">
        <f>G173/((1+'How much will I make'!$C$5/12)^(Calculations!$B$1*12-Calculations!$A173))</f>
        <v>3588.3828340141185</v>
      </c>
      <c r="J173" s="25">
        <f t="shared" si="13"/>
        <v>596915.03698753507</v>
      </c>
      <c r="K173" s="25">
        <f t="shared" si="2"/>
        <v>47149.284659012723</v>
      </c>
      <c r="L173" s="25">
        <f t="shared" si="14"/>
        <v>17071099.016794689</v>
      </c>
      <c r="M173" s="25">
        <f>K173/((1+'How much will I make'!$C$5/12)^(Calculations!$B$1*12-Calculations!$A173))</f>
        <v>12938.11597037548</v>
      </c>
      <c r="N173" s="25">
        <f t="shared" si="15"/>
        <v>3107847.2373089241</v>
      </c>
      <c r="O173" s="25">
        <f t="shared" si="3"/>
        <v>169106.38681353643</v>
      </c>
      <c r="P173" s="25">
        <f t="shared" si="16"/>
        <v>95243947.243674204</v>
      </c>
      <c r="Q173" s="25">
        <f>O173/((1+'How much will I make'!$C$5/12)^(Calculations!$B$1*12-Calculations!$A173))</f>
        <v>46404.055962840197</v>
      </c>
      <c r="R173" s="25">
        <f t="shared" si="17"/>
        <v>16712650.142055912</v>
      </c>
      <c r="S173" s="25">
        <f t="shared" si="4"/>
        <v>603359.64061042375</v>
      </c>
      <c r="T173" s="25">
        <f t="shared" si="18"/>
        <v>545022063.99221146</v>
      </c>
      <c r="U173" s="25">
        <f>S173/((1+'How much will I make'!$C$5/12)^(Calculations!$B$1*12-Calculations!$A173))</f>
        <v>165566.39318110058</v>
      </c>
      <c r="V173" s="25">
        <f t="shared" si="19"/>
        <v>92544564.51580584</v>
      </c>
      <c r="W173" s="25">
        <f t="shared" si="5"/>
        <v>2141619.5769079886</v>
      </c>
      <c r="X173" s="25">
        <f t="shared" si="20"/>
        <v>3184226437.5520029</v>
      </c>
      <c r="Y173" s="25">
        <f>W173/((1+'How much will I make'!$C$5/12)^(Calculations!$B$1*12-Calculations!$A173))</f>
        <v>587676.41229028616</v>
      </c>
      <c r="Z173" s="25">
        <f t="shared" si="21"/>
        <v>525530889.2447679</v>
      </c>
      <c r="AA173" s="25">
        <f t="shared" si="6"/>
        <v>7562693.2047907105</v>
      </c>
      <c r="AB173" s="25">
        <f t="shared" si="22"/>
        <v>18908935560.30072</v>
      </c>
      <c r="AC173" s="25">
        <f>AA173/((1+'How much will I make'!$C$5/12)^(Calculations!$B$1*12-Calculations!$A173))</f>
        <v>2075259.5175004224</v>
      </c>
      <c r="AD173" s="25">
        <f t="shared" si="23"/>
        <v>3046667981.2692451</v>
      </c>
      <c r="AE173" s="25">
        <f t="shared" si="7"/>
        <v>26570318.231019843</v>
      </c>
      <c r="AF173" s="25">
        <f t="shared" si="24"/>
        <v>113672632177.57448</v>
      </c>
      <c r="AG173" s="25">
        <f>AE173/((1+'How much will I make'!$C$5/12)^(Calculations!$B$1*12-Calculations!$A173))</f>
        <v>7291093.8337429045</v>
      </c>
      <c r="AH173" s="25">
        <f t="shared" si="25"/>
        <v>17951988827.325893</v>
      </c>
    </row>
    <row r="174" spans="1:34" ht="15.75" customHeight="1">
      <c r="A174" s="22">
        <f t="shared" si="8"/>
        <v>170</v>
      </c>
      <c r="B174" s="22">
        <f t="shared" ref="B174:B184" si="39">B173</f>
        <v>989.96579971969925</v>
      </c>
      <c r="C174" s="25">
        <f t="shared" si="0"/>
        <v>3592.6793597767874</v>
      </c>
      <c r="D174" s="25">
        <f t="shared" si="10"/>
        <v>604583.55568941147</v>
      </c>
      <c r="E174" s="25">
        <f>$C174/((1+'How much will I make'!$C$5/12)^(Calculations!$B$1*12-Calculations!$A174))</f>
        <v>989.96579971969925</v>
      </c>
      <c r="F174" s="25">
        <f t="shared" si="11"/>
        <v>119571.72353216716</v>
      </c>
      <c r="G174" s="25">
        <f t="shared" si="1"/>
        <v>12968.76780528374</v>
      </c>
      <c r="H174" s="25">
        <f t="shared" si="12"/>
        <v>3164279.807376957</v>
      </c>
      <c r="I174" s="25">
        <f>G174/((1+'How much will I make'!$C$5/12)^(Calculations!$B$1*12-Calculations!$A174))</f>
        <v>3573.5548057743927</v>
      </c>
      <c r="J174" s="25">
        <f t="shared" si="13"/>
        <v>600488.59179330943</v>
      </c>
      <c r="K174" s="25">
        <f t="shared" si="2"/>
        <v>46567.194724950845</v>
      </c>
      <c r="L174" s="25">
        <f t="shared" si="14"/>
        <v>17117666.21151964</v>
      </c>
      <c r="M174" s="25">
        <f>K174/((1+'How much will I make'!$C$5/12)^(Calculations!$B$1*12-Calculations!$A174))</f>
        <v>12831.629419178978</v>
      </c>
      <c r="N174" s="25">
        <f t="shared" si="15"/>
        <v>3120678.8667281033</v>
      </c>
      <c r="O174" s="25">
        <f t="shared" si="3"/>
        <v>166334.15096413426</v>
      </c>
      <c r="P174" s="25">
        <f t="shared" si="16"/>
        <v>95410281.394638345</v>
      </c>
      <c r="Q174" s="25">
        <f>O174/((1+'How much will I make'!$C$5/12)^(Calculations!$B$1*12-Calculations!$A174))</f>
        <v>45833.514291165957</v>
      </c>
      <c r="R174" s="25">
        <f t="shared" si="17"/>
        <v>16758483.656347077</v>
      </c>
      <c r="S174" s="25">
        <f t="shared" si="4"/>
        <v>591046.17855715007</v>
      </c>
      <c r="T174" s="25">
        <f t="shared" si="18"/>
        <v>545613110.17076862</v>
      </c>
      <c r="U174" s="25">
        <f>S174/((1+'How much will I make'!$C$5/12)^(Calculations!$B$1*12-Calculations!$A174))</f>
        <v>162863.26839447045</v>
      </c>
      <c r="V174" s="25">
        <f t="shared" si="19"/>
        <v>92707427.784200311</v>
      </c>
      <c r="W174" s="25">
        <f t="shared" si="5"/>
        <v>2089384.9530809643</v>
      </c>
      <c r="X174" s="25">
        <f t="shared" si="20"/>
        <v>3186315822.505084</v>
      </c>
      <c r="Y174" s="25">
        <f>W174/((1+'How much will I make'!$C$5/12)^(Calculations!$B$1*12-Calculations!$A174))</f>
        <v>575731.76976406085</v>
      </c>
      <c r="Z174" s="25">
        <f t="shared" si="21"/>
        <v>526106621.01453197</v>
      </c>
      <c r="AA174" s="25">
        <f t="shared" si="6"/>
        <v>7348365.8670031186</v>
      </c>
      <c r="AB174" s="25">
        <f t="shared" si="22"/>
        <v>18916283926.167725</v>
      </c>
      <c r="AC174" s="25">
        <f>AA174/((1+'How much will I make'!$C$5/12)^(Calculations!$B$1*12-Calculations!$A174))</f>
        <v>2024848.3551319912</v>
      </c>
      <c r="AD174" s="25">
        <f t="shared" si="23"/>
        <v>3048692829.6243773</v>
      </c>
      <c r="AE174" s="25">
        <f t="shared" si="7"/>
        <v>25713211.191309523</v>
      </c>
      <c r="AF174" s="25">
        <f t="shared" si="24"/>
        <v>113698345388.76579</v>
      </c>
      <c r="AG174" s="25">
        <f>AE174/((1+'How much will I make'!$C$5/12)^(Calculations!$B$1*12-Calculations!$A174))</f>
        <v>7085296.8303711303</v>
      </c>
      <c r="AH174" s="25">
        <f t="shared" si="25"/>
        <v>17959074124.156265</v>
      </c>
    </row>
    <row r="175" spans="1:34" ht="15.75" customHeight="1">
      <c r="A175" s="22">
        <f t="shared" si="8"/>
        <v>171</v>
      </c>
      <c r="B175" s="22">
        <f t="shared" si="39"/>
        <v>989.96579971969925</v>
      </c>
      <c r="C175" s="25">
        <f t="shared" si="0"/>
        <v>3577.7719765411989</v>
      </c>
      <c r="D175" s="25">
        <f t="shared" si="10"/>
        <v>608161.32766595262</v>
      </c>
      <c r="E175" s="25">
        <f>$C175/((1+'How much will I make'!$C$5/12)^(Calculations!$B$1*12-Calculations!$A175))</f>
        <v>989.96579971969925</v>
      </c>
      <c r="F175" s="25">
        <f t="shared" si="11"/>
        <v>120561.68933188687</v>
      </c>
      <c r="G175" s="25">
        <f t="shared" si="1"/>
        <v>12861.587906066516</v>
      </c>
      <c r="H175" s="25">
        <f t="shared" si="12"/>
        <v>3177141.3952830234</v>
      </c>
      <c r="I175" s="25">
        <f>G175/((1+'How much will I make'!$C$5/12)^(Calculations!$B$1*12-Calculations!$A175))</f>
        <v>3558.7880503786296</v>
      </c>
      <c r="J175" s="25">
        <f t="shared" si="13"/>
        <v>604047.3798436881</v>
      </c>
      <c r="K175" s="25">
        <f t="shared" si="2"/>
        <v>45992.291086371202</v>
      </c>
      <c r="L175" s="25">
        <f t="shared" si="14"/>
        <v>17163658.502606012</v>
      </c>
      <c r="M175" s="25">
        <f>K175/((1+'How much will I make'!$C$5/12)^(Calculations!$B$1*12-Calculations!$A175))</f>
        <v>12726.019300502609</v>
      </c>
      <c r="N175" s="25">
        <f t="shared" si="15"/>
        <v>3133404.886028606</v>
      </c>
      <c r="O175" s="25">
        <f t="shared" si="3"/>
        <v>163607.36160406645</v>
      </c>
      <c r="P175" s="25">
        <f t="shared" si="16"/>
        <v>95573888.756242409</v>
      </c>
      <c r="Q175" s="25">
        <f>O175/((1+'How much will I make'!$C$5/12)^(Calculations!$B$1*12-Calculations!$A175))</f>
        <v>45269.987476110633</v>
      </c>
      <c r="R175" s="25">
        <f t="shared" si="17"/>
        <v>16803753.643823188</v>
      </c>
      <c r="S175" s="25">
        <f t="shared" si="4"/>
        <v>578984.01164782047</v>
      </c>
      <c r="T175" s="25">
        <f t="shared" si="18"/>
        <v>546192094.18241644</v>
      </c>
      <c r="U175" s="25">
        <f>S175/((1+'How much will I make'!$C$5/12)^(Calculations!$B$1*12-Calculations!$A175))</f>
        <v>160204.27625741789</v>
      </c>
      <c r="V175" s="25">
        <f t="shared" si="19"/>
        <v>92867632.060457721</v>
      </c>
      <c r="W175" s="25">
        <f t="shared" si="5"/>
        <v>2038424.3444692339</v>
      </c>
      <c r="X175" s="25">
        <f t="shared" si="20"/>
        <v>3188354246.8495531</v>
      </c>
      <c r="Y175" s="25">
        <f>W175/((1+'How much will I make'!$C$5/12)^(Calculations!$B$1*12-Calculations!$A175))</f>
        <v>564029.90452495415</v>
      </c>
      <c r="Z175" s="25">
        <f t="shared" si="21"/>
        <v>526670650.91905695</v>
      </c>
      <c r="AA175" s="25">
        <f t="shared" si="6"/>
        <v>7140112.5833228696</v>
      </c>
      <c r="AB175" s="25">
        <f t="shared" si="22"/>
        <v>18923424038.751049</v>
      </c>
      <c r="AC175" s="25">
        <f>AA175/((1+'How much will I make'!$C$5/12)^(Calculations!$B$1*12-Calculations!$A175))</f>
        <v>1975661.7554121863</v>
      </c>
      <c r="AD175" s="25">
        <f t="shared" si="23"/>
        <v>3050668491.3797894</v>
      </c>
      <c r="AE175" s="25">
        <f t="shared" si="7"/>
        <v>24883752.765783407</v>
      </c>
      <c r="AF175" s="25">
        <f t="shared" si="24"/>
        <v>113723229141.53157</v>
      </c>
      <c r="AG175" s="25">
        <f>AE175/((1+'How much will I make'!$C$5/12)^(Calculations!$B$1*12-Calculations!$A175))</f>
        <v>6885308.6133848475</v>
      </c>
      <c r="AH175" s="25">
        <f t="shared" si="25"/>
        <v>17965959432.76965</v>
      </c>
    </row>
    <row r="176" spans="1:34" ht="15.75" customHeight="1">
      <c r="A176" s="22">
        <f t="shared" si="8"/>
        <v>172</v>
      </c>
      <c r="B176" s="22">
        <f t="shared" si="39"/>
        <v>989.96579971969925</v>
      </c>
      <c r="C176" s="25">
        <f t="shared" si="0"/>
        <v>3562.9264496675846</v>
      </c>
      <c r="D176" s="25">
        <f t="shared" si="10"/>
        <v>611724.25411562016</v>
      </c>
      <c r="E176" s="25">
        <f>$C176/((1+'How much will I make'!$C$5/12)^(Calculations!$B$1*12-Calculations!$A176))</f>
        <v>989.96579971969925</v>
      </c>
      <c r="F176" s="25">
        <f t="shared" si="11"/>
        <v>121551.65513160657</v>
      </c>
      <c r="G176" s="25">
        <f t="shared" si="1"/>
        <v>12755.293791140348</v>
      </c>
      <c r="H176" s="25">
        <f t="shared" si="12"/>
        <v>3189896.6890741638</v>
      </c>
      <c r="I176" s="25">
        <f>G176/((1+'How much will I make'!$C$5/12)^(Calculations!$B$1*12-Calculations!$A176))</f>
        <v>3544.0823146332636</v>
      </c>
      <c r="J176" s="25">
        <f t="shared" si="13"/>
        <v>607591.4621583214</v>
      </c>
      <c r="K176" s="25">
        <f t="shared" si="2"/>
        <v>45424.485023576497</v>
      </c>
      <c r="L176" s="25">
        <f t="shared" si="14"/>
        <v>17209082.987629589</v>
      </c>
      <c r="M176" s="25">
        <f>K176/((1+'How much will I make'!$C$5/12)^(Calculations!$B$1*12-Calculations!$A176))</f>
        <v>12621.278400909992</v>
      </c>
      <c r="N176" s="25">
        <f t="shared" si="15"/>
        <v>3146026.1644295161</v>
      </c>
      <c r="O176" s="25">
        <f t="shared" si="3"/>
        <v>160925.27370891784</v>
      </c>
      <c r="P176" s="25">
        <f t="shared" si="16"/>
        <v>95734814.029951334</v>
      </c>
      <c r="Q176" s="25">
        <f>O176/((1+'How much will I make'!$C$5/12)^(Calculations!$B$1*12-Calculations!$A176))</f>
        <v>44713.389269437139</v>
      </c>
      <c r="R176" s="25">
        <f t="shared" si="17"/>
        <v>16848467.033092625</v>
      </c>
      <c r="S176" s="25">
        <f t="shared" si="4"/>
        <v>567168.01141010982</v>
      </c>
      <c r="T176" s="25">
        <f t="shared" si="18"/>
        <v>546759262.19382656</v>
      </c>
      <c r="U176" s="25">
        <f>S176/((1+'How much will I make'!$C$5/12)^(Calculations!$B$1*12-Calculations!$A176))</f>
        <v>157588.69623688859</v>
      </c>
      <c r="V176" s="25">
        <f t="shared" si="19"/>
        <v>93025220.756694615</v>
      </c>
      <c r="W176" s="25">
        <f t="shared" si="5"/>
        <v>1988706.6775309597</v>
      </c>
      <c r="X176" s="25">
        <f t="shared" si="20"/>
        <v>3190342953.5270839</v>
      </c>
      <c r="Y176" s="25">
        <f>W176/((1+'How much will I make'!$C$5/12)^(Calculations!$B$1*12-Calculations!$A176))</f>
        <v>552565.88207525981</v>
      </c>
      <c r="Z176" s="25">
        <f t="shared" si="21"/>
        <v>527223216.8011322</v>
      </c>
      <c r="AA176" s="25">
        <f t="shared" si="6"/>
        <v>6937761.2145647323</v>
      </c>
      <c r="AB176" s="25">
        <f t="shared" si="22"/>
        <v>18930361799.965614</v>
      </c>
      <c r="AC176" s="25">
        <f>AA176/((1+'How much will I make'!$C$5/12)^(Calculations!$B$1*12-Calculations!$A176))</f>
        <v>1927669.9718799063</v>
      </c>
      <c r="AD176" s="25">
        <f t="shared" si="23"/>
        <v>3052596161.3516693</v>
      </c>
      <c r="AE176" s="25">
        <f t="shared" si="7"/>
        <v>24081051.063661359</v>
      </c>
      <c r="AF176" s="25">
        <f t="shared" si="24"/>
        <v>113747310192.59523</v>
      </c>
      <c r="AG176" s="25">
        <f>AE176/((1+'How much will I make'!$C$5/12)^(Calculations!$B$1*12-Calculations!$A176))</f>
        <v>6690965.2251038225</v>
      </c>
      <c r="AH176" s="25">
        <f t="shared" si="25"/>
        <v>17972650397.994755</v>
      </c>
    </row>
    <row r="177" spans="1:34" ht="15.75" customHeight="1">
      <c r="A177" s="22">
        <f t="shared" si="8"/>
        <v>173</v>
      </c>
      <c r="B177" s="22">
        <f t="shared" si="39"/>
        <v>989.96579971969925</v>
      </c>
      <c r="C177" s="25">
        <f t="shared" si="0"/>
        <v>3548.1425224905402</v>
      </c>
      <c r="D177" s="25">
        <f t="shared" si="10"/>
        <v>615272.39663811075</v>
      </c>
      <c r="E177" s="25">
        <f>$C177/((1+'How much will I make'!$C$5/12)^(Calculations!$B$1*12-Calculations!$A177))</f>
        <v>989.96579971969925</v>
      </c>
      <c r="F177" s="25">
        <f t="shared" si="11"/>
        <v>122541.62093132628</v>
      </c>
      <c r="G177" s="25">
        <f t="shared" si="1"/>
        <v>12649.8781399739</v>
      </c>
      <c r="H177" s="25">
        <f t="shared" si="12"/>
        <v>3202546.5672141379</v>
      </c>
      <c r="I177" s="25">
        <f>G177/((1+'How much will I make'!$C$5/12)^(Calculations!$B$1*12-Calculations!$A177))</f>
        <v>3529.4373463909783</v>
      </c>
      <c r="J177" s="25">
        <f t="shared" si="13"/>
        <v>611120.89950471243</v>
      </c>
      <c r="K177" s="25">
        <f t="shared" si="2"/>
        <v>44863.688912174315</v>
      </c>
      <c r="L177" s="25">
        <f t="shared" si="14"/>
        <v>17253946.676541764</v>
      </c>
      <c r="M177" s="25">
        <f>K177/((1+'How much will I make'!$C$5/12)^(Calculations!$B$1*12-Calculations!$A177))</f>
        <v>12517.399566334603</v>
      </c>
      <c r="N177" s="25">
        <f t="shared" si="15"/>
        <v>3158543.5639958507</v>
      </c>
      <c r="O177" s="25">
        <f t="shared" si="3"/>
        <v>158287.154467788</v>
      </c>
      <c r="P177" s="25">
        <f t="shared" si="16"/>
        <v>95893101.184419125</v>
      </c>
      <c r="Q177" s="25">
        <f>O177/((1+'How much will I make'!$C$5/12)^(Calculations!$B$1*12-Calculations!$A177))</f>
        <v>44163.634483337497</v>
      </c>
      <c r="R177" s="25">
        <f t="shared" si="17"/>
        <v>16892630.667575963</v>
      </c>
      <c r="S177" s="25">
        <f t="shared" si="4"/>
        <v>555593.15403439337</v>
      </c>
      <c r="T177" s="25">
        <f t="shared" si="18"/>
        <v>547314855.34786093</v>
      </c>
      <c r="U177" s="25">
        <f>S177/((1+'How much will I make'!$C$5/12)^(Calculations!$B$1*12-Calculations!$A177))</f>
        <v>155015.8195636333</v>
      </c>
      <c r="V177" s="25">
        <f t="shared" si="19"/>
        <v>93180236.576258242</v>
      </c>
      <c r="W177" s="25">
        <f t="shared" si="5"/>
        <v>1940201.6366155709</v>
      </c>
      <c r="X177" s="25">
        <f t="shared" si="20"/>
        <v>3192283155.1636996</v>
      </c>
      <c r="Y177" s="25">
        <f>W177/((1+'How much will I make'!$C$5/12)^(Calculations!$B$1*12-Calculations!$A177))</f>
        <v>541334.86821194168</v>
      </c>
      <c r="Z177" s="25">
        <f t="shared" si="21"/>
        <v>527764551.66934413</v>
      </c>
      <c r="AA177" s="25">
        <f t="shared" si="6"/>
        <v>6741144.4999819286</v>
      </c>
      <c r="AB177" s="25">
        <f t="shared" si="22"/>
        <v>18937102944.465595</v>
      </c>
      <c r="AC177" s="25">
        <f>AA177/((1+'How much will I make'!$C$5/12)^(Calculations!$B$1*12-Calculations!$A177))</f>
        <v>1880843.9806601526</v>
      </c>
      <c r="AD177" s="25">
        <f t="shared" si="23"/>
        <v>3054477005.3323293</v>
      </c>
      <c r="AE177" s="25">
        <f t="shared" si="7"/>
        <v>23304242.964833569</v>
      </c>
      <c r="AF177" s="25">
        <f t="shared" si="24"/>
        <v>113770614435.56006</v>
      </c>
      <c r="AG177" s="25">
        <f>AE177/((1+'How much will I make'!$C$5/12)^(Calculations!$B$1*12-Calculations!$A177))</f>
        <v>6502107.3356855689</v>
      </c>
      <c r="AH177" s="25">
        <f t="shared" si="25"/>
        <v>17979152505.330441</v>
      </c>
    </row>
    <row r="178" spans="1:34" ht="15.75" customHeight="1">
      <c r="A178" s="22">
        <f t="shared" si="8"/>
        <v>174</v>
      </c>
      <c r="B178" s="22">
        <f t="shared" si="39"/>
        <v>989.96579971969925</v>
      </c>
      <c r="C178" s="25">
        <f t="shared" si="0"/>
        <v>3533.4199394096663</v>
      </c>
      <c r="D178" s="25">
        <f t="shared" si="10"/>
        <v>618805.81657752045</v>
      </c>
      <c r="E178" s="25">
        <f>$C178/((1+'How much will I make'!$C$5/12)^(Calculations!$B$1*12-Calculations!$A178))</f>
        <v>989.96579971969925</v>
      </c>
      <c r="F178" s="25">
        <f t="shared" si="11"/>
        <v>123531.58673104599</v>
      </c>
      <c r="G178" s="25">
        <f t="shared" si="1"/>
        <v>12545.3336925361</v>
      </c>
      <c r="H178" s="25">
        <f t="shared" si="12"/>
        <v>3215091.9009066741</v>
      </c>
      <c r="I178" s="25">
        <f>G178/((1+'How much will I make'!$C$5/12)^(Calculations!$B$1*12-Calculations!$A178))</f>
        <v>3514.8528945463881</v>
      </c>
      <c r="J178" s="25">
        <f t="shared" si="13"/>
        <v>614635.75239925878</v>
      </c>
      <c r="K178" s="25">
        <f t="shared" si="2"/>
        <v>44309.816209554891</v>
      </c>
      <c r="L178" s="25">
        <f t="shared" si="14"/>
        <v>17298256.492751319</v>
      </c>
      <c r="M178" s="25">
        <f>K178/((1+'How much will I make'!$C$5/12)^(Calculations!$B$1*12-Calculations!$A178))</f>
        <v>12414.375701591112</v>
      </c>
      <c r="N178" s="25">
        <f t="shared" si="15"/>
        <v>3170957.9396974416</v>
      </c>
      <c r="O178" s="25">
        <f t="shared" si="3"/>
        <v>155692.28308307019</v>
      </c>
      <c r="P178" s="25">
        <f t="shared" si="16"/>
        <v>96048793.467502192</v>
      </c>
      <c r="Q178" s="25">
        <f>O178/((1+'How much will I make'!$C$5/12)^(Calculations!$B$1*12-Calculations!$A178))</f>
        <v>43620.638977394832</v>
      </c>
      <c r="R178" s="25">
        <f t="shared" si="17"/>
        <v>16936251.306553356</v>
      </c>
      <c r="S178" s="25">
        <f t="shared" si="4"/>
        <v>544254.51823777321</v>
      </c>
      <c r="T178" s="25">
        <f t="shared" si="18"/>
        <v>547859109.86609876</v>
      </c>
      <c r="U178" s="25">
        <f>S178/((1+'How much will I make'!$C$5/12)^(Calculations!$B$1*12-Calculations!$A178))</f>
        <v>152484.94904014547</v>
      </c>
      <c r="V178" s="25">
        <f t="shared" si="19"/>
        <v>93332721.525298387</v>
      </c>
      <c r="W178" s="25">
        <f t="shared" si="5"/>
        <v>1892879.6454786055</v>
      </c>
      <c r="X178" s="25">
        <f t="shared" si="20"/>
        <v>3194176034.8091784</v>
      </c>
      <c r="Y178" s="25">
        <f>W178/((1+'How much will I make'!$C$5/12)^(Calculations!$B$1*12-Calculations!$A178))</f>
        <v>530332.12698812177</v>
      </c>
      <c r="Z178" s="25">
        <f t="shared" si="21"/>
        <v>528294883.79633224</v>
      </c>
      <c r="AA178" s="25">
        <f t="shared" si="6"/>
        <v>6550099.9190107798</v>
      </c>
      <c r="AB178" s="25">
        <f t="shared" si="22"/>
        <v>18943653044.384605</v>
      </c>
      <c r="AC178" s="25">
        <f>AA178/((1+'How much will I make'!$C$5/12)^(Calculations!$B$1*12-Calculations!$A178))</f>
        <v>1835155.4629113227</v>
      </c>
      <c r="AD178" s="25">
        <f t="shared" si="23"/>
        <v>3056312160.7952404</v>
      </c>
      <c r="AE178" s="25">
        <f t="shared" si="7"/>
        <v>22552493.19177442</v>
      </c>
      <c r="AF178" s="25">
        <f t="shared" si="24"/>
        <v>113793166928.75183</v>
      </c>
      <c r="AG178" s="25">
        <f>AE178/((1+'How much will I make'!$C$5/12)^(Calculations!$B$1*12-Calculations!$A178))</f>
        <v>6318580.1125008957</v>
      </c>
      <c r="AH178" s="25">
        <f t="shared" si="25"/>
        <v>17985471085.44294</v>
      </c>
    </row>
    <row r="179" spans="1:34" ht="15.75" customHeight="1">
      <c r="A179" s="22">
        <f t="shared" si="8"/>
        <v>175</v>
      </c>
      <c r="B179" s="22">
        <f t="shared" si="39"/>
        <v>989.96579971969925</v>
      </c>
      <c r="C179" s="25">
        <f t="shared" si="0"/>
        <v>3518.7584458851452</v>
      </c>
      <c r="D179" s="25">
        <f t="shared" si="10"/>
        <v>622324.5750234056</v>
      </c>
      <c r="E179" s="25">
        <f>$C179/((1+'How much will I make'!$C$5/12)^(Calculations!$B$1*12-Calculations!$A179))</f>
        <v>989.96579971969925</v>
      </c>
      <c r="F179" s="25">
        <f t="shared" si="11"/>
        <v>124521.55253076569</v>
      </c>
      <c r="G179" s="25">
        <f t="shared" si="1"/>
        <v>12441.65324879613</v>
      </c>
      <c r="H179" s="25">
        <f t="shared" si="12"/>
        <v>3227533.5541554703</v>
      </c>
      <c r="I179" s="25">
        <f>G179/((1+'How much will I make'!$C$5/12)^(Calculations!$B$1*12-Calculations!$A179))</f>
        <v>3500.3287090317326</v>
      </c>
      <c r="J179" s="25">
        <f t="shared" si="13"/>
        <v>618136.08110829047</v>
      </c>
      <c r="K179" s="25">
        <f t="shared" si="2"/>
        <v>43762.781441535692</v>
      </c>
      <c r="L179" s="25">
        <f t="shared" si="14"/>
        <v>17342019.274192855</v>
      </c>
      <c r="M179" s="25">
        <f>K179/((1+'How much will I make'!$C$5/12)^(Calculations!$B$1*12-Calculations!$A179))</f>
        <v>12312.199769890773</v>
      </c>
      <c r="N179" s="25">
        <f t="shared" si="15"/>
        <v>3183270.1394673325</v>
      </c>
      <c r="O179" s="25">
        <f t="shared" si="3"/>
        <v>153139.95057351168</v>
      </c>
      <c r="P179" s="25">
        <f t="shared" si="16"/>
        <v>96201933.418075711</v>
      </c>
      <c r="Q179" s="25">
        <f>O179/((1+'How much will I make'!$C$5/12)^(Calculations!$B$1*12-Calculations!$A179))</f>
        <v>43084.31964570556</v>
      </c>
      <c r="R179" s="25">
        <f t="shared" si="17"/>
        <v>16979335.626199063</v>
      </c>
      <c r="S179" s="25">
        <f t="shared" si="4"/>
        <v>533147.28317169624</v>
      </c>
      <c r="T179" s="25">
        <f t="shared" si="18"/>
        <v>548392257.14927042</v>
      </c>
      <c r="U179" s="25">
        <f>S179/((1+'How much will I make'!$C$5/12)^(Calculations!$B$1*12-Calculations!$A179))</f>
        <v>149995.39885173491</v>
      </c>
      <c r="V179" s="25">
        <f t="shared" si="19"/>
        <v>93482716.924150124</v>
      </c>
      <c r="W179" s="25">
        <f t="shared" si="5"/>
        <v>1846711.84924742</v>
      </c>
      <c r="X179" s="25">
        <f t="shared" si="20"/>
        <v>3196022746.6584258</v>
      </c>
      <c r="Y179" s="25">
        <f>W179/((1+'How much will I make'!$C$5/12)^(Calculations!$B$1*12-Calculations!$A179))</f>
        <v>519553.01871600538</v>
      </c>
      <c r="Z179" s="25">
        <f t="shared" si="21"/>
        <v>528814436.81504822</v>
      </c>
      <c r="AA179" s="25">
        <f t="shared" si="6"/>
        <v>6364469.556933552</v>
      </c>
      <c r="AB179" s="25">
        <f t="shared" si="22"/>
        <v>18950017513.94154</v>
      </c>
      <c r="AC179" s="25">
        <f>AA179/((1+'How much will I make'!$C$5/12)^(Calculations!$B$1*12-Calculations!$A179))</f>
        <v>1790576.787698902</v>
      </c>
      <c r="AD179" s="25">
        <f t="shared" si="23"/>
        <v>3058102737.5829391</v>
      </c>
      <c r="AE179" s="25">
        <f t="shared" si="7"/>
        <v>21824993.4113946</v>
      </c>
      <c r="AF179" s="25">
        <f t="shared" si="24"/>
        <v>113814991922.16322</v>
      </c>
      <c r="AG179" s="25">
        <f>AE179/((1+'How much will I make'!$C$5/12)^(Calculations!$B$1*12-Calculations!$A179))</f>
        <v>6140233.093196434</v>
      </c>
      <c r="AH179" s="25">
        <f t="shared" si="25"/>
        <v>17991611318.536137</v>
      </c>
    </row>
    <row r="180" spans="1:34" ht="15.75" customHeight="1">
      <c r="A180" s="22">
        <f t="shared" si="8"/>
        <v>176</v>
      </c>
      <c r="B180" s="22">
        <f t="shared" si="39"/>
        <v>989.96579971969925</v>
      </c>
      <c r="C180" s="25">
        <f t="shared" si="0"/>
        <v>3504.1577884333392</v>
      </c>
      <c r="D180" s="25">
        <f t="shared" si="10"/>
        <v>625828.73281183897</v>
      </c>
      <c r="E180" s="25">
        <f>$C180/((1+'How much will I make'!$C$5/12)^(Calculations!$B$1*12-Calculations!$A180))</f>
        <v>989.96579971969913</v>
      </c>
      <c r="F180" s="25">
        <f t="shared" si="11"/>
        <v>125511.51833048539</v>
      </c>
      <c r="G180" s="25">
        <f t="shared" si="1"/>
        <v>12338.829668227569</v>
      </c>
      <c r="H180" s="25">
        <f t="shared" si="12"/>
        <v>3239872.3838236979</v>
      </c>
      <c r="I180" s="25">
        <f>G180/((1+'How much will I make'!$C$5/12)^(Calculations!$B$1*12-Calculations!$A180))</f>
        <v>3485.8645408125935</v>
      </c>
      <c r="J180" s="25">
        <f t="shared" si="13"/>
        <v>621621.94564910303</v>
      </c>
      <c r="K180" s="25">
        <f t="shared" si="2"/>
        <v>43222.500189171049</v>
      </c>
      <c r="L180" s="25">
        <f t="shared" si="14"/>
        <v>17385241.774382025</v>
      </c>
      <c r="M180" s="25">
        <f>K180/((1+'How much will I make'!$C$5/12)^(Calculations!$B$1*12-Calculations!$A180))</f>
        <v>12210.864792360806</v>
      </c>
      <c r="N180" s="25">
        <f t="shared" si="15"/>
        <v>3195481.0042596934</v>
      </c>
      <c r="O180" s="25">
        <f t="shared" si="3"/>
        <v>150629.45958050329</v>
      </c>
      <c r="P180" s="25">
        <f t="shared" si="16"/>
        <v>96352562.877656206</v>
      </c>
      <c r="Q180" s="25">
        <f>O180/((1+'How much will I make'!$C$5/12)^(Calculations!$B$1*12-Calculations!$A180))</f>
        <v>42554.594404159994</v>
      </c>
      <c r="R180" s="25">
        <f t="shared" si="17"/>
        <v>17021890.220603224</v>
      </c>
      <c r="S180" s="25">
        <f t="shared" si="4"/>
        <v>522266.72637227387</v>
      </c>
      <c r="T180" s="25">
        <f t="shared" si="18"/>
        <v>548914523.87564266</v>
      </c>
      <c r="U180" s="25">
        <f>S180/((1+'How much will I make'!$C$5/12)^(Calculations!$B$1*12-Calculations!$A180))</f>
        <v>147546.4943806862</v>
      </c>
      <c r="V180" s="25">
        <f t="shared" si="19"/>
        <v>93630263.418530807</v>
      </c>
      <c r="W180" s="25">
        <f t="shared" si="5"/>
        <v>1801670.0968267515</v>
      </c>
      <c r="X180" s="25">
        <f t="shared" si="20"/>
        <v>3197824416.7552524</v>
      </c>
      <c r="Y180" s="25">
        <f>W180/((1+'How much will I make'!$C$5/12)^(Calculations!$B$1*12-Calculations!$A180))</f>
        <v>508992.99801039562</v>
      </c>
      <c r="Z180" s="25">
        <f t="shared" si="21"/>
        <v>529323429.81305861</v>
      </c>
      <c r="AA180" s="25">
        <f t="shared" si="6"/>
        <v>6184099.9743483914</v>
      </c>
      <c r="AB180" s="25">
        <f t="shared" si="22"/>
        <v>18956201613.91589</v>
      </c>
      <c r="AC180" s="25">
        <f>AA180/((1+'How much will I make'!$C$5/12)^(Calculations!$B$1*12-Calculations!$A180))</f>
        <v>1747080.9952851639</v>
      </c>
      <c r="AD180" s="25">
        <f t="shared" si="23"/>
        <v>3059849818.5782242</v>
      </c>
      <c r="AE180" s="25">
        <f t="shared" si="7"/>
        <v>21120961.365865741</v>
      </c>
      <c r="AF180" s="25">
        <f t="shared" si="24"/>
        <v>113836112883.52908</v>
      </c>
      <c r="AG180" s="25">
        <f>AE180/((1+'How much will I make'!$C$5/12)^(Calculations!$B$1*12-Calculations!$A180))</f>
        <v>5966920.0623400835</v>
      </c>
      <c r="AH180" s="25">
        <f t="shared" si="25"/>
        <v>17997578238.598476</v>
      </c>
    </row>
    <row r="181" spans="1:34" ht="15.75" customHeight="1">
      <c r="A181" s="22">
        <f t="shared" si="8"/>
        <v>177</v>
      </c>
      <c r="B181" s="22">
        <f t="shared" si="39"/>
        <v>989.96579971969925</v>
      </c>
      <c r="C181" s="25">
        <f t="shared" si="0"/>
        <v>3489.6177146224131</v>
      </c>
      <c r="D181" s="25">
        <f t="shared" si="10"/>
        <v>629318.35052646138</v>
      </c>
      <c r="E181" s="25">
        <f>$C181/((1+'How much will I make'!$C$5/12)^(Calculations!$B$1*12-Calculations!$A181))</f>
        <v>989.96579971969913</v>
      </c>
      <c r="F181" s="25">
        <f t="shared" si="11"/>
        <v>126501.48413020509</v>
      </c>
      <c r="G181" s="25">
        <f t="shared" si="1"/>
        <v>12236.855869316596</v>
      </c>
      <c r="H181" s="25">
        <f t="shared" si="12"/>
        <v>3252109.2396930144</v>
      </c>
      <c r="I181" s="25">
        <f>G181/((1+'How much will I make'!$C$5/12)^(Calculations!$B$1*12-Calculations!$A181))</f>
        <v>3471.4601418836151</v>
      </c>
      <c r="J181" s="25">
        <f t="shared" si="13"/>
        <v>625093.40579098661</v>
      </c>
      <c r="K181" s="25">
        <f t="shared" si="2"/>
        <v>42688.889075724488</v>
      </c>
      <c r="L181" s="25">
        <f t="shared" si="14"/>
        <v>17427930.663457751</v>
      </c>
      <c r="M181" s="25">
        <f>K181/((1+'How much will I make'!$C$5/12)^(Calculations!$B$1*12-Calculations!$A181))</f>
        <v>12110.363847567709</v>
      </c>
      <c r="N181" s="25">
        <f t="shared" si="15"/>
        <v>3207591.3681072611</v>
      </c>
      <c r="O181" s="25">
        <f t="shared" si="3"/>
        <v>148160.1241775442</v>
      </c>
      <c r="P181" s="25">
        <f t="shared" si="16"/>
        <v>96500723.001833752</v>
      </c>
      <c r="Q181" s="25">
        <f>O181/((1+'How much will I make'!$C$5/12)^(Calculations!$B$1*12-Calculations!$A181))</f>
        <v>42031.382177879328</v>
      </c>
      <c r="R181" s="25">
        <f t="shared" si="17"/>
        <v>17063921.602781102</v>
      </c>
      <c r="S181" s="25">
        <f t="shared" si="4"/>
        <v>511608.22175243159</v>
      </c>
      <c r="T181" s="25">
        <f t="shared" si="18"/>
        <v>549426132.09739506</v>
      </c>
      <c r="U181" s="25">
        <f>S181/((1+'How much will I make'!$C$5/12)^(Calculations!$B$1*12-Calculations!$A181))</f>
        <v>145137.57202345048</v>
      </c>
      <c r="V181" s="25">
        <f t="shared" si="19"/>
        <v>93775400.990554258</v>
      </c>
      <c r="W181" s="25">
        <f t="shared" si="5"/>
        <v>1757726.9237334162</v>
      </c>
      <c r="X181" s="25">
        <f t="shared" si="20"/>
        <v>3199582143.6789856</v>
      </c>
      <c r="Y181" s="25">
        <f>W181/((1+'How much will I make'!$C$5/12)^(Calculations!$B$1*12-Calculations!$A181))</f>
        <v>498647.61187197291</v>
      </c>
      <c r="Z181" s="25">
        <f t="shared" si="21"/>
        <v>529822077.42493057</v>
      </c>
      <c r="AA181" s="25">
        <f t="shared" si="6"/>
        <v>6008842.0803385191</v>
      </c>
      <c r="AB181" s="25">
        <f t="shared" si="22"/>
        <v>18962210455.996227</v>
      </c>
      <c r="AC181" s="25">
        <f>AA181/((1+'How much will I make'!$C$5/12)^(Calculations!$B$1*12-Calculations!$A181))</f>
        <v>1704641.7808247954</v>
      </c>
      <c r="AD181" s="25">
        <f t="shared" si="23"/>
        <v>3061554460.3590488</v>
      </c>
      <c r="AE181" s="25">
        <f t="shared" si="7"/>
        <v>20439640.031482968</v>
      </c>
      <c r="AF181" s="25">
        <f t="shared" si="24"/>
        <v>113856552523.56056</v>
      </c>
      <c r="AG181" s="25">
        <f>AE181/((1+'How much will I make'!$C$5/12)^(Calculations!$B$1*12-Calculations!$A181))</f>
        <v>5798498.9315482229</v>
      </c>
      <c r="AH181" s="25">
        <f t="shared" si="25"/>
        <v>18003376737.530025</v>
      </c>
    </row>
    <row r="182" spans="1:34" ht="15.75" customHeight="1">
      <c r="A182" s="22">
        <f t="shared" si="8"/>
        <v>178</v>
      </c>
      <c r="B182" s="22">
        <f t="shared" si="39"/>
        <v>989.96579971969925</v>
      </c>
      <c r="C182" s="25">
        <f t="shared" si="0"/>
        <v>3475.1379730679623</v>
      </c>
      <c r="D182" s="25">
        <f t="shared" si="10"/>
        <v>632793.48849952931</v>
      </c>
      <c r="E182" s="25">
        <f>$C182/((1+'How much will I make'!$C$5/12)^(Calculations!$B$1*12-Calculations!$A182))</f>
        <v>989.96579971969925</v>
      </c>
      <c r="F182" s="25">
        <f t="shared" si="11"/>
        <v>127491.4499299248</v>
      </c>
      <c r="G182" s="25">
        <f t="shared" si="1"/>
        <v>12135.724829074312</v>
      </c>
      <c r="H182" s="25">
        <f t="shared" si="12"/>
        <v>3264244.9645220889</v>
      </c>
      <c r="I182" s="25">
        <f>G182/((1+'How much will I make'!$C$5/12)^(Calculations!$B$1*12-Calculations!$A182))</f>
        <v>3457.1152652642631</v>
      </c>
      <c r="J182" s="25">
        <f t="shared" si="13"/>
        <v>628550.5210562509</v>
      </c>
      <c r="K182" s="25">
        <f t="shared" si="2"/>
        <v>42161.865753801969</v>
      </c>
      <c r="L182" s="25">
        <f t="shared" si="14"/>
        <v>17470092.529211555</v>
      </c>
      <c r="M182" s="25">
        <f>K182/((1+'How much will I make'!$C$5/12)^(Calculations!$B$1*12-Calculations!$A182))</f>
        <v>12010.690071044524</v>
      </c>
      <c r="N182" s="25">
        <f t="shared" si="15"/>
        <v>3219602.0581783056</v>
      </c>
      <c r="O182" s="25">
        <f t="shared" si="3"/>
        <v>145731.26968283043</v>
      </c>
      <c r="P182" s="25">
        <f t="shared" si="16"/>
        <v>96646454.271516576</v>
      </c>
      <c r="Q182" s="25">
        <f>O182/((1+'How much will I make'!$C$5/12)^(Calculations!$B$1*12-Calculations!$A182))</f>
        <v>41514.602888807072</v>
      </c>
      <c r="R182" s="25">
        <f t="shared" si="17"/>
        <v>17105436.20566991</v>
      </c>
      <c r="S182" s="25">
        <f t="shared" si="4"/>
        <v>501167.23763503518</v>
      </c>
      <c r="T182" s="25">
        <f t="shared" si="18"/>
        <v>549927299.33503008</v>
      </c>
      <c r="U182" s="25">
        <f>S182/((1+'How much will I make'!$C$5/12)^(Calculations!$B$1*12-Calculations!$A182))</f>
        <v>142767.9790108228</v>
      </c>
      <c r="V182" s="25">
        <f t="shared" si="19"/>
        <v>93918168.969565079</v>
      </c>
      <c r="W182" s="25">
        <f t="shared" si="5"/>
        <v>1714855.5353496738</v>
      </c>
      <c r="X182" s="25">
        <f t="shared" si="20"/>
        <v>3201296999.2143354</v>
      </c>
      <c r="Y182" s="25">
        <f>W182/((1+'How much will I make'!$C$5/12)^(Calculations!$B$1*12-Calculations!$A182))</f>
        <v>488512.49780953443</v>
      </c>
      <c r="Z182" s="25">
        <f t="shared" si="21"/>
        <v>530310589.9227401</v>
      </c>
      <c r="AA182" s="25">
        <f t="shared" si="6"/>
        <v>5838551.0092358086</v>
      </c>
      <c r="AB182" s="25">
        <f t="shared" si="22"/>
        <v>18968049007.005463</v>
      </c>
      <c r="AC182" s="25">
        <f>AA182/((1+'How much will I make'!$C$5/12)^(Calculations!$B$1*12-Calculations!$A182))</f>
        <v>1663233.4784565826</v>
      </c>
      <c r="AD182" s="25">
        <f t="shared" si="23"/>
        <v>3063217693.8375053</v>
      </c>
      <c r="AE182" s="25">
        <f t="shared" si="7"/>
        <v>19780296.804660939</v>
      </c>
      <c r="AF182" s="25">
        <f t="shared" si="24"/>
        <v>113876332820.36522</v>
      </c>
      <c r="AG182" s="25">
        <f>AE182/((1+'How much will I make'!$C$5/12)^(Calculations!$B$1*12-Calculations!$A182))</f>
        <v>5634831.6229964616</v>
      </c>
      <c r="AH182" s="25">
        <f t="shared" si="25"/>
        <v>18009011569.153023</v>
      </c>
    </row>
    <row r="183" spans="1:34" ht="15.75" customHeight="1">
      <c r="A183" s="22">
        <f t="shared" si="8"/>
        <v>179</v>
      </c>
      <c r="B183" s="22">
        <f t="shared" si="39"/>
        <v>989.96579971969925</v>
      </c>
      <c r="C183" s="25">
        <f t="shared" si="0"/>
        <v>3460.7183134286756</v>
      </c>
      <c r="D183" s="25">
        <f t="shared" si="10"/>
        <v>636254.206812958</v>
      </c>
      <c r="E183" s="25">
        <f>$C183/((1+'How much will I make'!$C$5/12)^(Calculations!$B$1*12-Calculations!$A183))</f>
        <v>989.96579971969925</v>
      </c>
      <c r="F183" s="25">
        <f t="shared" si="11"/>
        <v>128481.4157296445</v>
      </c>
      <c r="G183" s="25">
        <f t="shared" si="1"/>
        <v>12035.429582553035</v>
      </c>
      <c r="H183" s="25">
        <f t="shared" si="12"/>
        <v>3276280.3941046419</v>
      </c>
      <c r="I183" s="25">
        <f>G183/((1+'How much will I make'!$C$5/12)^(Calculations!$B$1*12-Calculations!$A183))</f>
        <v>3442.829664994576</v>
      </c>
      <c r="J183" s="25">
        <f t="shared" si="13"/>
        <v>631993.35072124552</v>
      </c>
      <c r="K183" s="25">
        <f t="shared" si="2"/>
        <v>41641.348892643917</v>
      </c>
      <c r="L183" s="25">
        <f t="shared" si="14"/>
        <v>17511733.878104199</v>
      </c>
      <c r="M183" s="25">
        <f>K183/((1+'How much will I make'!$C$5/12)^(Calculations!$B$1*12-Calculations!$A183))</f>
        <v>11911.836654821936</v>
      </c>
      <c r="N183" s="25">
        <f t="shared" si="15"/>
        <v>3231513.8948331275</v>
      </c>
      <c r="O183" s="25">
        <f t="shared" si="3"/>
        <v>143342.23247491519</v>
      </c>
      <c r="P183" s="25">
        <f t="shared" si="16"/>
        <v>96789796.503991485</v>
      </c>
      <c r="Q183" s="25">
        <f>O183/((1+'How much will I make'!$C$5/12)^(Calculations!$B$1*12-Calculations!$A183))</f>
        <v>41004.1774434529</v>
      </c>
      <c r="R183" s="25">
        <f t="shared" si="17"/>
        <v>17146440.383113362</v>
      </c>
      <c r="S183" s="25">
        <f t="shared" si="4"/>
        <v>490939.33482615702</v>
      </c>
      <c r="T183" s="25">
        <f t="shared" si="18"/>
        <v>550418238.66985619</v>
      </c>
      <c r="U183" s="25">
        <f>S183/((1+'How much will I make'!$C$5/12)^(Calculations!$B$1*12-Calculations!$A183))</f>
        <v>140437.07323105432</v>
      </c>
      <c r="V183" s="25">
        <f t="shared" si="19"/>
        <v>94058606.042796135</v>
      </c>
      <c r="W183" s="25">
        <f t="shared" si="5"/>
        <v>1673029.790585048</v>
      </c>
      <c r="X183" s="25">
        <f t="shared" si="20"/>
        <v>3202970029.0049205</v>
      </c>
      <c r="Y183" s="25">
        <f>W183/((1+'How much will I make'!$C$5/12)^(Calculations!$B$1*12-Calculations!$A183))</f>
        <v>478583.38200039772</v>
      </c>
      <c r="Z183" s="25">
        <f t="shared" si="21"/>
        <v>530789173.30474049</v>
      </c>
      <c r="AA183" s="25">
        <f t="shared" si="6"/>
        <v>5673086.0008768989</v>
      </c>
      <c r="AB183" s="25">
        <f t="shared" si="22"/>
        <v>18973722093.00634</v>
      </c>
      <c r="AC183" s="25">
        <f>AA183/((1+'How much will I make'!$C$5/12)^(Calculations!$B$1*12-Calculations!$A183))</f>
        <v>1622831.0457815239</v>
      </c>
      <c r="AD183" s="25">
        <f t="shared" si="23"/>
        <v>3064840524.883287</v>
      </c>
      <c r="AE183" s="25">
        <f t="shared" si="7"/>
        <v>19142222.714188006</v>
      </c>
      <c r="AF183" s="25">
        <f t="shared" si="24"/>
        <v>113895475043.07941</v>
      </c>
      <c r="AG183" s="25">
        <f>AE183/((1+'How much will I make'!$C$5/12)^(Calculations!$B$1*12-Calculations!$A183))</f>
        <v>5475783.9562183358</v>
      </c>
      <c r="AH183" s="25">
        <f t="shared" si="25"/>
        <v>18014487353.109241</v>
      </c>
    </row>
    <row r="184" spans="1:34" ht="15.75" customHeight="1">
      <c r="A184" s="22">
        <f t="shared" si="8"/>
        <v>180</v>
      </c>
      <c r="B184" s="22">
        <f t="shared" si="39"/>
        <v>989.96579971969925</v>
      </c>
      <c r="C184" s="25">
        <f t="shared" si="0"/>
        <v>3446.3584864020013</v>
      </c>
      <c r="D184" s="25">
        <f t="shared" si="10"/>
        <v>639700.56529935997</v>
      </c>
      <c r="E184" s="25">
        <f>$C184/((1+'How much will I make'!$C$5/12)^(Calculations!$B$1*12-Calculations!$A184))</f>
        <v>989.96579971969925</v>
      </c>
      <c r="F184" s="25">
        <f t="shared" si="11"/>
        <v>129471.38152936421</v>
      </c>
      <c r="G184" s="25">
        <f t="shared" si="1"/>
        <v>11935.96322236665</v>
      </c>
      <c r="H184" s="25">
        <f t="shared" si="12"/>
        <v>3288216.3573270086</v>
      </c>
      <c r="I184" s="25">
        <f>G184/((1+'How much will I make'!$C$5/12)^(Calculations!$B$1*12-Calculations!$A184))</f>
        <v>3428.6030961309625</v>
      </c>
      <c r="J184" s="25">
        <f t="shared" si="13"/>
        <v>635421.95381737652</v>
      </c>
      <c r="K184" s="25">
        <f t="shared" si="2"/>
        <v>41127.258165574247</v>
      </c>
      <c r="L184" s="25">
        <f t="shared" si="14"/>
        <v>17552861.136269774</v>
      </c>
      <c r="M184" s="25">
        <f>K184/((1+'How much will I make'!$C$5/12)^(Calculations!$B$1*12-Calculations!$A184))</f>
        <v>11813.79684696332</v>
      </c>
      <c r="N184" s="25">
        <f t="shared" si="15"/>
        <v>3243327.691680091</v>
      </c>
      <c r="O184" s="25">
        <f t="shared" si="3"/>
        <v>140992.35981139197</v>
      </c>
      <c r="P184" s="25">
        <f t="shared" si="16"/>
        <v>96930788.86380288</v>
      </c>
      <c r="Q184" s="25">
        <f>O184/((1+'How much will I make'!$C$5/12)^(Calculations!$B$1*12-Calculations!$A184))</f>
        <v>40500.027720787482</v>
      </c>
      <c r="R184" s="25">
        <f t="shared" si="17"/>
        <v>17186940.410834149</v>
      </c>
      <c r="S184" s="25">
        <f t="shared" si="4"/>
        <v>480920.16472766391</v>
      </c>
      <c r="T184" s="25">
        <f t="shared" si="18"/>
        <v>550899158.83458388</v>
      </c>
      <c r="U184" s="25">
        <f>S184/((1+'How much will I make'!$C$5/12)^(Calculations!$B$1*12-Calculations!$A184))</f>
        <v>138144.22305585336</v>
      </c>
      <c r="V184" s="25">
        <f t="shared" si="19"/>
        <v>94196750.265851989</v>
      </c>
      <c r="W184" s="25">
        <f t="shared" si="5"/>
        <v>1632224.1859366323</v>
      </c>
      <c r="X184" s="25">
        <f t="shared" si="20"/>
        <v>3204602253.1908569</v>
      </c>
      <c r="Y184" s="25">
        <f>W184/((1+'How much will I make'!$C$5/12)^(Calculations!$B$1*12-Calculations!$A184))</f>
        <v>468856.07748819445</v>
      </c>
      <c r="Z184" s="25">
        <f t="shared" si="21"/>
        <v>531258029.38222867</v>
      </c>
      <c r="AA184" s="25">
        <f t="shared" si="6"/>
        <v>5512310.2842528587</v>
      </c>
      <c r="AB184" s="25">
        <f t="shared" si="22"/>
        <v>18979234403.290592</v>
      </c>
      <c r="AC184" s="25">
        <f>AA184/((1+'How much will I make'!$C$5/12)^(Calculations!$B$1*12-Calculations!$A184))</f>
        <v>1583410.0487180052</v>
      </c>
      <c r="AD184" s="25">
        <f t="shared" si="23"/>
        <v>3066423934.9320049</v>
      </c>
      <c r="AE184" s="25">
        <f t="shared" si="7"/>
        <v>18524731.658891615</v>
      </c>
      <c r="AF184" s="25">
        <f t="shared" si="24"/>
        <v>113913999774.7383</v>
      </c>
      <c r="AG184" s="25">
        <f>AE184/((1+'How much will I make'!$C$5/12)^(Calculations!$B$1*12-Calculations!$A184))</f>
        <v>5321225.5380992675</v>
      </c>
      <c r="AH184" s="25">
        <f t="shared" si="25"/>
        <v>18019808578.647339</v>
      </c>
    </row>
    <row r="185" spans="1:34" ht="15.75" customHeight="1">
      <c r="A185" s="22">
        <f t="shared" si="8"/>
        <v>181</v>
      </c>
      <c r="B185" s="22">
        <f>B184*(1+'How much will I make'!$C$4)</f>
        <v>1039.4640897056843</v>
      </c>
      <c r="C185" s="25">
        <f t="shared" si="0"/>
        <v>3603.6611559058269</v>
      </c>
      <c r="D185" s="25">
        <f t="shared" si="10"/>
        <v>643304.22645526577</v>
      </c>
      <c r="E185" s="25">
        <f>$C185/((1+'How much will I make'!$C$5/12)^(Calculations!$B$1*12-Calculations!$A185))</f>
        <v>1039.4640897056843</v>
      </c>
      <c r="F185" s="25">
        <f t="shared" si="11"/>
        <v>130510.84561906989</v>
      </c>
      <c r="G185" s="25">
        <f t="shared" si="1"/>
        <v>12429.184843125602</v>
      </c>
      <c r="H185" s="25">
        <f t="shared" si="12"/>
        <v>3300645.5421701344</v>
      </c>
      <c r="I185" s="25">
        <f>G185/((1+'How much will I make'!$C$5/12)^(Calculations!$B$1*12-Calculations!$A185))</f>
        <v>3585.1570804790913</v>
      </c>
      <c r="J185" s="25">
        <f t="shared" si="13"/>
        <v>639007.1108978556</v>
      </c>
      <c r="K185" s="25">
        <f t="shared" si="2"/>
        <v>42650.489949484399</v>
      </c>
      <c r="L185" s="25">
        <f t="shared" si="14"/>
        <v>17595511.626219258</v>
      </c>
      <c r="M185" s="25">
        <f>K185/((1+'How much will I make'!$C$5/12)^(Calculations!$B$1*12-Calculations!$A185))</f>
        <v>12302.392148658715</v>
      </c>
      <c r="N185" s="25">
        <f t="shared" si="15"/>
        <v>3255630.0838287496</v>
      </c>
      <c r="O185" s="25">
        <f t="shared" si="3"/>
        <v>145615.06013307694</v>
      </c>
      <c r="P185" s="25">
        <f t="shared" si="16"/>
        <v>97076403.92393595</v>
      </c>
      <c r="Q185" s="25">
        <f>O185/((1+'How much will I make'!$C$5/12)^(Calculations!$B$1*12-Calculations!$A185))</f>
        <v>42002.180388300294</v>
      </c>
      <c r="R185" s="25">
        <f t="shared" si="17"/>
        <v>17228942.59122245</v>
      </c>
      <c r="S185" s="25">
        <f t="shared" si="4"/>
        <v>494660.74086274015</v>
      </c>
      <c r="T185" s="25">
        <f t="shared" si="18"/>
        <v>551393819.57544661</v>
      </c>
      <c r="U185" s="25">
        <f>S185/((1+'How much will I make'!$C$5/12)^(Calculations!$B$1*12-Calculations!$A185))</f>
        <v>142683.2475276886</v>
      </c>
      <c r="V185" s="25">
        <f t="shared" si="19"/>
        <v>94339433.513379678</v>
      </c>
      <c r="W185" s="25">
        <f t="shared" si="5"/>
        <v>1672034.5319350869</v>
      </c>
      <c r="X185" s="25">
        <f t="shared" si="20"/>
        <v>3206274287.7227921</v>
      </c>
      <c r="Y185" s="25">
        <f>W185/((1+'How much will I make'!$C$5/12)^(Calculations!$B$1*12-Calculations!$A185))</f>
        <v>482292.80653816106</v>
      </c>
      <c r="Z185" s="25">
        <f t="shared" si="21"/>
        <v>531740322.18876684</v>
      </c>
      <c r="AA185" s="25">
        <f t="shared" si="6"/>
        <v>5623895.5126790321</v>
      </c>
      <c r="AB185" s="25">
        <f t="shared" si="22"/>
        <v>18984858298.803272</v>
      </c>
      <c r="AC185" s="25">
        <f>AA185/((1+'How much will I make'!$C$5/12)^(Calculations!$B$1*12-Calculations!$A185))</f>
        <v>1622193.979061099</v>
      </c>
      <c r="AD185" s="25">
        <f t="shared" si="23"/>
        <v>3068046128.9110661</v>
      </c>
      <c r="AE185" s="25">
        <f t="shared" si="7"/>
        <v>18823517.653389864</v>
      </c>
      <c r="AF185" s="25">
        <f t="shared" si="24"/>
        <v>113932823292.39169</v>
      </c>
      <c r="AG185" s="25">
        <f>AE185/((1+'How much will I make'!$C$5/12)^(Calculations!$B$1*12-Calculations!$A185))</f>
        <v>5429581.138774273</v>
      </c>
      <c r="AH185" s="25">
        <f t="shared" si="25"/>
        <v>18025238159.786114</v>
      </c>
    </row>
    <row r="186" spans="1:34" ht="15.75" customHeight="1">
      <c r="A186" s="22">
        <f t="shared" si="8"/>
        <v>182</v>
      </c>
      <c r="B186" s="22">
        <f t="shared" ref="B186:B196" si="40">B185</f>
        <v>1039.4640897056843</v>
      </c>
      <c r="C186" s="25">
        <f t="shared" si="0"/>
        <v>3588.7082050514468</v>
      </c>
      <c r="D186" s="25">
        <f t="shared" si="10"/>
        <v>646892.93466031726</v>
      </c>
      <c r="E186" s="25">
        <f>$C186/((1+'How much will I make'!$C$5/12)^(Calculations!$B$1*12-Calculations!$A186))</f>
        <v>1039.4640897056843</v>
      </c>
      <c r="F186" s="25">
        <f t="shared" si="11"/>
        <v>131550.30970877557</v>
      </c>
      <c r="G186" s="25">
        <f t="shared" si="1"/>
        <v>12326.464307232003</v>
      </c>
      <c r="H186" s="25">
        <f t="shared" si="12"/>
        <v>3312972.0064773662</v>
      </c>
      <c r="I186" s="25">
        <f>G186/((1+'How much will I make'!$C$5/12)^(Calculations!$B$1*12-Calculations!$A186))</f>
        <v>3570.3423817994253</v>
      </c>
      <c r="J186" s="25">
        <f t="shared" si="13"/>
        <v>642577.45327965508</v>
      </c>
      <c r="K186" s="25">
        <f t="shared" si="2"/>
        <v>42123.940690848794</v>
      </c>
      <c r="L186" s="25">
        <f t="shared" si="14"/>
        <v>17637635.566910107</v>
      </c>
      <c r="M186" s="25">
        <f>K186/((1+'How much will I make'!$C$5/12)^(Calculations!$B$1*12-Calculations!$A186))</f>
        <v>12201.137892291154</v>
      </c>
      <c r="N186" s="25">
        <f t="shared" si="15"/>
        <v>3267831.2217210406</v>
      </c>
      <c r="O186" s="25">
        <f t="shared" si="3"/>
        <v>143227.92799974783</v>
      </c>
      <c r="P186" s="25">
        <f t="shared" si="16"/>
        <v>97219631.8519357</v>
      </c>
      <c r="Q186" s="25">
        <f>O186/((1+'How much will I make'!$C$5/12)^(Calculations!$B$1*12-Calculations!$A186))</f>
        <v>41485.760137624471</v>
      </c>
      <c r="R186" s="25">
        <f t="shared" si="17"/>
        <v>17270428.351360075</v>
      </c>
      <c r="S186" s="25">
        <f t="shared" si="4"/>
        <v>484565.62370227621</v>
      </c>
      <c r="T186" s="25">
        <f t="shared" si="18"/>
        <v>551878385.19914889</v>
      </c>
      <c r="U186" s="25">
        <f>S186/((1+'How much will I make'!$C$5/12)^(Calculations!$B$1*12-Calculations!$A186))</f>
        <v>140353.72511907329</v>
      </c>
      <c r="V186" s="25">
        <f t="shared" si="19"/>
        <v>94479787.238498747</v>
      </c>
      <c r="W186" s="25">
        <f t="shared" si="5"/>
        <v>1631253.2018878898</v>
      </c>
      <c r="X186" s="25">
        <f t="shared" si="20"/>
        <v>3207905540.9246802</v>
      </c>
      <c r="Y186" s="25">
        <f>W186/((1+'How much will I make'!$C$5/12)^(Calculations!$B$1*12-Calculations!$A186))</f>
        <v>472490.10721827968</v>
      </c>
      <c r="Z186" s="25">
        <f t="shared" si="21"/>
        <v>532212812.2959851</v>
      </c>
      <c r="AA186" s="25">
        <f t="shared" si="6"/>
        <v>5464513.8584735533</v>
      </c>
      <c r="AB186" s="25">
        <f t="shared" si="22"/>
        <v>18990322812.661747</v>
      </c>
      <c r="AC186" s="25">
        <f>AA186/((1+'How much will I make'!$C$5/12)^(Calculations!$B$1*12-Calculations!$A186))</f>
        <v>1582788.4573025294</v>
      </c>
      <c r="AD186" s="25">
        <f t="shared" si="23"/>
        <v>3069628917.3683686</v>
      </c>
      <c r="AE186" s="25">
        <f t="shared" si="7"/>
        <v>18216307.406506319</v>
      </c>
      <c r="AF186" s="25">
        <f t="shared" si="24"/>
        <v>113951039599.7982</v>
      </c>
      <c r="AG186" s="25">
        <f>AE186/((1+'How much will I make'!$C$5/12)^(Calculations!$B$1*12-Calculations!$A186))</f>
        <v>5276326.8324379008</v>
      </c>
      <c r="AH186" s="25">
        <f t="shared" si="25"/>
        <v>18030514486.618553</v>
      </c>
    </row>
    <row r="187" spans="1:34" ht="15.75" customHeight="1">
      <c r="A187" s="22">
        <f t="shared" si="8"/>
        <v>183</v>
      </c>
      <c r="B187" s="22">
        <f t="shared" si="40"/>
        <v>1039.4640897056843</v>
      </c>
      <c r="C187" s="25">
        <f t="shared" si="0"/>
        <v>3573.8172996362946</v>
      </c>
      <c r="D187" s="25">
        <f t="shared" si="10"/>
        <v>650466.75195995357</v>
      </c>
      <c r="E187" s="25">
        <f>$C187/((1+'How much will I make'!$C$5/12)^(Calculations!$B$1*12-Calculations!$A187))</f>
        <v>1039.4640897056843</v>
      </c>
      <c r="F187" s="25">
        <f t="shared" si="11"/>
        <v>132589.77379848127</v>
      </c>
      <c r="G187" s="25">
        <f t="shared" si="1"/>
        <v>12224.59270138711</v>
      </c>
      <c r="H187" s="25">
        <f t="shared" si="12"/>
        <v>3325196.5991787533</v>
      </c>
      <c r="I187" s="25">
        <f>G187/((1+'How much will I make'!$C$5/12)^(Calculations!$B$1*12-Calculations!$A187))</f>
        <v>3555.5889008828995</v>
      </c>
      <c r="J187" s="25">
        <f t="shared" si="13"/>
        <v>646133.04218053794</v>
      </c>
      <c r="K187" s="25">
        <f t="shared" si="2"/>
        <v>41603.892040344486</v>
      </c>
      <c r="L187" s="25">
        <f t="shared" si="14"/>
        <v>17679239.458950453</v>
      </c>
      <c r="M187" s="25">
        <f>K187/((1+'How much will I make'!$C$5/12)^(Calculations!$B$1*12-Calculations!$A187))</f>
        <v>12100.717004288759</v>
      </c>
      <c r="N187" s="25">
        <f t="shared" si="15"/>
        <v>3279931.9387253295</v>
      </c>
      <c r="O187" s="25">
        <f t="shared" si="3"/>
        <v>140879.92918007984</v>
      </c>
      <c r="P187" s="25">
        <f t="shared" si="16"/>
        <v>97360511.781115785</v>
      </c>
      <c r="Q187" s="25">
        <f>O187/((1+'How much will I make'!$C$5/12)^(Calculations!$B$1*12-Calculations!$A187))</f>
        <v>40975.68931626025</v>
      </c>
      <c r="R187" s="25">
        <f t="shared" si="17"/>
        <v>17311404.040676337</v>
      </c>
      <c r="S187" s="25">
        <f t="shared" si="4"/>
        <v>474676.52934100525</v>
      </c>
      <c r="T187" s="25">
        <f t="shared" si="18"/>
        <v>552353061.72848988</v>
      </c>
      <c r="U187" s="25">
        <f>S187/((1+'How much will I make'!$C$5/12)^(Calculations!$B$1*12-Calculations!$A187))</f>
        <v>138062.23572937417</v>
      </c>
      <c r="V187" s="25">
        <f t="shared" si="19"/>
        <v>94617849.474228129</v>
      </c>
      <c r="W187" s="25">
        <f t="shared" si="5"/>
        <v>1591466.5384272097</v>
      </c>
      <c r="X187" s="25">
        <f t="shared" si="20"/>
        <v>3209497007.4631076</v>
      </c>
      <c r="Y187" s="25">
        <f>W187/((1+'How much will I make'!$C$5/12)^(Calculations!$B$1*12-Calculations!$A187))</f>
        <v>462886.64975449373</v>
      </c>
      <c r="Z187" s="25">
        <f t="shared" si="21"/>
        <v>532675698.94573957</v>
      </c>
      <c r="AA187" s="25">
        <f t="shared" si="6"/>
        <v>5309649.0932536544</v>
      </c>
      <c r="AB187" s="25">
        <f t="shared" si="22"/>
        <v>18995632461.755001</v>
      </c>
      <c r="AC187" s="25">
        <f>AA187/((1+'How much will I make'!$C$5/12)^(Calculations!$B$1*12-Calculations!$A187))</f>
        <v>1544340.1546959905</v>
      </c>
      <c r="AD187" s="25">
        <f t="shared" si="23"/>
        <v>3071173257.5230646</v>
      </c>
      <c r="AE187" s="25">
        <f t="shared" si="7"/>
        <v>17628684.586941596</v>
      </c>
      <c r="AF187" s="25">
        <f t="shared" si="24"/>
        <v>113968668284.38515</v>
      </c>
      <c r="AG187" s="25">
        <f>AE187/((1+'How much will I make'!$C$5/12)^(Calculations!$B$1*12-Calculations!$A187))</f>
        <v>5127398.2524900576</v>
      </c>
      <c r="AH187" s="25">
        <f t="shared" si="25"/>
        <v>18035641884.871044</v>
      </c>
    </row>
    <row r="188" spans="1:34" ht="15.75" customHeight="1">
      <c r="A188" s="22">
        <f t="shared" si="8"/>
        <v>184</v>
      </c>
      <c r="B188" s="22">
        <f t="shared" si="40"/>
        <v>1039.4640897056843</v>
      </c>
      <c r="C188" s="25">
        <f t="shared" si="0"/>
        <v>3558.988182210418</v>
      </c>
      <c r="D188" s="25">
        <f t="shared" si="10"/>
        <v>654025.74014216394</v>
      </c>
      <c r="E188" s="25">
        <f>$C188/((1+'How much will I make'!$C$5/12)^(Calculations!$B$1*12-Calculations!$A188))</f>
        <v>1039.4640897056843</v>
      </c>
      <c r="F188" s="25">
        <f t="shared" si="11"/>
        <v>133629.23788818697</v>
      </c>
      <c r="G188" s="25">
        <f t="shared" si="1"/>
        <v>12123.563009640111</v>
      </c>
      <c r="H188" s="25">
        <f t="shared" si="12"/>
        <v>3337320.1621883935</v>
      </c>
      <c r="I188" s="25">
        <f>G188/((1+'How much will I make'!$C$5/12)^(Calculations!$B$1*12-Calculations!$A188))</f>
        <v>3540.8963847635491</v>
      </c>
      <c r="J188" s="25">
        <f t="shared" si="13"/>
        <v>649673.93856530148</v>
      </c>
      <c r="K188" s="25">
        <f t="shared" si="2"/>
        <v>41090.263743550116</v>
      </c>
      <c r="L188" s="25">
        <f t="shared" si="14"/>
        <v>17720329.722694002</v>
      </c>
      <c r="M188" s="25">
        <f>K188/((1+'How much will I make'!$C$5/12)^(Calculations!$B$1*12-Calculations!$A188))</f>
        <v>12001.122625652639</v>
      </c>
      <c r="N188" s="25">
        <f t="shared" si="15"/>
        <v>3291933.0613509822</v>
      </c>
      <c r="O188" s="25">
        <f t="shared" si="3"/>
        <v>138570.42214434082</v>
      </c>
      <c r="P188" s="25">
        <f t="shared" si="16"/>
        <v>97499082.203260124</v>
      </c>
      <c r="Q188" s="25">
        <f>O188/((1+'How much will I make'!$C$5/12)^(Calculations!$B$1*12-Calculations!$A188))</f>
        <v>40471.88985745376</v>
      </c>
      <c r="R188" s="25">
        <f t="shared" si="17"/>
        <v>17351875.930533789</v>
      </c>
      <c r="S188" s="25">
        <f t="shared" si="4"/>
        <v>464989.25323200517</v>
      </c>
      <c r="T188" s="25">
        <f t="shared" si="18"/>
        <v>552818050.98172188</v>
      </c>
      <c r="U188" s="25">
        <f>S188/((1+'How much will I make'!$C$5/12)^(Calculations!$B$1*12-Calculations!$A188))</f>
        <v>135808.15841134358</v>
      </c>
      <c r="V188" s="25">
        <f t="shared" si="19"/>
        <v>94753657.632639468</v>
      </c>
      <c r="W188" s="25">
        <f t="shared" si="5"/>
        <v>1552650.2813923997</v>
      </c>
      <c r="X188" s="25">
        <f t="shared" si="20"/>
        <v>3211049657.7445002</v>
      </c>
      <c r="Y188" s="25">
        <f>W188/((1+'How much will I make'!$C$5/12)^(Calculations!$B$1*12-Calculations!$A188))</f>
        <v>453478.38451558119</v>
      </c>
      <c r="Z188" s="25">
        <f t="shared" si="21"/>
        <v>533129177.33025515</v>
      </c>
      <c r="AA188" s="25">
        <f t="shared" si="6"/>
        <v>5159173.2080197465</v>
      </c>
      <c r="AB188" s="25">
        <f t="shared" si="22"/>
        <v>19000791634.96302</v>
      </c>
      <c r="AC188" s="25">
        <f>AA188/((1+'How much will I make'!$C$5/12)^(Calculations!$B$1*12-Calculations!$A188))</f>
        <v>1506825.8189543877</v>
      </c>
      <c r="AD188" s="25">
        <f t="shared" si="23"/>
        <v>3072680083.3420191</v>
      </c>
      <c r="AE188" s="25">
        <f t="shared" si="7"/>
        <v>17060017.342201542</v>
      </c>
      <c r="AF188" s="25">
        <f t="shared" si="24"/>
        <v>113985728301.72736</v>
      </c>
      <c r="AG188" s="25">
        <f>AE188/((1+'How much will I make'!$C$5/12)^(Calculations!$B$1*12-Calculations!$A188))</f>
        <v>4982673.3018149342</v>
      </c>
      <c r="AH188" s="25">
        <f t="shared" si="25"/>
        <v>18040624558.172859</v>
      </c>
    </row>
    <row r="189" spans="1:34" ht="15.75" customHeight="1">
      <c r="A189" s="22">
        <f t="shared" si="8"/>
        <v>185</v>
      </c>
      <c r="B189" s="22">
        <f t="shared" si="40"/>
        <v>1039.4640897056843</v>
      </c>
      <c r="C189" s="25">
        <f t="shared" si="0"/>
        <v>3544.2205963921178</v>
      </c>
      <c r="D189" s="25">
        <f t="shared" si="10"/>
        <v>657569.96073855611</v>
      </c>
      <c r="E189" s="25">
        <f>$C189/((1+'How much will I make'!$C$5/12)^(Calculations!$B$1*12-Calculations!$A189))</f>
        <v>1039.4640897056843</v>
      </c>
      <c r="F189" s="25">
        <f t="shared" si="11"/>
        <v>134668.70197789266</v>
      </c>
      <c r="G189" s="25">
        <f t="shared" si="1"/>
        <v>12023.368274023249</v>
      </c>
      <c r="H189" s="25">
        <f t="shared" si="12"/>
        <v>3349343.5304624168</v>
      </c>
      <c r="I189" s="25">
        <f>G189/((1+'How much will I make'!$C$5/12)^(Calculations!$B$1*12-Calculations!$A189))</f>
        <v>3526.2645815207234</v>
      </c>
      <c r="J189" s="25">
        <f t="shared" si="13"/>
        <v>653200.20314682217</v>
      </c>
      <c r="K189" s="25">
        <f t="shared" si="2"/>
        <v>40582.976536839611</v>
      </c>
      <c r="L189" s="25">
        <f t="shared" si="14"/>
        <v>17760912.699230842</v>
      </c>
      <c r="M189" s="25">
        <f>K189/((1+'How much will I make'!$C$5/12)^(Calculations!$B$1*12-Calculations!$A189))</f>
        <v>11902.347953836563</v>
      </c>
      <c r="N189" s="25">
        <f t="shared" si="15"/>
        <v>3303835.4093048186</v>
      </c>
      <c r="O189" s="25">
        <f t="shared" si="3"/>
        <v>136298.77587967951</v>
      </c>
      <c r="P189" s="25">
        <f t="shared" si="16"/>
        <v>97635380.979139805</v>
      </c>
      <c r="Q189" s="25">
        <f>O189/((1+'How much will I make'!$C$5/12)^(Calculations!$B$1*12-Calculations!$A189))</f>
        <v>39974.284654288349</v>
      </c>
      <c r="R189" s="25">
        <f t="shared" si="17"/>
        <v>17391850.215188079</v>
      </c>
      <c r="S189" s="25">
        <f t="shared" si="4"/>
        <v>455499.67663543369</v>
      </c>
      <c r="T189" s="25">
        <f t="shared" si="18"/>
        <v>553273550.65835726</v>
      </c>
      <c r="U189" s="25">
        <f>S189/((1+'How much will I make'!$C$5/12)^(Calculations!$B$1*12-Calculations!$A189))</f>
        <v>133590.88235564818</v>
      </c>
      <c r="V189" s="25">
        <f t="shared" si="19"/>
        <v>94887248.514995113</v>
      </c>
      <c r="W189" s="25">
        <f t="shared" si="5"/>
        <v>1514780.7623340485</v>
      </c>
      <c r="X189" s="25">
        <f t="shared" si="20"/>
        <v>3212564438.506834</v>
      </c>
      <c r="Y189" s="25">
        <f>W189/((1+'How much will I make'!$C$5/12)^(Calculations!$B$1*12-Calculations!$A189))</f>
        <v>444261.34417989862</v>
      </c>
      <c r="Z189" s="25">
        <f t="shared" si="21"/>
        <v>533573438.67443508</v>
      </c>
      <c r="AA189" s="25">
        <f t="shared" si="6"/>
        <v>5012961.8215576494</v>
      </c>
      <c r="AB189" s="25">
        <f t="shared" si="22"/>
        <v>19005804596.784576</v>
      </c>
      <c r="AC189" s="25">
        <f>AA189/((1+'How much will I make'!$C$5/12)^(Calculations!$B$1*12-Calculations!$A189))</f>
        <v>1470222.762623512</v>
      </c>
      <c r="AD189" s="25">
        <f t="shared" si="23"/>
        <v>3074150306.1046424</v>
      </c>
      <c r="AE189" s="25">
        <f t="shared" si="7"/>
        <v>16509694.202130523</v>
      </c>
      <c r="AF189" s="25">
        <f t="shared" si="24"/>
        <v>114002237995.92949</v>
      </c>
      <c r="AG189" s="25">
        <f>AE189/((1+'How much will I make'!$C$5/12)^(Calculations!$B$1*12-Calculations!$A189))</f>
        <v>4842033.3295862852</v>
      </c>
      <c r="AH189" s="25">
        <f t="shared" si="25"/>
        <v>18045466591.502445</v>
      </c>
    </row>
    <row r="190" spans="1:34" ht="15.75" customHeight="1">
      <c r="A190" s="22">
        <f t="shared" si="8"/>
        <v>186</v>
      </c>
      <c r="B190" s="22">
        <f t="shared" si="40"/>
        <v>1039.4640897056843</v>
      </c>
      <c r="C190" s="25">
        <f t="shared" si="0"/>
        <v>3529.5142868635194</v>
      </c>
      <c r="D190" s="25">
        <f t="shared" si="10"/>
        <v>661099.47502541961</v>
      </c>
      <c r="E190" s="25">
        <f>$C190/((1+'How much will I make'!$C$5/12)^(Calculations!$B$1*12-Calculations!$A190))</f>
        <v>1039.4640897056843</v>
      </c>
      <c r="F190" s="25">
        <f t="shared" si="11"/>
        <v>135708.16606759836</v>
      </c>
      <c r="G190" s="25">
        <f t="shared" si="1"/>
        <v>11924.001594072646</v>
      </c>
      <c r="H190" s="25">
        <f t="shared" si="12"/>
        <v>3361267.5320564895</v>
      </c>
      <c r="I190" s="25">
        <f>G190/((1+'How much will I make'!$C$5/12)^(Calculations!$B$1*12-Calculations!$A190))</f>
        <v>3511.6932402747711</v>
      </c>
      <c r="J190" s="25">
        <f t="shared" si="13"/>
        <v>656711.89638709696</v>
      </c>
      <c r="K190" s="25">
        <f t="shared" si="2"/>
        <v>40081.952135150241</v>
      </c>
      <c r="L190" s="25">
        <f t="shared" si="14"/>
        <v>17800994.651365992</v>
      </c>
      <c r="M190" s="25">
        <f>K190/((1+'How much will I make'!$C$5/12)^(Calculations!$B$1*12-Calculations!$A190))</f>
        <v>11804.386242282357</v>
      </c>
      <c r="N190" s="25">
        <f t="shared" si="15"/>
        <v>3315639.7955471012</v>
      </c>
      <c r="O190" s="25">
        <f t="shared" si="3"/>
        <v>134064.36971771761</v>
      </c>
      <c r="P190" s="25">
        <f t="shared" si="16"/>
        <v>97769445.348857522</v>
      </c>
      <c r="Q190" s="25">
        <f>O190/((1+'How much will I make'!$C$5/12)^(Calculations!$B$1*12-Calculations!$A190))</f>
        <v>39482.797547883187</v>
      </c>
      <c r="R190" s="25">
        <f t="shared" si="17"/>
        <v>17431333.012735963</v>
      </c>
      <c r="S190" s="25">
        <f t="shared" si="4"/>
        <v>446203.76486736373</v>
      </c>
      <c r="T190" s="25">
        <f t="shared" si="18"/>
        <v>553719754.42322457</v>
      </c>
      <c r="U190" s="25">
        <f>S190/((1+'How much will I make'!$C$5/12)^(Calculations!$B$1*12-Calculations!$A190))</f>
        <v>131409.80672535193</v>
      </c>
      <c r="V190" s="25">
        <f t="shared" si="19"/>
        <v>95018658.321720466</v>
      </c>
      <c r="W190" s="25">
        <f t="shared" si="5"/>
        <v>1477834.8900819987</v>
      </c>
      <c r="X190" s="25">
        <f t="shared" si="20"/>
        <v>3214042273.3969159</v>
      </c>
      <c r="Y190" s="25">
        <f>W190/((1+'How much will I make'!$C$5/12)^(Calculations!$B$1*12-Calculations!$A190))</f>
        <v>435231.64206242107</v>
      </c>
      <c r="Z190" s="25">
        <f t="shared" si="21"/>
        <v>534008670.3164975</v>
      </c>
      <c r="AA190" s="25">
        <f t="shared" si="6"/>
        <v>4870894.0776268663</v>
      </c>
      <c r="AB190" s="25">
        <f t="shared" si="22"/>
        <v>19010675490.862202</v>
      </c>
      <c r="AC190" s="25">
        <f>AA190/((1+'How much will I make'!$C$5/12)^(Calculations!$B$1*12-Calculations!$A190))</f>
        <v>1434508.8493614027</v>
      </c>
      <c r="AD190" s="25">
        <f t="shared" si="23"/>
        <v>3075584814.9540038</v>
      </c>
      <c r="AE190" s="25">
        <f t="shared" si="7"/>
        <v>15977123.421416635</v>
      </c>
      <c r="AF190" s="25">
        <f t="shared" si="24"/>
        <v>114018215119.35091</v>
      </c>
      <c r="AG190" s="25">
        <f>AE190/((1+'How much will I make'!$C$5/12)^(Calculations!$B$1*12-Calculations!$A190))</f>
        <v>4705363.033993125</v>
      </c>
      <c r="AH190" s="25">
        <f t="shared" si="25"/>
        <v>18050171954.536438</v>
      </c>
    </row>
    <row r="191" spans="1:34" ht="15.75" customHeight="1">
      <c r="A191" s="22">
        <f t="shared" si="8"/>
        <v>187</v>
      </c>
      <c r="B191" s="22">
        <f t="shared" si="40"/>
        <v>1039.4640897056843</v>
      </c>
      <c r="C191" s="25">
        <f t="shared" si="0"/>
        <v>3514.8689993661601</v>
      </c>
      <c r="D191" s="25">
        <f t="shared" si="10"/>
        <v>664614.34402478579</v>
      </c>
      <c r="E191" s="25">
        <f>$C191/((1+'How much will I make'!$C$5/12)^(Calculations!$B$1*12-Calculations!$A191))</f>
        <v>1039.4640897056843</v>
      </c>
      <c r="F191" s="25">
        <f t="shared" si="11"/>
        <v>136747.63015730405</v>
      </c>
      <c r="G191" s="25">
        <f t="shared" si="1"/>
        <v>11825.456126353036</v>
      </c>
      <c r="H191" s="25">
        <f t="shared" si="12"/>
        <v>3373092.9881828427</v>
      </c>
      <c r="I191" s="25">
        <f>G191/((1+'How much will I make'!$C$5/12)^(Calculations!$B$1*12-Calculations!$A191))</f>
        <v>3497.1821111827267</v>
      </c>
      <c r="J191" s="25">
        <f t="shared" si="13"/>
        <v>660209.07849827968</v>
      </c>
      <c r="K191" s="25">
        <f t="shared" si="2"/>
        <v>39587.113219901468</v>
      </c>
      <c r="L191" s="25">
        <f t="shared" si="14"/>
        <v>17840581.764585894</v>
      </c>
      <c r="M191" s="25">
        <f>K191/((1+'How much will I make'!$C$5/12)^(Calculations!$B$1*12-Calculations!$A191))</f>
        <v>11707.230799959045</v>
      </c>
      <c r="N191" s="25">
        <f t="shared" si="15"/>
        <v>3327347.0263470602</v>
      </c>
      <c r="O191" s="25">
        <f t="shared" si="3"/>
        <v>131866.59316496813</v>
      </c>
      <c r="P191" s="25">
        <f t="shared" si="16"/>
        <v>97901311.942022488</v>
      </c>
      <c r="Q191" s="25">
        <f>O191/((1+'How much will I make'!$C$5/12)^(Calculations!$B$1*12-Calculations!$A191))</f>
        <v>38997.353315737077</v>
      </c>
      <c r="R191" s="25">
        <f t="shared" si="17"/>
        <v>17470330.3660517</v>
      </c>
      <c r="S191" s="25">
        <f t="shared" si="4"/>
        <v>437097.56558435637</v>
      </c>
      <c r="T191" s="25">
        <f t="shared" si="18"/>
        <v>554156851.98880887</v>
      </c>
      <c r="U191" s="25">
        <f>S191/((1+'How much will I make'!$C$5/12)^(Calculations!$B$1*12-Calculations!$A191))</f>
        <v>129264.34049310131</v>
      </c>
      <c r="V191" s="25">
        <f t="shared" si="19"/>
        <v>95147922.662213564</v>
      </c>
      <c r="W191" s="25">
        <f t="shared" si="5"/>
        <v>1441790.136665365</v>
      </c>
      <c r="X191" s="25">
        <f t="shared" si="20"/>
        <v>3215484063.5335813</v>
      </c>
      <c r="Y191" s="25">
        <f>W191/((1+'How much will I make'!$C$5/12)^(Calculations!$B$1*12-Calculations!$A191))</f>
        <v>426385.47047578666</v>
      </c>
      <c r="Z191" s="25">
        <f t="shared" si="21"/>
        <v>534435055.7869733</v>
      </c>
      <c r="AA191" s="25">
        <f t="shared" si="6"/>
        <v>4732852.545062542</v>
      </c>
      <c r="AB191" s="25">
        <f t="shared" si="22"/>
        <v>19015408343.407265</v>
      </c>
      <c r="AC191" s="25">
        <f>AA191/((1+'How much will I make'!$C$5/12)^(Calculations!$B$1*12-Calculations!$A191))</f>
        <v>1399662.4805510042</v>
      </c>
      <c r="AD191" s="25">
        <f t="shared" si="23"/>
        <v>3076984477.4345546</v>
      </c>
      <c r="AE191" s="25">
        <f t="shared" si="7"/>
        <v>15461732.34330642</v>
      </c>
      <c r="AF191" s="25">
        <f t="shared" si="24"/>
        <v>114033676851.69421</v>
      </c>
      <c r="AG191" s="25">
        <f>AE191/((1+'How much will I make'!$C$5/12)^(Calculations!$B$1*12-Calculations!$A191))</f>
        <v>4572550.3677110607</v>
      </c>
      <c r="AH191" s="25">
        <f t="shared" si="25"/>
        <v>18054744504.904148</v>
      </c>
    </row>
    <row r="192" spans="1:34" ht="15.75" customHeight="1">
      <c r="A192" s="22">
        <f t="shared" si="8"/>
        <v>188</v>
      </c>
      <c r="B192" s="22">
        <f t="shared" si="40"/>
        <v>1039.4640897056843</v>
      </c>
      <c r="C192" s="25">
        <f t="shared" si="0"/>
        <v>3500.2844806965909</v>
      </c>
      <c r="D192" s="25">
        <f t="shared" si="10"/>
        <v>668114.62850548234</v>
      </c>
      <c r="E192" s="25">
        <f>$C192/((1+'How much will I make'!$C$5/12)^(Calculations!$B$1*12-Calculations!$A192))</f>
        <v>1039.4640897056843</v>
      </c>
      <c r="F192" s="25">
        <f t="shared" si="11"/>
        <v>137787.09424700975</v>
      </c>
      <c r="G192" s="25">
        <f t="shared" si="1"/>
        <v>11727.725083986483</v>
      </c>
      <c r="H192" s="25">
        <f t="shared" si="12"/>
        <v>3384820.713266829</v>
      </c>
      <c r="I192" s="25">
        <f>G192/((1+'How much will I make'!$C$5/12)^(Calculations!$B$1*12-Calculations!$A192))</f>
        <v>3482.7309454340379</v>
      </c>
      <c r="J192" s="25">
        <f t="shared" si="13"/>
        <v>663691.80944371375</v>
      </c>
      <c r="K192" s="25">
        <f t="shared" si="2"/>
        <v>39098.383427063185</v>
      </c>
      <c r="L192" s="25">
        <f t="shared" si="14"/>
        <v>17879680.148012958</v>
      </c>
      <c r="M192" s="25">
        <f>K192/((1+'How much will I make'!$C$5/12)^(Calculations!$B$1*12-Calculations!$A192))</f>
        <v>11610.874990905886</v>
      </c>
      <c r="N192" s="25">
        <f t="shared" si="15"/>
        <v>3338957.9013379663</v>
      </c>
      <c r="O192" s="25">
        <f t="shared" si="3"/>
        <v>129704.84573603421</v>
      </c>
      <c r="P192" s="25">
        <f t="shared" si="16"/>
        <v>98031016.787758529</v>
      </c>
      <c r="Q192" s="25">
        <f>O192/((1+'How much will I make'!$C$5/12)^(Calculations!$B$1*12-Calculations!$A192))</f>
        <v>38517.877660215723</v>
      </c>
      <c r="R192" s="25">
        <f t="shared" si="17"/>
        <v>17508848.243711915</v>
      </c>
      <c r="S192" s="25">
        <f t="shared" si="4"/>
        <v>428177.20710304298</v>
      </c>
      <c r="T192" s="25">
        <f t="shared" si="18"/>
        <v>554585029.19591188</v>
      </c>
      <c r="U192" s="25">
        <f>S192/((1+'How much will I make'!$C$5/12)^(Calculations!$B$1*12-Calculations!$A192))</f>
        <v>127153.90228096905</v>
      </c>
      <c r="V192" s="25">
        <f t="shared" si="19"/>
        <v>95275076.564494535</v>
      </c>
      <c r="W192" s="25">
        <f t="shared" si="5"/>
        <v>1406624.5235759658</v>
      </c>
      <c r="X192" s="25">
        <f t="shared" si="20"/>
        <v>3216890688.057157</v>
      </c>
      <c r="Y192" s="25">
        <f>W192/((1+'How much will I make'!$C$5/12)^(Calculations!$B$1*12-Calculations!$A192))</f>
        <v>417719.0991246528</v>
      </c>
      <c r="Z192" s="25">
        <f t="shared" si="21"/>
        <v>534852774.88609797</v>
      </c>
      <c r="AA192" s="25">
        <f t="shared" si="6"/>
        <v>4598723.1207085438</v>
      </c>
      <c r="AB192" s="25">
        <f t="shared" si="22"/>
        <v>19020007066.527973</v>
      </c>
      <c r="AC192" s="25">
        <f>AA192/((1+'How much will I make'!$C$5/12)^(Calculations!$B$1*12-Calculations!$A192))</f>
        <v>1365662.5822380248</v>
      </c>
      <c r="AD192" s="25">
        <f t="shared" si="23"/>
        <v>3078350140.0167928</v>
      </c>
      <c r="AE192" s="25">
        <f t="shared" si="7"/>
        <v>14962966.783844924</v>
      </c>
      <c r="AF192" s="25">
        <f t="shared" si="24"/>
        <v>114048639818.47806</v>
      </c>
      <c r="AG192" s="25">
        <f>AE192/((1+'How much will I make'!$C$5/12)^(Calculations!$B$1*12-Calculations!$A192))</f>
        <v>4443486.4460417973</v>
      </c>
      <c r="AH192" s="25">
        <f t="shared" si="25"/>
        <v>18059187991.350189</v>
      </c>
    </row>
    <row r="193" spans="1:34" ht="15.75" customHeight="1">
      <c r="A193" s="22">
        <f t="shared" si="8"/>
        <v>189</v>
      </c>
      <c r="B193" s="22">
        <f t="shared" si="40"/>
        <v>1039.4640897056843</v>
      </c>
      <c r="C193" s="25">
        <f t="shared" si="0"/>
        <v>3485.760478702</v>
      </c>
      <c r="D193" s="25">
        <f t="shared" si="10"/>
        <v>671600.38898418436</v>
      </c>
      <c r="E193" s="25">
        <f>$C193/((1+'How much will I make'!$C$5/12)^(Calculations!$B$1*12-Calculations!$A193))</f>
        <v>1039.4640897056843</v>
      </c>
      <c r="F193" s="25">
        <f t="shared" si="11"/>
        <v>138826.55833671545</v>
      </c>
      <c r="G193" s="25">
        <f t="shared" si="1"/>
        <v>11630.801736184942</v>
      </c>
      <c r="H193" s="25">
        <f t="shared" si="12"/>
        <v>3396451.5150030139</v>
      </c>
      <c r="I193" s="25">
        <f>G193/((1+'How much will I make'!$C$5/12)^(Calculations!$B$1*12-Calculations!$A193))</f>
        <v>3468.3394952462932</v>
      </c>
      <c r="J193" s="25">
        <f t="shared" si="13"/>
        <v>667160.14893896005</v>
      </c>
      <c r="K193" s="25">
        <f t="shared" si="2"/>
        <v>38615.687335371047</v>
      </c>
      <c r="L193" s="25">
        <f t="shared" si="14"/>
        <v>17918295.83534833</v>
      </c>
      <c r="M193" s="25">
        <f>K193/((1+'How much will I make'!$C$5/12)^(Calculations!$B$1*12-Calculations!$A193))</f>
        <v>11515.312233779086</v>
      </c>
      <c r="N193" s="25">
        <f t="shared" si="15"/>
        <v>3350473.2135717454</v>
      </c>
      <c r="O193" s="25">
        <f t="shared" si="3"/>
        <v>127578.53678954183</v>
      </c>
      <c r="P193" s="25">
        <f t="shared" si="16"/>
        <v>98158595.324548066</v>
      </c>
      <c r="Q193" s="25">
        <f>O193/((1+'How much will I make'!$C$5/12)^(Calculations!$B$1*12-Calculations!$A193))</f>
        <v>38044.297197180269</v>
      </c>
      <c r="R193" s="25">
        <f t="shared" si="17"/>
        <v>17546892.540909097</v>
      </c>
      <c r="S193" s="25">
        <f t="shared" si="4"/>
        <v>419438.89675400133</v>
      </c>
      <c r="T193" s="25">
        <f t="shared" si="18"/>
        <v>555004468.09266591</v>
      </c>
      <c r="U193" s="25">
        <f>S193/((1+'How much will I make'!$C$5/12)^(Calculations!$B$1*12-Calculations!$A193))</f>
        <v>125077.9202029124</v>
      </c>
      <c r="V193" s="25">
        <f t="shared" si="19"/>
        <v>95400154.484697446</v>
      </c>
      <c r="W193" s="25">
        <f t="shared" si="5"/>
        <v>1372316.6083667958</v>
      </c>
      <c r="X193" s="25">
        <f t="shared" si="20"/>
        <v>3218263004.665524</v>
      </c>
      <c r="Y193" s="25">
        <f>W193/((1+'How much will I make'!$C$5/12)^(Calculations!$B$1*12-Calculations!$A193))</f>
        <v>409228.87353268819</v>
      </c>
      <c r="Z193" s="25">
        <f t="shared" si="21"/>
        <v>535262003.75963068</v>
      </c>
      <c r="AA193" s="25">
        <f t="shared" si="6"/>
        <v>4468394.9351014206</v>
      </c>
      <c r="AB193" s="25">
        <f t="shared" si="22"/>
        <v>19024475461.463074</v>
      </c>
      <c r="AC193" s="25">
        <f>AA193/((1+'How much will I make'!$C$5/12)^(Calculations!$B$1*12-Calculations!$A193))</f>
        <v>1332488.5923860893</v>
      </c>
      <c r="AD193" s="25">
        <f t="shared" si="23"/>
        <v>3079682628.609179</v>
      </c>
      <c r="AE193" s="25">
        <f t="shared" si="7"/>
        <v>14480290.435978953</v>
      </c>
      <c r="AF193" s="25">
        <f t="shared" si="24"/>
        <v>114063120108.91403</v>
      </c>
      <c r="AG193" s="25">
        <f>AE193/((1+'How much will I make'!$C$5/12)^(Calculations!$B$1*12-Calculations!$A193))</f>
        <v>4318065.4576454544</v>
      </c>
      <c r="AH193" s="25">
        <f t="shared" si="25"/>
        <v>18063506056.807835</v>
      </c>
    </row>
    <row r="194" spans="1:34" ht="15.75" customHeight="1">
      <c r="A194" s="22">
        <f t="shared" si="8"/>
        <v>190</v>
      </c>
      <c r="B194" s="22">
        <f t="shared" si="40"/>
        <v>1039.4640897056843</v>
      </c>
      <c r="C194" s="25">
        <f t="shared" si="0"/>
        <v>3471.2967422758502</v>
      </c>
      <c r="D194" s="25">
        <f t="shared" si="10"/>
        <v>675071.68572646019</v>
      </c>
      <c r="E194" s="25">
        <f>$C194/((1+'How much will I make'!$C$5/12)^(Calculations!$B$1*12-Calculations!$A194))</f>
        <v>1039.4640897056843</v>
      </c>
      <c r="F194" s="25">
        <f t="shared" si="11"/>
        <v>139866.02242642114</v>
      </c>
      <c r="G194" s="25">
        <f t="shared" si="1"/>
        <v>11534.679407786722</v>
      </c>
      <c r="H194" s="25">
        <f t="shared" si="12"/>
        <v>3407986.1944108005</v>
      </c>
      <c r="I194" s="25">
        <f>G194/((1+'How much will I make'!$C$5/12)^(Calculations!$B$1*12-Calculations!$A194))</f>
        <v>3454.0075138609791</v>
      </c>
      <c r="J194" s="25">
        <f t="shared" si="13"/>
        <v>670614.15645282099</v>
      </c>
      <c r="K194" s="25">
        <f t="shared" si="2"/>
        <v>38138.95045468746</v>
      </c>
      <c r="L194" s="25">
        <f t="shared" si="14"/>
        <v>17956434.785803016</v>
      </c>
      <c r="M194" s="25">
        <f>K194/((1+'How much will I make'!$C$5/12)^(Calculations!$B$1*12-Calculations!$A194))</f>
        <v>11420.536001402306</v>
      </c>
      <c r="N194" s="25">
        <f t="shared" si="15"/>
        <v>3361893.7495731479</v>
      </c>
      <c r="O194" s="25">
        <f t="shared" si="3"/>
        <v>125487.08536676248</v>
      </c>
      <c r="P194" s="25">
        <f t="shared" si="16"/>
        <v>98284082.409914821</v>
      </c>
      <c r="Q194" s="25">
        <f>O194/((1+'How much will I make'!$C$5/12)^(Calculations!$B$1*12-Calculations!$A194))</f>
        <v>37576.53944475593</v>
      </c>
      <c r="R194" s="25">
        <f t="shared" si="17"/>
        <v>17584469.080353852</v>
      </c>
      <c r="S194" s="25">
        <f t="shared" si="4"/>
        <v>410878.91926922585</v>
      </c>
      <c r="T194" s="25">
        <f t="shared" si="18"/>
        <v>555415347.01193511</v>
      </c>
      <c r="U194" s="25">
        <f>S194/((1+'How much will I make'!$C$5/12)^(Calculations!$B$1*12-Calculations!$A194))</f>
        <v>123035.83170980365</v>
      </c>
      <c r="V194" s="25">
        <f t="shared" si="19"/>
        <v>95523190.316407248</v>
      </c>
      <c r="W194" s="25">
        <f t="shared" si="5"/>
        <v>1338845.4715773619</v>
      </c>
      <c r="X194" s="25">
        <f t="shared" si="20"/>
        <v>3219601850.1371012</v>
      </c>
      <c r="Y194" s="25">
        <f>W194/((1+'How much will I make'!$C$5/12)^(Calculations!$B$1*12-Calculations!$A194))</f>
        <v>400911.21350153605</v>
      </c>
      <c r="Z194" s="25">
        <f t="shared" si="21"/>
        <v>535662914.97313219</v>
      </c>
      <c r="AA194" s="25">
        <f t="shared" si="6"/>
        <v>4341760.2608272908</v>
      </c>
      <c r="AB194" s="25">
        <f t="shared" si="22"/>
        <v>19028817221.7239</v>
      </c>
      <c r="AC194" s="25">
        <f>AA194/((1+'How much will I make'!$C$5/12)^(Calculations!$B$1*12-Calculations!$A194))</f>
        <v>1300120.4484414877</v>
      </c>
      <c r="AD194" s="25">
        <f t="shared" si="23"/>
        <v>3080982749.0576205</v>
      </c>
      <c r="AE194" s="25">
        <f t="shared" si="7"/>
        <v>14013184.292882858</v>
      </c>
      <c r="AF194" s="25">
        <f t="shared" si="24"/>
        <v>114077133293.20691</v>
      </c>
      <c r="AG194" s="25">
        <f>AE194/((1+'How much will I make'!$C$5/12)^(Calculations!$B$1*12-Calculations!$A194))</f>
        <v>4196184.5777925588</v>
      </c>
      <c r="AH194" s="25">
        <f t="shared" si="25"/>
        <v>18067702241.385628</v>
      </c>
    </row>
    <row r="195" spans="1:34" ht="15.75" customHeight="1">
      <c r="A195" s="22">
        <f t="shared" si="8"/>
        <v>191</v>
      </c>
      <c r="B195" s="22">
        <f t="shared" si="40"/>
        <v>1039.4640897056843</v>
      </c>
      <c r="C195" s="25">
        <f t="shared" si="0"/>
        <v>3456.8930213535441</v>
      </c>
      <c r="D195" s="25">
        <f t="shared" si="10"/>
        <v>678528.57874781371</v>
      </c>
      <c r="E195" s="25">
        <f>$C195/((1+'How much will I make'!$C$5/12)^(Calculations!$B$1*12-Calculations!$A195))</f>
        <v>1039.4640897056843</v>
      </c>
      <c r="F195" s="25">
        <f t="shared" si="11"/>
        <v>140905.48651612684</v>
      </c>
      <c r="G195" s="25">
        <f t="shared" si="1"/>
        <v>11439.351478796749</v>
      </c>
      <c r="H195" s="25">
        <f t="shared" si="12"/>
        <v>3419425.5458895974</v>
      </c>
      <c r="I195" s="25">
        <f>G195/((1+'How much will I make'!$C$5/12)^(Calculations!$B$1*12-Calculations!$A195))</f>
        <v>3439.7347555392394</v>
      </c>
      <c r="J195" s="25">
        <f t="shared" si="13"/>
        <v>674053.8912083602</v>
      </c>
      <c r="K195" s="25">
        <f t="shared" si="2"/>
        <v>37668.099214506132</v>
      </c>
      <c r="L195" s="25">
        <f t="shared" si="14"/>
        <v>17994102.885017522</v>
      </c>
      <c r="M195" s="25">
        <f>K195/((1+'How much will I make'!$C$5/12)^(Calculations!$B$1*12-Calculations!$A195))</f>
        <v>11326.539820320804</v>
      </c>
      <c r="N195" s="25">
        <f t="shared" si="15"/>
        <v>3373220.2893934688</v>
      </c>
      <c r="O195" s="25">
        <f t="shared" si="3"/>
        <v>123429.92003288113</v>
      </c>
      <c r="P195" s="25">
        <f t="shared" si="16"/>
        <v>98407512.329947695</v>
      </c>
      <c r="Q195" s="25">
        <f>O195/((1+'How much will I make'!$C$5/12)^(Calculations!$B$1*12-Calculations!$A195))</f>
        <v>37114.532812238438</v>
      </c>
      <c r="R195" s="25">
        <f t="shared" si="17"/>
        <v>17621583.61316609</v>
      </c>
      <c r="S195" s="25">
        <f t="shared" si="4"/>
        <v>402493.63520250702</v>
      </c>
      <c r="T195" s="25">
        <f t="shared" si="18"/>
        <v>555817840.64713764</v>
      </c>
      <c r="U195" s="25">
        <f>S195/((1+'How much will I make'!$C$5/12)^(Calculations!$B$1*12-Calculations!$A195))</f>
        <v>121027.08343699055</v>
      </c>
      <c r="V195" s="25">
        <f t="shared" si="19"/>
        <v>95644217.399844244</v>
      </c>
      <c r="W195" s="25">
        <f t="shared" si="5"/>
        <v>1306190.7039779143</v>
      </c>
      <c r="X195" s="25">
        <f t="shared" si="20"/>
        <v>3220908040.8410792</v>
      </c>
      <c r="Y195" s="25">
        <f>W195/((1+'How much will I make'!$C$5/12)^(Calculations!$B$1*12-Calculations!$A195))</f>
        <v>392762.61160109838</v>
      </c>
      <c r="Z195" s="25">
        <f t="shared" si="21"/>
        <v>536055677.58473331</v>
      </c>
      <c r="AA195" s="25">
        <f t="shared" si="6"/>
        <v>4218714.42347591</v>
      </c>
      <c r="AB195" s="25">
        <f t="shared" si="22"/>
        <v>19033035936.147377</v>
      </c>
      <c r="AC195" s="25">
        <f>AA195/((1+'How much will I make'!$C$5/12)^(Calculations!$B$1*12-Calculations!$A195))</f>
        <v>1268538.575199994</v>
      </c>
      <c r="AD195" s="25">
        <f t="shared" si="23"/>
        <v>3082251287.6328206</v>
      </c>
      <c r="AE195" s="25">
        <f t="shared" si="7"/>
        <v>13561146.089886637</v>
      </c>
      <c r="AF195" s="25">
        <f t="shared" si="24"/>
        <v>114090694439.2968</v>
      </c>
      <c r="AG195" s="25">
        <f>AE195/((1+'How much will I make'!$C$5/12)^(Calculations!$B$1*12-Calculations!$A195))</f>
        <v>4077743.8840645426</v>
      </c>
      <c r="AH195" s="25">
        <f t="shared" si="25"/>
        <v>18071779985.269691</v>
      </c>
    </row>
    <row r="196" spans="1:34" ht="15.75" customHeight="1">
      <c r="A196" s="22">
        <f t="shared" si="8"/>
        <v>192</v>
      </c>
      <c r="B196" s="22">
        <f t="shared" si="40"/>
        <v>1039.4640897056843</v>
      </c>
      <c r="C196" s="25">
        <f t="shared" si="0"/>
        <v>3442.5490669080932</v>
      </c>
      <c r="D196" s="25">
        <f t="shared" si="10"/>
        <v>681971.12781472178</v>
      </c>
      <c r="E196" s="25">
        <f>$C196/((1+'How much will I make'!$C$5/12)^(Calculations!$B$1*12-Calculations!$A196))</f>
        <v>1039.4640897056843</v>
      </c>
      <c r="F196" s="25">
        <f t="shared" si="11"/>
        <v>141944.95060583254</v>
      </c>
      <c r="G196" s="25">
        <f t="shared" si="1"/>
        <v>11344.811383930661</v>
      </c>
      <c r="H196" s="25">
        <f t="shared" si="12"/>
        <v>3430770.3572735279</v>
      </c>
      <c r="I196" s="25">
        <f>G196/((1+'How much will I make'!$C$5/12)^(Calculations!$B$1*12-Calculations!$A196))</f>
        <v>3425.520975557673</v>
      </c>
      <c r="J196" s="25">
        <f t="shared" si="13"/>
        <v>677479.41218391783</v>
      </c>
      <c r="K196" s="25">
        <f t="shared" si="2"/>
        <v>37203.060952598644</v>
      </c>
      <c r="L196" s="25">
        <f t="shared" si="14"/>
        <v>18031305.945970122</v>
      </c>
      <c r="M196" s="25">
        <f>K196/((1+'How much will I make'!$C$5/12)^(Calculations!$B$1*12-Calculations!$A196))</f>
        <v>11233.317270359317</v>
      </c>
      <c r="N196" s="25">
        <f t="shared" si="15"/>
        <v>3384453.6066638283</v>
      </c>
      <c r="O196" s="25">
        <f t="shared" si="3"/>
        <v>121406.47872086668</v>
      </c>
      <c r="P196" s="25">
        <f t="shared" si="16"/>
        <v>98528918.808668569</v>
      </c>
      <c r="Q196" s="25">
        <f>O196/((1+'How much will I make'!$C$5/12)^(Calculations!$B$1*12-Calculations!$A196))</f>
        <v>36658.206589137146</v>
      </c>
      <c r="R196" s="25">
        <f t="shared" si="17"/>
        <v>17658241.819755226</v>
      </c>
      <c r="S196" s="25">
        <f t="shared" si="4"/>
        <v>394279.47938204766</v>
      </c>
      <c r="T196" s="25">
        <f t="shared" si="18"/>
        <v>556212120.12651968</v>
      </c>
      <c r="U196" s="25">
        <f>S196/((1+'How much will I make'!$C$5/12)^(Calculations!$B$1*12-Calculations!$A196))</f>
        <v>119051.13105434581</v>
      </c>
      <c r="V196" s="25">
        <f t="shared" si="19"/>
        <v>95763268.530898586</v>
      </c>
      <c r="W196" s="25">
        <f t="shared" si="5"/>
        <v>1274332.3941247943</v>
      </c>
      <c r="X196" s="25">
        <f t="shared" si="20"/>
        <v>3222182373.2352042</v>
      </c>
      <c r="Y196" s="25">
        <f>W196/((1+'How much will I make'!$C$5/12)^(Calculations!$B$1*12-Calculations!$A196))</f>
        <v>384779.63169050694</v>
      </c>
      <c r="Z196" s="25">
        <f t="shared" si="21"/>
        <v>536440457.21642381</v>
      </c>
      <c r="AA196" s="25">
        <f t="shared" si="6"/>
        <v>4099155.7151182941</v>
      </c>
      <c r="AB196" s="25">
        <f t="shared" si="22"/>
        <v>19037135091.862495</v>
      </c>
      <c r="AC196" s="25">
        <f>AA196/((1+'How much will I make'!$C$5/12)^(Calculations!$B$1*12-Calculations!$A196))</f>
        <v>1237723.8729684157</v>
      </c>
      <c r="AD196" s="25">
        <f t="shared" si="23"/>
        <v>3083489011.5057888</v>
      </c>
      <c r="AE196" s="25">
        <f t="shared" si="7"/>
        <v>13123689.76440642</v>
      </c>
      <c r="AF196" s="25">
        <f t="shared" si="24"/>
        <v>114103818129.0612</v>
      </c>
      <c r="AG196" s="25">
        <f>AE196/((1+'How much will I make'!$C$5/12)^(Calculations!$B$1*12-Calculations!$A196))</f>
        <v>3962646.2744336883</v>
      </c>
      <c r="AH196" s="25">
        <f t="shared" si="25"/>
        <v>18075742631.544125</v>
      </c>
    </row>
    <row r="197" spans="1:34" ht="15.75" customHeight="1">
      <c r="A197" s="22">
        <f t="shared" si="8"/>
        <v>193</v>
      </c>
      <c r="B197" s="22">
        <f>B196*(1+'How much will I make'!$C$4)</f>
        <v>1091.4372941909685</v>
      </c>
      <c r="C197" s="25">
        <f t="shared" si="0"/>
        <v>3599.6778624931108</v>
      </c>
      <c r="D197" s="25">
        <f t="shared" si="10"/>
        <v>685570.80567721487</v>
      </c>
      <c r="E197" s="25">
        <f>$C197/((1+'How much will I make'!$C$5/12)^(Calculations!$B$1*12-Calculations!$A197))</f>
        <v>1091.4372941909685</v>
      </c>
      <c r="F197" s="25">
        <f t="shared" si="11"/>
        <v>143036.38790002352</v>
      </c>
      <c r="G197" s="25">
        <f t="shared" si="1"/>
        <v>11813.605242770769</v>
      </c>
      <c r="H197" s="25">
        <f t="shared" si="12"/>
        <v>3442583.9625162985</v>
      </c>
      <c r="I197" s="25">
        <f>G197/((1+'How much will I make'!$C$5/12)^(Calculations!$B$1*12-Calculations!$A197))</f>
        <v>3581.9342267143338</v>
      </c>
      <c r="J197" s="25">
        <f t="shared" si="13"/>
        <v>681061.34641063213</v>
      </c>
      <c r="K197" s="25">
        <f t="shared" si="2"/>
        <v>38580.952098991176</v>
      </c>
      <c r="L197" s="25">
        <f t="shared" si="14"/>
        <v>18069886.898069113</v>
      </c>
      <c r="M197" s="25">
        <f>K197/((1+'How much will I make'!$C$5/12)^(Calculations!$B$1*12-Calculations!$A197))</f>
        <v>11697.90508339269</v>
      </c>
      <c r="N197" s="25">
        <f t="shared" si="15"/>
        <v>3396151.511747221</v>
      </c>
      <c r="O197" s="25">
        <f t="shared" si="3"/>
        <v>125387.01900679675</v>
      </c>
      <c r="P197" s="25">
        <f t="shared" si="16"/>
        <v>98654305.827675372</v>
      </c>
      <c r="Q197" s="25">
        <f>O197/((1+'How much will I make'!$C$5/12)^(Calculations!$B$1*12-Calculations!$A197))</f>
        <v>38017.865481070308</v>
      </c>
      <c r="R197" s="25">
        <f t="shared" si="17"/>
        <v>17696259.685236298</v>
      </c>
      <c r="S197" s="25">
        <f t="shared" si="4"/>
        <v>405544.60736439202</v>
      </c>
      <c r="T197" s="25">
        <f t="shared" si="18"/>
        <v>556617664.7338841</v>
      </c>
      <c r="U197" s="25">
        <f>S197/((1+'How much will I make'!$C$5/12)^(Calculations!$B$1*12-Calculations!$A197))</f>
        <v>122962.8110747029</v>
      </c>
      <c r="V197" s="25">
        <f t="shared" si="19"/>
        <v>95886231.34197329</v>
      </c>
      <c r="W197" s="25">
        <f t="shared" si="5"/>
        <v>1305413.6720302773</v>
      </c>
      <c r="X197" s="25">
        <f t="shared" si="20"/>
        <v>3223487786.9072347</v>
      </c>
      <c r="Y197" s="25">
        <f>W197/((1+'How much will I make'!$C$5/12)^(Calculations!$B$1*12-Calculations!$A197))</f>
        <v>395806.85284261295</v>
      </c>
      <c r="Z197" s="25">
        <f t="shared" si="21"/>
        <v>536836264.06926644</v>
      </c>
      <c r="AA197" s="25">
        <f t="shared" si="6"/>
        <v>4182134.5757482201</v>
      </c>
      <c r="AB197" s="25">
        <f t="shared" si="22"/>
        <v>19041317226.438244</v>
      </c>
      <c r="AC197" s="25">
        <f>AA197/((1+'How much will I make'!$C$5/12)^(Calculations!$B$1*12-Calculations!$A197))</f>
        <v>1268040.5913144031</v>
      </c>
      <c r="AD197" s="25">
        <f t="shared" si="23"/>
        <v>3084757052.0971031</v>
      </c>
      <c r="AE197" s="25">
        <f t="shared" si="7"/>
        <v>13335362.179961361</v>
      </c>
      <c r="AF197" s="25">
        <f t="shared" si="24"/>
        <v>114117153491.24117</v>
      </c>
      <c r="AG197" s="25">
        <f>AE197/((1+'How much will I make'!$C$5/12)^(Calculations!$B$1*12-Calculations!$A197))</f>
        <v>4043337.2570380825</v>
      </c>
      <c r="AH197" s="25">
        <f t="shared" si="25"/>
        <v>18079785968.801163</v>
      </c>
    </row>
    <row r="198" spans="1:34" ht="15.75" customHeight="1">
      <c r="A198" s="22">
        <f t="shared" si="8"/>
        <v>194</v>
      </c>
      <c r="B198" s="22">
        <f t="shared" ref="B198:B208" si="41">B197</f>
        <v>1091.4372941909685</v>
      </c>
      <c r="C198" s="25">
        <f t="shared" si="0"/>
        <v>3584.7414398271626</v>
      </c>
      <c r="D198" s="25">
        <f t="shared" si="10"/>
        <v>689155.54711704201</v>
      </c>
      <c r="E198" s="25">
        <f>$C198/((1+'How much will I make'!$C$5/12)^(Calculations!$B$1*12-Calculations!$A198))</f>
        <v>1091.4372941909685</v>
      </c>
      <c r="F198" s="25">
        <f t="shared" si="11"/>
        <v>144127.8251942145</v>
      </c>
      <c r="G198" s="25">
        <f t="shared" si="1"/>
        <v>11715.972141590846</v>
      </c>
      <c r="H198" s="25">
        <f t="shared" si="12"/>
        <v>3454299.9346578894</v>
      </c>
      <c r="I198" s="25">
        <f>G198/((1+'How much will I make'!$C$5/12)^(Calculations!$B$1*12-Calculations!$A198))</f>
        <v>3567.1328456122105</v>
      </c>
      <c r="J198" s="25">
        <f t="shared" si="13"/>
        <v>684628.47925624438</v>
      </c>
      <c r="K198" s="25">
        <f t="shared" si="2"/>
        <v>38104.644048386363</v>
      </c>
      <c r="L198" s="25">
        <f t="shared" si="14"/>
        <v>18107991.542117499</v>
      </c>
      <c r="M198" s="25">
        <f>K198/((1+'How much will I make'!$C$5/12)^(Calculations!$B$1*12-Calculations!$A198))</f>
        <v>11601.626029208399</v>
      </c>
      <c r="N198" s="25">
        <f t="shared" si="15"/>
        <v>3407753.1377764293</v>
      </c>
      <c r="O198" s="25">
        <f t="shared" si="3"/>
        <v>123331.49410504602</v>
      </c>
      <c r="P198" s="25">
        <f t="shared" si="16"/>
        <v>98777637.321780413</v>
      </c>
      <c r="Q198" s="25">
        <f>O198/((1+'How much will I make'!$C$5/12)^(Calculations!$B$1*12-Calculations!$A198))</f>
        <v>37550.432708762091</v>
      </c>
      <c r="R198" s="25">
        <f t="shared" si="17"/>
        <v>17733810.11794506</v>
      </c>
      <c r="S198" s="25">
        <f t="shared" si="4"/>
        <v>397268.18680593505</v>
      </c>
      <c r="T198" s="25">
        <f t="shared" si="18"/>
        <v>557014932.92069006</v>
      </c>
      <c r="U198" s="25">
        <f>S198/((1+'How much will I make'!$C$5/12)^(Calculations!$B$1*12-Calculations!$A198))</f>
        <v>120955.25497552413</v>
      </c>
      <c r="V198" s="25">
        <f t="shared" si="19"/>
        <v>96007186.596948817</v>
      </c>
      <c r="W198" s="25">
        <f t="shared" si="5"/>
        <v>1273574.31417588</v>
      </c>
      <c r="X198" s="25">
        <f t="shared" si="20"/>
        <v>3224761361.2214108</v>
      </c>
      <c r="Y198" s="25">
        <f>W198/((1+'How much will I make'!$C$5/12)^(Calculations!$B$1*12-Calculations!$A198))</f>
        <v>387761.99811003963</v>
      </c>
      <c r="Z198" s="25">
        <f t="shared" si="21"/>
        <v>537224026.06737649</v>
      </c>
      <c r="AA198" s="25">
        <f t="shared" si="6"/>
        <v>4063612.5432371376</v>
      </c>
      <c r="AB198" s="25">
        <f t="shared" si="22"/>
        <v>19045380838.98148</v>
      </c>
      <c r="AC198" s="25">
        <f>AA198/((1+'How much will I make'!$C$5/12)^(Calculations!$B$1*12-Calculations!$A198))</f>
        <v>1237237.985857374</v>
      </c>
      <c r="AD198" s="25">
        <f t="shared" si="23"/>
        <v>3085994290.0829606</v>
      </c>
      <c r="AE198" s="25">
        <f t="shared" si="7"/>
        <v>12905189.206414219</v>
      </c>
      <c r="AF198" s="25">
        <f t="shared" si="24"/>
        <v>114130058680.44759</v>
      </c>
      <c r="AG198" s="25">
        <f>AE198/((1+'How much will I make'!$C$5/12)^(Calculations!$B$1*12-Calculations!$A198))</f>
        <v>3929210.8022023318</v>
      </c>
      <c r="AH198" s="25">
        <f t="shared" si="25"/>
        <v>18083715179.603367</v>
      </c>
    </row>
    <row r="199" spans="1:34" ht="15.75" customHeight="1">
      <c r="A199" s="22">
        <f t="shared" si="8"/>
        <v>195</v>
      </c>
      <c r="B199" s="22">
        <f t="shared" si="41"/>
        <v>1091.4372941909685</v>
      </c>
      <c r="C199" s="25">
        <f t="shared" si="0"/>
        <v>3569.8669940187515</v>
      </c>
      <c r="D199" s="25">
        <f t="shared" si="10"/>
        <v>692725.41411106079</v>
      </c>
      <c r="E199" s="25">
        <f>$C199/((1+'How much will I make'!$C$5/12)^(Calculations!$B$1*12-Calculations!$A199))</f>
        <v>1091.4372941909685</v>
      </c>
      <c r="F199" s="25">
        <f t="shared" si="11"/>
        <v>145219.26248840548</v>
      </c>
      <c r="G199" s="25">
        <f t="shared" si="1"/>
        <v>11619.145925544639</v>
      </c>
      <c r="H199" s="25">
        <f t="shared" si="12"/>
        <v>3465919.0805834341</v>
      </c>
      <c r="I199" s="25">
        <f>G199/((1+'How much will I make'!$C$5/12)^(Calculations!$B$1*12-Calculations!$A199))</f>
        <v>3552.3926272419112</v>
      </c>
      <c r="J199" s="25">
        <f t="shared" si="13"/>
        <v>688180.87188348628</v>
      </c>
      <c r="K199" s="25">
        <f t="shared" si="2"/>
        <v>37634.216344085289</v>
      </c>
      <c r="L199" s="25">
        <f t="shared" si="14"/>
        <v>18145625.758461583</v>
      </c>
      <c r="M199" s="25">
        <f>K199/((1+'How much will I make'!$C$5/12)^(Calculations!$B$1*12-Calculations!$A199))</f>
        <v>11506.139395223141</v>
      </c>
      <c r="N199" s="25">
        <f t="shared" si="15"/>
        <v>3419259.2771716523</v>
      </c>
      <c r="O199" s="25">
        <f t="shared" si="3"/>
        <v>121309.66633283216</v>
      </c>
      <c r="P199" s="25">
        <f t="shared" si="16"/>
        <v>98898946.988113239</v>
      </c>
      <c r="Q199" s="25">
        <f>O199/((1+'How much will I make'!$C$5/12)^(Calculations!$B$1*12-Calculations!$A199))</f>
        <v>37088.747060703543</v>
      </c>
      <c r="R199" s="25">
        <f t="shared" si="17"/>
        <v>17770898.865005765</v>
      </c>
      <c r="S199" s="25">
        <f t="shared" si="4"/>
        <v>389160.67278948746</v>
      </c>
      <c r="T199" s="25">
        <f t="shared" si="18"/>
        <v>557404093.59347951</v>
      </c>
      <c r="U199" s="25">
        <f>S199/((1+'How much will I make'!$C$5/12)^(Calculations!$B$1*12-Calculations!$A199))</f>
        <v>118980.47530245436</v>
      </c>
      <c r="V199" s="25">
        <f t="shared" si="19"/>
        <v>96126167.072251275</v>
      </c>
      <c r="W199" s="25">
        <f t="shared" si="5"/>
        <v>1242511.5260252489</v>
      </c>
      <c r="X199" s="25">
        <f t="shared" si="20"/>
        <v>3226003872.747436</v>
      </c>
      <c r="Y199" s="25">
        <f>W199/((1+'How much will I make'!$C$5/12)^(Calculations!$B$1*12-Calculations!$A199))</f>
        <v>379880.65668503882</v>
      </c>
      <c r="Z199" s="25">
        <f t="shared" si="21"/>
        <v>537603906.72406149</v>
      </c>
      <c r="AA199" s="25">
        <f t="shared" si="6"/>
        <v>3948449.4347243444</v>
      </c>
      <c r="AB199" s="25">
        <f t="shared" si="22"/>
        <v>19049329288.416203</v>
      </c>
      <c r="AC199" s="25">
        <f>AA199/((1+'How much will I make'!$C$5/12)^(Calculations!$B$1*12-Calculations!$A199))</f>
        <v>1207183.6218284499</v>
      </c>
      <c r="AD199" s="25">
        <f t="shared" si="23"/>
        <v>3087201473.7047892</v>
      </c>
      <c r="AE199" s="25">
        <f t="shared" si="7"/>
        <v>12488892.780400855</v>
      </c>
      <c r="AF199" s="25">
        <f t="shared" si="24"/>
        <v>114142547573.22798</v>
      </c>
      <c r="AG199" s="25">
        <f>AE199/((1+'How much will I make'!$C$5/12)^(Calculations!$B$1*12-Calculations!$A199))</f>
        <v>3818305.6585917813</v>
      </c>
      <c r="AH199" s="25">
        <f t="shared" si="25"/>
        <v>18087533485.261959</v>
      </c>
    </row>
    <row r="200" spans="1:34" ht="15.75" customHeight="1">
      <c r="A200" s="22">
        <f t="shared" si="8"/>
        <v>196</v>
      </c>
      <c r="B200" s="22">
        <f t="shared" si="41"/>
        <v>1091.4372941909685</v>
      </c>
      <c r="C200" s="25">
        <f t="shared" si="0"/>
        <v>3555.0542679024911</v>
      </c>
      <c r="D200" s="25">
        <f t="shared" si="10"/>
        <v>696280.4683789633</v>
      </c>
      <c r="E200" s="25">
        <f>$C200/((1+'How much will I make'!$C$5/12)^(Calculations!$B$1*12-Calculations!$A200))</f>
        <v>1091.4372941909685</v>
      </c>
      <c r="F200" s="25">
        <f t="shared" si="11"/>
        <v>146310.69978259646</v>
      </c>
      <c r="G200" s="25">
        <f t="shared" si="1"/>
        <v>11523.119926159978</v>
      </c>
      <c r="H200" s="25">
        <f t="shared" si="12"/>
        <v>3477442.2005095943</v>
      </c>
      <c r="I200" s="25">
        <f>G200/((1+'How much will I make'!$C$5/12)^(Calculations!$B$1*12-Calculations!$A200))</f>
        <v>3537.71331886488</v>
      </c>
      <c r="J200" s="25">
        <f t="shared" si="13"/>
        <v>691718.58520235121</v>
      </c>
      <c r="K200" s="25">
        <f t="shared" si="2"/>
        <v>37169.596389220045</v>
      </c>
      <c r="L200" s="25">
        <f t="shared" si="14"/>
        <v>18182795.354850803</v>
      </c>
      <c r="M200" s="25">
        <f>K200/((1+'How much will I make'!$C$5/12)^(Calculations!$B$1*12-Calculations!$A200))</f>
        <v>11411.438659459989</v>
      </c>
      <c r="N200" s="25">
        <f t="shared" si="15"/>
        <v>3430670.7158311121</v>
      </c>
      <c r="O200" s="25">
        <f t="shared" si="3"/>
        <v>119320.98327819556</v>
      </c>
      <c r="P200" s="25">
        <f t="shared" si="16"/>
        <v>99018267.971391439</v>
      </c>
      <c r="Q200" s="25">
        <f>O200/((1+'How much will I make'!$C$5/12)^(Calculations!$B$1*12-Calculations!$A200))</f>
        <v>36632.737875530955</v>
      </c>
      <c r="R200" s="25">
        <f t="shared" si="17"/>
        <v>17807531.602881297</v>
      </c>
      <c r="S200" s="25">
        <f t="shared" si="4"/>
        <v>381218.61824276322</v>
      </c>
      <c r="T200" s="25">
        <f t="shared" si="18"/>
        <v>557785312.21172225</v>
      </c>
      <c r="U200" s="25">
        <f>S200/((1+'How much will I make'!$C$5/12)^(Calculations!$B$1*12-Calculations!$A200))</f>
        <v>117037.93693016938</v>
      </c>
      <c r="V200" s="25">
        <f t="shared" si="19"/>
        <v>96243205.00918144</v>
      </c>
      <c r="W200" s="25">
        <f t="shared" si="5"/>
        <v>1212206.3668539014</v>
      </c>
      <c r="X200" s="25">
        <f t="shared" si="20"/>
        <v>3227216079.1142898</v>
      </c>
      <c r="Y200" s="25">
        <f>W200/((1+'How much will I make'!$C$5/12)^(Calculations!$B$1*12-Calculations!$A200))</f>
        <v>372159.5051263998</v>
      </c>
      <c r="Z200" s="25">
        <f t="shared" si="21"/>
        <v>537976066.22918785</v>
      </c>
      <c r="AA200" s="25">
        <f t="shared" si="6"/>
        <v>3836550.0580317518</v>
      </c>
      <c r="AB200" s="25">
        <f t="shared" si="22"/>
        <v>19053165838.474236</v>
      </c>
      <c r="AC200" s="25">
        <f>AA200/((1+'How much will I make'!$C$5/12)^(Calculations!$B$1*12-Calculations!$A200))</f>
        <v>1177859.3233224957</v>
      </c>
      <c r="AD200" s="25">
        <f t="shared" si="23"/>
        <v>3088379333.0281115</v>
      </c>
      <c r="AE200" s="25">
        <f t="shared" si="7"/>
        <v>12086025.271355668</v>
      </c>
      <c r="AF200" s="25">
        <f t="shared" si="24"/>
        <v>114154633598.49934</v>
      </c>
      <c r="AG200" s="25">
        <f>AE200/((1+'How much will I make'!$C$5/12)^(Calculations!$B$1*12-Calculations!$A200))</f>
        <v>3710530.9020992713</v>
      </c>
      <c r="AH200" s="25">
        <f t="shared" si="25"/>
        <v>18091244016.164059</v>
      </c>
    </row>
    <row r="201" spans="1:34" ht="15.75" customHeight="1">
      <c r="A201" s="22">
        <f t="shared" si="8"/>
        <v>197</v>
      </c>
      <c r="B201" s="22">
        <f t="shared" si="41"/>
        <v>1091.4372941909685</v>
      </c>
      <c r="C201" s="25">
        <f t="shared" si="0"/>
        <v>3540.303005380074</v>
      </c>
      <c r="D201" s="25">
        <f t="shared" si="10"/>
        <v>699820.77138434339</v>
      </c>
      <c r="E201" s="25">
        <f>$C201/((1+'How much will I make'!$C$5/12)^(Calculations!$B$1*12-Calculations!$A201))</f>
        <v>1091.4372941909685</v>
      </c>
      <c r="F201" s="25">
        <f t="shared" si="11"/>
        <v>147402.13707678745</v>
      </c>
      <c r="G201" s="25">
        <f t="shared" si="1"/>
        <v>11427.88753007601</v>
      </c>
      <c r="H201" s="25">
        <f t="shared" si="12"/>
        <v>3488870.0880396701</v>
      </c>
      <c r="I201" s="25">
        <f>G201/((1+'How much will I make'!$C$5/12)^(Calculations!$B$1*12-Calculations!$A201))</f>
        <v>3523.0946687869259</v>
      </c>
      <c r="J201" s="25">
        <f t="shared" si="13"/>
        <v>695241.67987113819</v>
      </c>
      <c r="K201" s="25">
        <f t="shared" si="2"/>
        <v>36710.712483180279</v>
      </c>
      <c r="L201" s="25">
        <f t="shared" si="14"/>
        <v>18219506.067333981</v>
      </c>
      <c r="M201" s="25">
        <f>K201/((1+'How much will I make'!$C$5/12)^(Calculations!$B$1*12-Calculations!$A201))</f>
        <v>11317.517353620809</v>
      </c>
      <c r="N201" s="25">
        <f t="shared" si="15"/>
        <v>3441988.233184733</v>
      </c>
      <c r="O201" s="25">
        <f t="shared" si="3"/>
        <v>117364.90158511036</v>
      </c>
      <c r="P201" s="25">
        <f t="shared" si="16"/>
        <v>99135632.872976556</v>
      </c>
      <c r="Q201" s="25">
        <f>O201/((1+'How much will I make'!$C$5/12)^(Calculations!$B$1*12-Calculations!$A201))</f>
        <v>36182.335360667865</v>
      </c>
      <c r="R201" s="25">
        <f t="shared" si="17"/>
        <v>17843713.938241966</v>
      </c>
      <c r="S201" s="25">
        <f t="shared" si="4"/>
        <v>373438.64644189051</v>
      </c>
      <c r="T201" s="25">
        <f t="shared" si="18"/>
        <v>558158750.85816419</v>
      </c>
      <c r="U201" s="25">
        <f>S201/((1+'How much will I make'!$C$5/12)^(Calculations!$B$1*12-Calculations!$A201))</f>
        <v>115127.11347008499</v>
      </c>
      <c r="V201" s="25">
        <f t="shared" si="19"/>
        <v>96358332.122651532</v>
      </c>
      <c r="W201" s="25">
        <f t="shared" si="5"/>
        <v>1182640.3579062454</v>
      </c>
      <c r="X201" s="25">
        <f t="shared" si="20"/>
        <v>3228398719.4721961</v>
      </c>
      <c r="Y201" s="25">
        <f>W201/((1+'How much will I make'!$C$5/12)^(Calculations!$B$1*12-Calculations!$A201))</f>
        <v>364595.28754252993</v>
      </c>
      <c r="Z201" s="25">
        <f t="shared" si="21"/>
        <v>538340661.51673043</v>
      </c>
      <c r="AA201" s="25">
        <f t="shared" si="6"/>
        <v>3727821.9187353067</v>
      </c>
      <c r="AB201" s="25">
        <f t="shared" si="22"/>
        <v>19056893660.392971</v>
      </c>
      <c r="AC201" s="25">
        <f>AA201/((1+'How much will I make'!$C$5/12)^(Calculations!$B$1*12-Calculations!$A201))</f>
        <v>1149247.3559543383</v>
      </c>
      <c r="AD201" s="25">
        <f t="shared" si="23"/>
        <v>3089528580.3840656</v>
      </c>
      <c r="AE201" s="25">
        <f t="shared" si="7"/>
        <v>11696153.488408705</v>
      </c>
      <c r="AF201" s="25">
        <f t="shared" si="24"/>
        <v>114166329751.98775</v>
      </c>
      <c r="AG201" s="25">
        <f>AE201/((1+'How much will I make'!$C$5/12)^(Calculations!$B$1*12-Calculations!$A201))</f>
        <v>3605798.1750238873</v>
      </c>
      <c r="AH201" s="25">
        <f t="shared" si="25"/>
        <v>18094849814.339081</v>
      </c>
    </row>
    <row r="202" spans="1:34" ht="15.75" customHeight="1">
      <c r="A202" s="22">
        <f t="shared" si="8"/>
        <v>198</v>
      </c>
      <c r="B202" s="22">
        <f t="shared" si="41"/>
        <v>1091.4372941909685</v>
      </c>
      <c r="C202" s="25">
        <f t="shared" si="0"/>
        <v>3525.612951415842</v>
      </c>
      <c r="D202" s="25">
        <f t="shared" si="10"/>
        <v>703346.38433575921</v>
      </c>
      <c r="E202" s="25">
        <f>$C202/((1+'How much will I make'!$C$5/12)^(Calculations!$B$1*12-Calculations!$A202))</f>
        <v>1091.4372941909685</v>
      </c>
      <c r="F202" s="25">
        <f t="shared" si="11"/>
        <v>148493.57437097843</v>
      </c>
      <c r="G202" s="25">
        <f t="shared" si="1"/>
        <v>11333.442178587778</v>
      </c>
      <c r="H202" s="25">
        <f t="shared" si="12"/>
        <v>3500203.530218258</v>
      </c>
      <c r="I202" s="25">
        <f>G202/((1+'How much will I make'!$C$5/12)^(Calculations!$B$1*12-Calculations!$A202))</f>
        <v>3508.5364263539213</v>
      </c>
      <c r="J202" s="25">
        <f t="shared" si="13"/>
        <v>698750.21629749215</v>
      </c>
      <c r="K202" s="25">
        <f t="shared" si="2"/>
        <v>36257.49381054844</v>
      </c>
      <c r="L202" s="25">
        <f t="shared" si="14"/>
        <v>18255763.561144531</v>
      </c>
      <c r="M202" s="25">
        <f>K202/((1+'How much will I make'!$C$5/12)^(Calculations!$B$1*12-Calculations!$A202))</f>
        <v>11224.36906264451</v>
      </c>
      <c r="N202" s="25">
        <f t="shared" si="15"/>
        <v>3453212.6022473774</v>
      </c>
      <c r="O202" s="25">
        <f t="shared" si="3"/>
        <v>115440.88680502662</v>
      </c>
      <c r="P202" s="25">
        <f t="shared" si="16"/>
        <v>99251073.759781584</v>
      </c>
      <c r="Q202" s="25">
        <f>O202/((1+'How much will I make'!$C$5/12)^(Calculations!$B$1*12-Calculations!$A202))</f>
        <v>35737.470581643262</v>
      </c>
      <c r="R202" s="25">
        <f t="shared" si="17"/>
        <v>17879451.408823609</v>
      </c>
      <c r="S202" s="25">
        <f t="shared" si="4"/>
        <v>365817.44957572961</v>
      </c>
      <c r="T202" s="25">
        <f t="shared" si="18"/>
        <v>558524568.30773997</v>
      </c>
      <c r="U202" s="25">
        <f>S202/((1+'How much will I make'!$C$5/12)^(Calculations!$B$1*12-Calculations!$A202))</f>
        <v>113247.48712771627</v>
      </c>
      <c r="V202" s="25">
        <f t="shared" si="19"/>
        <v>96471579.609779254</v>
      </c>
      <c r="W202" s="25">
        <f t="shared" si="5"/>
        <v>1153795.4711280444</v>
      </c>
      <c r="X202" s="25">
        <f t="shared" si="20"/>
        <v>3229552514.9433241</v>
      </c>
      <c r="Y202" s="25">
        <f>W202/((1+'How much will I make'!$C$5/12)^(Calculations!$B$1*12-Calculations!$A202))</f>
        <v>357184.81421849475</v>
      </c>
      <c r="Z202" s="25">
        <f t="shared" si="21"/>
        <v>538697846.33094895</v>
      </c>
      <c r="AA202" s="25">
        <f t="shared" si="6"/>
        <v>3622175.14371042</v>
      </c>
      <c r="AB202" s="25">
        <f t="shared" si="22"/>
        <v>19060515835.536682</v>
      </c>
      <c r="AC202" s="25">
        <f>AA202/((1+'How much will I make'!$C$5/12)^(Calculations!$B$1*12-Calculations!$A202))</f>
        <v>1121330.4161335852</v>
      </c>
      <c r="AD202" s="25">
        <f t="shared" si="23"/>
        <v>3090649910.800199</v>
      </c>
      <c r="AE202" s="25">
        <f t="shared" si="7"/>
        <v>11318858.214589071</v>
      </c>
      <c r="AF202" s="25">
        <f t="shared" si="24"/>
        <v>114177648610.20233</v>
      </c>
      <c r="AG202" s="25">
        <f>AE202/((1+'How much will I make'!$C$5/12)^(Calculations!$B$1*12-Calculations!$A202))</f>
        <v>3504021.6136320834</v>
      </c>
      <c r="AH202" s="25">
        <f t="shared" si="25"/>
        <v>18098353835.952713</v>
      </c>
    </row>
    <row r="203" spans="1:34" ht="15.75" customHeight="1">
      <c r="A203" s="22">
        <f t="shared" si="8"/>
        <v>199</v>
      </c>
      <c r="B203" s="22">
        <f t="shared" si="41"/>
        <v>1091.4372941909685</v>
      </c>
      <c r="C203" s="25">
        <f t="shared" si="0"/>
        <v>3510.9838520323733</v>
      </c>
      <c r="D203" s="25">
        <f t="shared" si="10"/>
        <v>706857.36818779155</v>
      </c>
      <c r="E203" s="25">
        <f>$C203/((1+'How much will I make'!$C$5/12)^(Calculations!$B$1*12-Calculations!$A203))</f>
        <v>1091.4372941909685</v>
      </c>
      <c r="F203" s="25">
        <f t="shared" si="11"/>
        <v>149585.01166516941</v>
      </c>
      <c r="G203" s="25">
        <f t="shared" si="1"/>
        <v>11239.777367194491</v>
      </c>
      <c r="H203" s="25">
        <f t="shared" si="12"/>
        <v>3511443.3075854527</v>
      </c>
      <c r="I203" s="25">
        <f>G203/((1+'How much will I make'!$C$5/12)^(Calculations!$B$1*12-Calculations!$A203))</f>
        <v>3494.0383419475006</v>
      </c>
      <c r="J203" s="25">
        <f t="shared" si="13"/>
        <v>702244.25463943963</v>
      </c>
      <c r="K203" s="25">
        <f t="shared" si="2"/>
        <v>35809.870430171293</v>
      </c>
      <c r="L203" s="25">
        <f t="shared" si="14"/>
        <v>18291573.431574702</v>
      </c>
      <c r="M203" s="25">
        <f>K203/((1+'How much will I make'!$C$5/12)^(Calculations!$B$1*12-Calculations!$A203))</f>
        <v>11131.987424268835</v>
      </c>
      <c r="N203" s="25">
        <f t="shared" si="15"/>
        <v>3464344.5896716462</v>
      </c>
      <c r="O203" s="25">
        <f t="shared" si="3"/>
        <v>113548.41325084586</v>
      </c>
      <c r="P203" s="25">
        <f t="shared" si="16"/>
        <v>99364622.173032433</v>
      </c>
      <c r="Q203" s="25">
        <f>O203/((1+'How much will I make'!$C$5/12)^(Calculations!$B$1*12-Calculations!$A203))</f>
        <v>35298.075451541095</v>
      </c>
      <c r="R203" s="25">
        <f t="shared" si="17"/>
        <v>17914749.484275151</v>
      </c>
      <c r="S203" s="25">
        <f t="shared" si="4"/>
        <v>358351.78733949026</v>
      </c>
      <c r="T203" s="25">
        <f t="shared" si="18"/>
        <v>558882920.09507942</v>
      </c>
      <c r="U203" s="25">
        <f>S203/((1+'How much will I make'!$C$5/12)^(Calculations!$B$1*12-Calculations!$A203))</f>
        <v>111398.54856236585</v>
      </c>
      <c r="V203" s="25">
        <f t="shared" si="19"/>
        <v>96582978.158341616</v>
      </c>
      <c r="W203" s="25">
        <f t="shared" si="5"/>
        <v>1125654.1181737017</v>
      </c>
      <c r="X203" s="25">
        <f t="shared" si="20"/>
        <v>3230678169.0614977</v>
      </c>
      <c r="Y203" s="25">
        <f>W203/((1+'How much will I make'!$C$5/12)^(Calculations!$B$1*12-Calculations!$A203))</f>
        <v>349924.96027096437</v>
      </c>
      <c r="Z203" s="25">
        <f t="shared" si="21"/>
        <v>539047771.29121995</v>
      </c>
      <c r="AA203" s="25">
        <f t="shared" si="6"/>
        <v>3519522.406844133</v>
      </c>
      <c r="AB203" s="25">
        <f t="shared" si="22"/>
        <v>19064035357.943527</v>
      </c>
      <c r="AC203" s="25">
        <f>AA203/((1+'How much will I make'!$C$5/12)^(Calculations!$B$1*12-Calculations!$A203))</f>
        <v>1094091.620599976</v>
      </c>
      <c r="AD203" s="25">
        <f t="shared" si="23"/>
        <v>3091744002.4207988</v>
      </c>
      <c r="AE203" s="25">
        <f t="shared" si="7"/>
        <v>10953733.756053939</v>
      </c>
      <c r="AF203" s="25">
        <f t="shared" si="24"/>
        <v>114188602343.95839</v>
      </c>
      <c r="AG203" s="25">
        <f>AE203/((1+'How much will I make'!$C$5/12)^(Calculations!$B$1*12-Calculations!$A203))</f>
        <v>3405117.777763437</v>
      </c>
      <c r="AH203" s="25">
        <f t="shared" si="25"/>
        <v>18101758953.730476</v>
      </c>
    </row>
    <row r="204" spans="1:34" ht="15.75" customHeight="1">
      <c r="A204" s="22">
        <f t="shared" si="8"/>
        <v>200</v>
      </c>
      <c r="B204" s="22">
        <f t="shared" si="41"/>
        <v>1091.4372941909685</v>
      </c>
      <c r="C204" s="25">
        <f t="shared" si="0"/>
        <v>3496.4154543060981</v>
      </c>
      <c r="D204" s="25">
        <f t="shared" si="10"/>
        <v>710353.78364209761</v>
      </c>
      <c r="E204" s="25">
        <f>$C204/((1+'How much will I make'!$C$5/12)^(Calculations!$B$1*12-Calculations!$A204))</f>
        <v>1091.4372941909685</v>
      </c>
      <c r="F204" s="25">
        <f t="shared" si="11"/>
        <v>150676.44895936039</v>
      </c>
      <c r="G204" s="25">
        <f t="shared" si="1"/>
        <v>11146.886645151562</v>
      </c>
      <c r="H204" s="25">
        <f t="shared" si="12"/>
        <v>3522590.1942306045</v>
      </c>
      <c r="I204" s="25">
        <f>G204/((1+'How much will I make'!$C$5/12)^(Calculations!$B$1*12-Calculations!$A204))</f>
        <v>3479.6001669807756</v>
      </c>
      <c r="J204" s="25">
        <f t="shared" si="13"/>
        <v>705723.85480642039</v>
      </c>
      <c r="K204" s="25">
        <f t="shared" si="2"/>
        <v>35367.773264366711</v>
      </c>
      <c r="L204" s="25">
        <f t="shared" si="14"/>
        <v>18326941.204839069</v>
      </c>
      <c r="M204" s="25">
        <f>K204/((1+'How much will I make'!$C$5/12)^(Calculations!$B$1*12-Calculations!$A204))</f>
        <v>11040.366128595841</v>
      </c>
      <c r="N204" s="25">
        <f t="shared" si="15"/>
        <v>3475384.9558002423</v>
      </c>
      <c r="O204" s="25">
        <f t="shared" si="3"/>
        <v>111686.963853291</v>
      </c>
      <c r="P204" s="25">
        <f t="shared" si="16"/>
        <v>99476309.136885718</v>
      </c>
      <c r="Q204" s="25">
        <f>O204/((1+'How much will I make'!$C$5/12)^(Calculations!$B$1*12-Calculations!$A204))</f>
        <v>34864.082720579521</v>
      </c>
      <c r="R204" s="25">
        <f t="shared" si="17"/>
        <v>17949613.566995729</v>
      </c>
      <c r="S204" s="25">
        <f t="shared" si="4"/>
        <v>351038.48555705172</v>
      </c>
      <c r="T204" s="25">
        <f t="shared" si="18"/>
        <v>559233958.5806365</v>
      </c>
      <c r="U204" s="25">
        <f>S204/((1+'How much will I make'!$C$5/12)^(Calculations!$B$1*12-Calculations!$A204))</f>
        <v>109579.79674910274</v>
      </c>
      <c r="V204" s="25">
        <f t="shared" si="19"/>
        <v>96692557.955090716</v>
      </c>
      <c r="W204" s="25">
        <f t="shared" si="5"/>
        <v>1098199.1396816606</v>
      </c>
      <c r="X204" s="25">
        <f t="shared" si="20"/>
        <v>3231776368.2011795</v>
      </c>
      <c r="Y204" s="25">
        <f>W204/((1+'How much will I make'!$C$5/12)^(Calculations!$B$1*12-Calculations!$A204))</f>
        <v>342812.66433049773</v>
      </c>
      <c r="Z204" s="25">
        <f t="shared" si="21"/>
        <v>539390583.95555043</v>
      </c>
      <c r="AA204" s="25">
        <f t="shared" si="6"/>
        <v>3419778.8568525985</v>
      </c>
      <c r="AB204" s="25">
        <f t="shared" si="22"/>
        <v>19067455136.800381</v>
      </c>
      <c r="AC204" s="25">
        <f>AA204/((1+'How much will I make'!$C$5/12)^(Calculations!$B$1*12-Calculations!$A204))</f>
        <v>1067514.4962129318</v>
      </c>
      <c r="AD204" s="25">
        <f t="shared" si="23"/>
        <v>3092811516.9170117</v>
      </c>
      <c r="AE204" s="25">
        <f t="shared" si="7"/>
        <v>10600387.505858649</v>
      </c>
      <c r="AF204" s="25">
        <f t="shared" si="24"/>
        <v>114199202731.46425</v>
      </c>
      <c r="AG204" s="25">
        <f>AE204/((1+'How much will I make'!$C$5/12)^(Calculations!$B$1*12-Calculations!$A204))</f>
        <v>3309005.5824233387</v>
      </c>
      <c r="AH204" s="25">
        <f t="shared" si="25"/>
        <v>18105067959.312901</v>
      </c>
    </row>
    <row r="205" spans="1:34" ht="15.75" customHeight="1">
      <c r="A205" s="22">
        <f t="shared" si="8"/>
        <v>201</v>
      </c>
      <c r="B205" s="22">
        <f t="shared" si="41"/>
        <v>1091.4372941909685</v>
      </c>
      <c r="C205" s="25">
        <f t="shared" si="0"/>
        <v>3481.9075063629198</v>
      </c>
      <c r="D205" s="25">
        <f t="shared" si="10"/>
        <v>713835.69114846049</v>
      </c>
      <c r="E205" s="25">
        <f>$C205/((1+'How much will I make'!$C$5/12)^(Calculations!$B$1*12-Calculations!$A205))</f>
        <v>1091.4372941909685</v>
      </c>
      <c r="F205" s="25">
        <f t="shared" si="11"/>
        <v>151767.88625355138</v>
      </c>
      <c r="G205" s="25">
        <f t="shared" si="1"/>
        <v>11054.763615026344</v>
      </c>
      <c r="H205" s="25">
        <f t="shared" si="12"/>
        <v>3533644.9578456306</v>
      </c>
      <c r="I205" s="25">
        <f>G205/((1+'How much will I make'!$C$5/12)^(Calculations!$B$1*12-Calculations!$A205))</f>
        <v>3465.2216538940784</v>
      </c>
      <c r="J205" s="25">
        <f t="shared" si="13"/>
        <v>709189.07646031445</v>
      </c>
      <c r="K205" s="25">
        <f t="shared" si="2"/>
        <v>34931.134088263418</v>
      </c>
      <c r="L205" s="25">
        <f t="shared" si="14"/>
        <v>18361872.338927332</v>
      </c>
      <c r="M205" s="25">
        <f>K205/((1+'How much will I make'!$C$5/12)^(Calculations!$B$1*12-Calculations!$A205))</f>
        <v>10949.498917660892</v>
      </c>
      <c r="N205" s="25">
        <f t="shared" si="15"/>
        <v>3486334.4547179029</v>
      </c>
      <c r="O205" s="25">
        <f t="shared" si="3"/>
        <v>109856.03001963049</v>
      </c>
      <c r="P205" s="25">
        <f t="shared" si="16"/>
        <v>99586165.166905344</v>
      </c>
      <c r="Q205" s="25">
        <f>O205/((1+'How much will I make'!$C$5/12)^(Calculations!$B$1*12-Calculations!$A205))</f>
        <v>34435.425965818293</v>
      </c>
      <c r="R205" s="25">
        <f t="shared" si="17"/>
        <v>17984048.992961548</v>
      </c>
      <c r="S205" s="25">
        <f t="shared" si="4"/>
        <v>343874.43483139761</v>
      </c>
      <c r="T205" s="25">
        <f t="shared" si="18"/>
        <v>559577833.01546788</v>
      </c>
      <c r="U205" s="25">
        <f>S205/((1+'How much will I make'!$C$5/12)^(Calculations!$B$1*12-Calculations!$A205))</f>
        <v>107790.73884299492</v>
      </c>
      <c r="V205" s="25">
        <f t="shared" si="19"/>
        <v>96800348.69393371</v>
      </c>
      <c r="W205" s="25">
        <f t="shared" si="5"/>
        <v>1071413.7948113761</v>
      </c>
      <c r="X205" s="25">
        <f t="shared" si="20"/>
        <v>3232847781.9959908</v>
      </c>
      <c r="Y205" s="25">
        <f>W205/((1+'How much will I make'!$C$5/12)^(Calculations!$B$1*12-Calculations!$A205))</f>
        <v>335844.9272506095</v>
      </c>
      <c r="Z205" s="25">
        <f t="shared" si="21"/>
        <v>539726428.88280106</v>
      </c>
      <c r="AA205" s="25">
        <f t="shared" si="6"/>
        <v>3322862.0471442263</v>
      </c>
      <c r="AB205" s="25">
        <f t="shared" si="22"/>
        <v>19070777998.847527</v>
      </c>
      <c r="AC205" s="25">
        <f>AA205/((1+'How much will I make'!$C$5/12)^(Calculations!$B$1*12-Calculations!$A205))</f>
        <v>1041582.9699891361</v>
      </c>
      <c r="AD205" s="25">
        <f t="shared" si="23"/>
        <v>3093853099.887001</v>
      </c>
      <c r="AE205" s="25">
        <f t="shared" si="7"/>
        <v>10258439.521798693</v>
      </c>
      <c r="AF205" s="25">
        <f t="shared" si="24"/>
        <v>114209461170.98605</v>
      </c>
      <c r="AG205" s="25">
        <f>AE205/((1+'How much will I make'!$C$5/12)^(Calculations!$B$1*12-Calculations!$A205))</f>
        <v>3215606.2313065506</v>
      </c>
      <c r="AH205" s="25">
        <f t="shared" si="25"/>
        <v>18108283565.544209</v>
      </c>
    </row>
    <row r="206" spans="1:34" ht="15.75" customHeight="1">
      <c r="A206" s="22">
        <f t="shared" si="8"/>
        <v>202</v>
      </c>
      <c r="B206" s="22">
        <f t="shared" si="41"/>
        <v>1091.4372941909685</v>
      </c>
      <c r="C206" s="25">
        <f t="shared" si="0"/>
        <v>3467.4597573738611</v>
      </c>
      <c r="D206" s="25">
        <f t="shared" si="10"/>
        <v>717303.15090583439</v>
      </c>
      <c r="E206" s="25">
        <f>$C206/((1+'How much will I make'!$C$5/12)^(Calculations!$B$1*12-Calculations!$A206))</f>
        <v>1091.4372941909685</v>
      </c>
      <c r="F206" s="25">
        <f t="shared" si="11"/>
        <v>152859.32354774236</v>
      </c>
      <c r="G206" s="25">
        <f t="shared" si="1"/>
        <v>10963.401932257531</v>
      </c>
      <c r="H206" s="25">
        <f t="shared" si="12"/>
        <v>3544608.3597778883</v>
      </c>
      <c r="I206" s="25">
        <f>G206/((1+'How much will I make'!$C$5/12)^(Calculations!$B$1*12-Calculations!$A206))</f>
        <v>3450.9025561507151</v>
      </c>
      <c r="J206" s="25">
        <f t="shared" si="13"/>
        <v>712639.97901646513</v>
      </c>
      <c r="K206" s="25">
        <f t="shared" si="2"/>
        <v>34499.88551927251</v>
      </c>
      <c r="L206" s="25">
        <f t="shared" si="14"/>
        <v>18396372.224446606</v>
      </c>
      <c r="M206" s="25">
        <f>K206/((1+'How much will I make'!$C$5/12)^(Calculations!$B$1*12-Calculations!$A206))</f>
        <v>10859.37958500525</v>
      </c>
      <c r="N206" s="25">
        <f t="shared" si="15"/>
        <v>3497193.8343029083</v>
      </c>
      <c r="O206" s="25">
        <f t="shared" si="3"/>
        <v>108055.11149471856</v>
      </c>
      <c r="P206" s="25">
        <f t="shared" si="16"/>
        <v>99694220.278400064</v>
      </c>
      <c r="Q206" s="25">
        <f>O206/((1+'How much will I make'!$C$5/12)^(Calculations!$B$1*12-Calculations!$A206))</f>
        <v>34012.039580992678</v>
      </c>
      <c r="R206" s="25">
        <f t="shared" si="17"/>
        <v>18018061.032542542</v>
      </c>
      <c r="S206" s="25">
        <f t="shared" si="4"/>
        <v>336856.58922259364</v>
      </c>
      <c r="T206" s="25">
        <f t="shared" si="18"/>
        <v>559914689.60469043</v>
      </c>
      <c r="U206" s="25">
        <f>S206/((1+'How much will I make'!$C$5/12)^(Calculations!$B$1*12-Calculations!$A206))</f>
        <v>106030.89004555831</v>
      </c>
      <c r="V206" s="25">
        <f t="shared" si="19"/>
        <v>96906379.583979264</v>
      </c>
      <c r="W206" s="25">
        <f t="shared" si="5"/>
        <v>1045281.7510354889</v>
      </c>
      <c r="X206" s="25">
        <f t="shared" si="20"/>
        <v>3233893063.7470264</v>
      </c>
      <c r="Y206" s="25">
        <f>W206/((1+'How much will I make'!$C$5/12)^(Calculations!$B$1*12-Calculations!$A206))</f>
        <v>329018.81084307685</v>
      </c>
      <c r="Z206" s="25">
        <f t="shared" si="21"/>
        <v>540055447.69364417</v>
      </c>
      <c r="AA206" s="25">
        <f t="shared" si="6"/>
        <v>3228691.8676705034</v>
      </c>
      <c r="AB206" s="25">
        <f t="shared" si="22"/>
        <v>19074006690.715199</v>
      </c>
      <c r="AC206" s="25">
        <f>AA206/((1+'How much will I make'!$C$5/12)^(Calculations!$B$1*12-Calculations!$A206))</f>
        <v>1016281.3593821129</v>
      </c>
      <c r="AD206" s="25">
        <f t="shared" si="23"/>
        <v>3094869381.2463832</v>
      </c>
      <c r="AE206" s="25">
        <f t="shared" si="7"/>
        <v>9927522.1178696994</v>
      </c>
      <c r="AF206" s="25">
        <f t="shared" si="24"/>
        <v>114219388693.10393</v>
      </c>
      <c r="AG206" s="25">
        <f>AE206/((1+'How much will I make'!$C$5/12)^(Calculations!$B$1*12-Calculations!$A206))</f>
        <v>3124843.1521970914</v>
      </c>
      <c r="AH206" s="25">
        <f t="shared" si="25"/>
        <v>18111408408.696407</v>
      </c>
    </row>
    <row r="207" spans="1:34" ht="15.75" customHeight="1">
      <c r="A207" s="22">
        <f t="shared" si="8"/>
        <v>203</v>
      </c>
      <c r="B207" s="22">
        <f t="shared" si="41"/>
        <v>1091.4372941909685</v>
      </c>
      <c r="C207" s="25">
        <f t="shared" si="0"/>
        <v>3453.0719575507328</v>
      </c>
      <c r="D207" s="25">
        <f t="shared" si="10"/>
        <v>720756.2228633851</v>
      </c>
      <c r="E207" s="25">
        <f>$C207/((1+'How much will I make'!$C$5/12)^(Calculations!$B$1*12-Calculations!$A207))</f>
        <v>1091.4372941909685</v>
      </c>
      <c r="F207" s="25">
        <f t="shared" si="11"/>
        <v>153950.76084193334</v>
      </c>
      <c r="G207" s="25">
        <f t="shared" si="1"/>
        <v>10872.795304718211</v>
      </c>
      <c r="H207" s="25">
        <f t="shared" si="12"/>
        <v>3555481.1550826067</v>
      </c>
      <c r="I207" s="25">
        <f>G207/((1+'How much will I make'!$C$5/12)^(Calculations!$B$1*12-Calculations!$A207))</f>
        <v>3436.6426282327361</v>
      </c>
      <c r="J207" s="25">
        <f t="shared" si="13"/>
        <v>716076.62164469785</v>
      </c>
      <c r="K207" s="25">
        <f t="shared" si="2"/>
        <v>34073.9610066889</v>
      </c>
      <c r="L207" s="25">
        <f t="shared" si="14"/>
        <v>18430446.185453296</v>
      </c>
      <c r="M207" s="25">
        <f>K207/((1+'How much will I make'!$C$5/12)^(Calculations!$B$1*12-Calculations!$A207))</f>
        <v>10770.00197525212</v>
      </c>
      <c r="N207" s="25">
        <f t="shared" si="15"/>
        <v>3507963.8362781606</v>
      </c>
      <c r="O207" s="25">
        <f t="shared" si="3"/>
        <v>106283.71622431332</v>
      </c>
      <c r="P207" s="25">
        <f t="shared" si="16"/>
        <v>99800503.994624376</v>
      </c>
      <c r="Q207" s="25">
        <f>O207/((1+'How much will I make'!$C$5/12)^(Calculations!$B$1*12-Calculations!$A207))</f>
        <v>33593.858766472273</v>
      </c>
      <c r="R207" s="25">
        <f t="shared" si="17"/>
        <v>18051654.891309015</v>
      </c>
      <c r="S207" s="25">
        <f t="shared" si="4"/>
        <v>329981.96495274483</v>
      </c>
      <c r="T207" s="25">
        <f t="shared" si="18"/>
        <v>560244671.56964314</v>
      </c>
      <c r="U207" s="25">
        <f>S207/((1+'How much will I make'!$C$5/12)^(Calculations!$B$1*12-Calculations!$A207))</f>
        <v>104299.77347338594</v>
      </c>
      <c r="V207" s="25">
        <f t="shared" si="19"/>
        <v>97010679.357452646</v>
      </c>
      <c r="W207" s="25">
        <f t="shared" si="5"/>
        <v>1019787.0741809647</v>
      </c>
      <c r="X207" s="25">
        <f t="shared" si="20"/>
        <v>3234912850.8212075</v>
      </c>
      <c r="Y207" s="25">
        <f>W207/((1+'How much will I make'!$C$5/12)^(Calculations!$B$1*12-Calculations!$A207))</f>
        <v>322331.43663894926</v>
      </c>
      <c r="Z207" s="25">
        <f t="shared" si="21"/>
        <v>540377779.13028312</v>
      </c>
      <c r="AA207" s="25">
        <f t="shared" si="6"/>
        <v>3137190.4787081815</v>
      </c>
      <c r="AB207" s="25">
        <f t="shared" si="22"/>
        <v>19077143881.193905</v>
      </c>
      <c r="AC207" s="25">
        <f>AA207/((1+'How much will I make'!$C$5/12)^(Calculations!$B$1*12-Calculations!$A207))</f>
        <v>991594.362797932</v>
      </c>
      <c r="AD207" s="25">
        <f t="shared" si="23"/>
        <v>3095860975.6091809</v>
      </c>
      <c r="AE207" s="25">
        <f t="shared" si="7"/>
        <v>9607279.4689061604</v>
      </c>
      <c r="AF207" s="25">
        <f t="shared" si="24"/>
        <v>114228995972.57283</v>
      </c>
      <c r="AG207" s="25">
        <f>AE207/((1+'How much will I make'!$C$5/12)^(Calculations!$B$1*12-Calculations!$A207))</f>
        <v>3036641.9341915282</v>
      </c>
      <c r="AH207" s="25">
        <f t="shared" si="25"/>
        <v>18114445050.6306</v>
      </c>
    </row>
    <row r="208" spans="1:34" ht="15.75" customHeight="1">
      <c r="A208" s="22">
        <f t="shared" si="8"/>
        <v>204</v>
      </c>
      <c r="B208" s="22">
        <f t="shared" si="41"/>
        <v>1091.4372941909685</v>
      </c>
      <c r="C208" s="25">
        <f t="shared" si="0"/>
        <v>3438.7438581418091</v>
      </c>
      <c r="D208" s="25">
        <f t="shared" si="10"/>
        <v>724194.96672152693</v>
      </c>
      <c r="E208" s="25">
        <f>$C208/((1+'How much will I make'!$C$5/12)^(Calculations!$B$1*12-Calculations!$A208))</f>
        <v>1091.4372941909685</v>
      </c>
      <c r="F208" s="25">
        <f t="shared" si="11"/>
        <v>155042.19813612432</v>
      </c>
      <c r="G208" s="25">
        <f t="shared" si="1"/>
        <v>10782.937492282525</v>
      </c>
      <c r="H208" s="25">
        <f t="shared" si="12"/>
        <v>3566264.0925748893</v>
      </c>
      <c r="I208" s="25">
        <f>G208/((1+'How much will I make'!$C$5/12)^(Calculations!$B$1*12-Calculations!$A208))</f>
        <v>3422.4416256367335</v>
      </c>
      <c r="J208" s="25">
        <f t="shared" si="13"/>
        <v>719499.06327033462</v>
      </c>
      <c r="K208" s="25">
        <f t="shared" si="2"/>
        <v>33653.294821421143</v>
      </c>
      <c r="L208" s="25">
        <f t="shared" si="14"/>
        <v>18464099.480274718</v>
      </c>
      <c r="M208" s="25">
        <f>K208/((1+'How much will I make'!$C$5/12)^(Calculations!$B$1*12-Calculations!$A208))</f>
        <v>10681.359983686261</v>
      </c>
      <c r="N208" s="25">
        <f t="shared" si="15"/>
        <v>3518645.1962618469</v>
      </c>
      <c r="O208" s="25">
        <f t="shared" si="3"/>
        <v>104541.36022063605</v>
      </c>
      <c r="P208" s="25">
        <f t="shared" si="16"/>
        <v>99905045.354845017</v>
      </c>
      <c r="Q208" s="25">
        <f>O208/((1+'How much will I make'!$C$5/12)^(Calculations!$B$1*12-Calculations!$A208))</f>
        <v>33180.819519343509</v>
      </c>
      <c r="R208" s="25">
        <f t="shared" si="17"/>
        <v>18084835.71082836</v>
      </c>
      <c r="S208" s="25">
        <f t="shared" si="4"/>
        <v>323247.63913738268</v>
      </c>
      <c r="T208" s="25">
        <f t="shared" si="18"/>
        <v>560567919.20878053</v>
      </c>
      <c r="U208" s="25">
        <f>S208/((1+'How much will I make'!$C$5/12)^(Calculations!$B$1*12-Calculations!$A208))</f>
        <v>102596.92002892248</v>
      </c>
      <c r="V208" s="25">
        <f t="shared" si="19"/>
        <v>97113276.277481571</v>
      </c>
      <c r="W208" s="25">
        <f t="shared" si="5"/>
        <v>994914.21871313662</v>
      </c>
      <c r="X208" s="25">
        <f t="shared" si="20"/>
        <v>3235907765.0399208</v>
      </c>
      <c r="Y208" s="25">
        <f>W208/((1+'How much will I make'!$C$5/12)^(Calculations!$B$1*12-Calculations!$A208))</f>
        <v>315779.98467474303</v>
      </c>
      <c r="Z208" s="25">
        <f t="shared" si="21"/>
        <v>540693559.11495781</v>
      </c>
      <c r="AA208" s="25">
        <f t="shared" si="6"/>
        <v>3048282.2465180717</v>
      </c>
      <c r="AB208" s="25">
        <f t="shared" si="22"/>
        <v>19080192163.440422</v>
      </c>
      <c r="AC208" s="25">
        <f>AA208/((1+'How much will I make'!$C$5/12)^(Calculations!$B$1*12-Calculations!$A208))</f>
        <v>967507.05034130218</v>
      </c>
      <c r="AD208" s="25">
        <f t="shared" si="23"/>
        <v>3096828482.6595221</v>
      </c>
      <c r="AE208" s="25">
        <f t="shared" si="7"/>
        <v>9297367.2279737033</v>
      </c>
      <c r="AF208" s="25">
        <f t="shared" si="24"/>
        <v>114238293339.8008</v>
      </c>
      <c r="AG208" s="25">
        <f>AE208/((1+'How much will I make'!$C$5/12)^(Calculations!$B$1*12-Calculations!$A208))</f>
        <v>2950930.2666941863</v>
      </c>
      <c r="AH208" s="25">
        <f t="shared" si="25"/>
        <v>18117395980.897293</v>
      </c>
    </row>
    <row r="209" spans="1:34" ht="15.75" customHeight="1">
      <c r="A209" s="22">
        <f t="shared" si="8"/>
        <v>205</v>
      </c>
      <c r="B209" s="22">
        <f>B208*(1+'How much will I make'!$C$4)</f>
        <v>1146.0091589005169</v>
      </c>
      <c r="C209" s="25">
        <f t="shared" si="0"/>
        <v>3595.6989719989042</v>
      </c>
      <c r="D209" s="25">
        <f t="shared" si="10"/>
        <v>727790.66569352581</v>
      </c>
      <c r="E209" s="25">
        <f>$C209/((1+'How much will I make'!$C$5/12)^(Calculations!$B$1*12-Calculations!$A209))</f>
        <v>1146.0091589005169</v>
      </c>
      <c r="F209" s="25">
        <f t="shared" si="11"/>
        <v>156188.20729502483</v>
      </c>
      <c r="G209" s="25">
        <f t="shared" si="1"/>
        <v>11228.513421715688</v>
      </c>
      <c r="H209" s="25">
        <f t="shared" si="12"/>
        <v>3577492.605996605</v>
      </c>
      <c r="I209" s="25">
        <f>G209/((1+'How much will I make'!$C$5/12)^(Calculations!$B$1*12-Calculations!$A209))</f>
        <v>3578.714270113122</v>
      </c>
      <c r="J209" s="25">
        <f t="shared" si="13"/>
        <v>723077.77754044777</v>
      </c>
      <c r="K209" s="25">
        <f t="shared" si="2"/>
        <v>34899.713148140436</v>
      </c>
      <c r="L209" s="25">
        <f t="shared" si="14"/>
        <v>18498999.193422858</v>
      </c>
      <c r="M209" s="25">
        <f>K209/((1+'How much will I make'!$C$5/12)^(Calculations!$B$1*12-Calculations!$A209))</f>
        <v>11123.119933628837</v>
      </c>
      <c r="N209" s="25">
        <f t="shared" si="15"/>
        <v>3529768.3161954759</v>
      </c>
      <c r="O209" s="25">
        <f t="shared" si="3"/>
        <v>107968.94580164048</v>
      </c>
      <c r="P209" s="25">
        <f t="shared" si="16"/>
        <v>100013014.30064666</v>
      </c>
      <c r="Q209" s="25">
        <f>O209/((1+'How much will I make'!$C$5/12)^(Calculations!$B$1*12-Calculations!$A209))</f>
        <v>34411.501554794566</v>
      </c>
      <c r="R209" s="25">
        <f t="shared" si="17"/>
        <v>18119247.212383155</v>
      </c>
      <c r="S209" s="25">
        <f t="shared" si="4"/>
        <v>332483.28596987936</v>
      </c>
      <c r="T209" s="25">
        <f t="shared" si="18"/>
        <v>560900402.49475038</v>
      </c>
      <c r="U209" s="25">
        <f>S209/((1+'How much will I make'!$C$5/12)^(Calculations!$B$1*12-Calculations!$A209))</f>
        <v>105967.96168701566</v>
      </c>
      <c r="V209" s="25">
        <f t="shared" si="19"/>
        <v>97219244.239168584</v>
      </c>
      <c r="W209" s="25">
        <f t="shared" si="5"/>
        <v>1019180.4191695546</v>
      </c>
      <c r="X209" s="25">
        <f t="shared" si="20"/>
        <v>3236926945.4590902</v>
      </c>
      <c r="Y209" s="25">
        <f>W209/((1+'How much will I make'!$C$5/12)^(Calculations!$B$1*12-Calculations!$A209))</f>
        <v>324829.77691847045</v>
      </c>
      <c r="Z209" s="25">
        <f t="shared" si="21"/>
        <v>541018388.89187622</v>
      </c>
      <c r="AA209" s="25">
        <f t="shared" si="6"/>
        <v>3109988.3648686404</v>
      </c>
      <c r="AB209" s="25">
        <f t="shared" si="22"/>
        <v>19083302151.80529</v>
      </c>
      <c r="AC209" s="25">
        <f>AA209/((1+'How much will I make'!$C$5/12)^(Calculations!$B$1*12-Calculations!$A209))</f>
        <v>991205.09752577555</v>
      </c>
      <c r="AD209" s="25">
        <f t="shared" si="23"/>
        <v>3097819687.7570477</v>
      </c>
      <c r="AE209" s="25">
        <f t="shared" si="7"/>
        <v>9447324.7639087606</v>
      </c>
      <c r="AF209" s="25">
        <f t="shared" si="24"/>
        <v>114247740664.56471</v>
      </c>
      <c r="AG209" s="25">
        <f>AE209/((1+'How much will I make'!$C$5/12)^(Calculations!$B$1*12-Calculations!$A209))</f>
        <v>3011019.7741409824</v>
      </c>
      <c r="AH209" s="25">
        <f t="shared" si="25"/>
        <v>18120407000.671432</v>
      </c>
    </row>
    <row r="210" spans="1:34" ht="15.75" customHeight="1">
      <c r="A210" s="22">
        <f t="shared" si="8"/>
        <v>206</v>
      </c>
      <c r="B210" s="22">
        <f t="shared" ref="B210:B220" si="42">B209</f>
        <v>1146.0091589005169</v>
      </c>
      <c r="C210" s="25">
        <f t="shared" si="0"/>
        <v>3580.77905925202</v>
      </c>
      <c r="D210" s="25">
        <f t="shared" si="10"/>
        <v>731371.44475277781</v>
      </c>
      <c r="E210" s="25">
        <f>$C210/((1+'How much will I make'!$C$5/12)^(Calculations!$B$1*12-Calculations!$A210))</f>
        <v>1146.0091589005169</v>
      </c>
      <c r="F210" s="25">
        <f t="shared" si="11"/>
        <v>157334.21645392536</v>
      </c>
      <c r="G210" s="25">
        <f t="shared" si="1"/>
        <v>11135.715790131262</v>
      </c>
      <c r="H210" s="25">
        <f t="shared" si="12"/>
        <v>3588628.3217867361</v>
      </c>
      <c r="I210" s="25">
        <f>G210/((1+'How much will I make'!$C$5/12)^(Calculations!$B$1*12-Calculations!$A210))</f>
        <v>3563.9261946167881</v>
      </c>
      <c r="J210" s="25">
        <f t="shared" si="13"/>
        <v>726641.7037350646</v>
      </c>
      <c r="K210" s="25">
        <f t="shared" si="2"/>
        <v>34468.852491990561</v>
      </c>
      <c r="L210" s="25">
        <f t="shared" si="14"/>
        <v>18533468.045914847</v>
      </c>
      <c r="M210" s="25">
        <f>K210/((1+'How much will I make'!$C$5/12)^(Calculations!$B$1*12-Calculations!$A210))</f>
        <v>11031.571621417906</v>
      </c>
      <c r="N210" s="25">
        <f t="shared" si="15"/>
        <v>3540799.8878168939</v>
      </c>
      <c r="O210" s="25">
        <f t="shared" si="3"/>
        <v>106198.96308358083</v>
      </c>
      <c r="P210" s="25">
        <f t="shared" si="16"/>
        <v>100119213.26373024</v>
      </c>
      <c r="Q210" s="25">
        <f>O210/((1+'How much will I make'!$C$5/12)^(Calculations!$B$1*12-Calculations!$A210))</f>
        <v>33988.409322563501</v>
      </c>
      <c r="R210" s="25">
        <f t="shared" si="17"/>
        <v>18153235.621705718</v>
      </c>
      <c r="S210" s="25">
        <f t="shared" si="4"/>
        <v>325697.91278682061</v>
      </c>
      <c r="T210" s="25">
        <f t="shared" si="18"/>
        <v>561226100.40753722</v>
      </c>
      <c r="U210" s="25">
        <f>S210/((1+'How much will I make'!$C$5/12)^(Calculations!$B$1*12-Calculations!$A210))</f>
        <v>104237.87251661543</v>
      </c>
      <c r="V210" s="25">
        <f t="shared" si="19"/>
        <v>97323482.111685202</v>
      </c>
      <c r="W210" s="25">
        <f t="shared" si="5"/>
        <v>994322.36016541917</v>
      </c>
      <c r="X210" s="25">
        <f t="shared" si="20"/>
        <v>3237921267.8192558</v>
      </c>
      <c r="Y210" s="25">
        <f>W210/((1+'How much will I make'!$C$5/12)^(Calculations!$B$1*12-Calculations!$A210))</f>
        <v>318227.54568029026</v>
      </c>
      <c r="Z210" s="25">
        <f t="shared" si="21"/>
        <v>541336616.43755651</v>
      </c>
      <c r="AA210" s="25">
        <f t="shared" si="6"/>
        <v>3021851.0427873428</v>
      </c>
      <c r="AB210" s="25">
        <f t="shared" si="22"/>
        <v>19086324002.848076</v>
      </c>
      <c r="AC210" s="25">
        <f>AA210/((1+'How much will I make'!$C$5/12)^(Calculations!$B$1*12-Calculations!$A210))</f>
        <v>967127.24090571632</v>
      </c>
      <c r="AD210" s="25">
        <f t="shared" si="23"/>
        <v>3098786814.9979534</v>
      </c>
      <c r="AE210" s="25">
        <f t="shared" si="7"/>
        <v>9142572.3521697689</v>
      </c>
      <c r="AF210" s="25">
        <f t="shared" si="24"/>
        <v>114256883236.91689</v>
      </c>
      <c r="AG210" s="25">
        <f>AE210/((1+'How much will I make'!$C$5/12)^(Calculations!$B$1*12-Calculations!$A210))</f>
        <v>2926031.3127741008</v>
      </c>
      <c r="AH210" s="25">
        <f t="shared" si="25"/>
        <v>18123333031.984207</v>
      </c>
    </row>
    <row r="211" spans="1:34" ht="15.75" customHeight="1">
      <c r="A211" s="22">
        <f t="shared" si="8"/>
        <v>207</v>
      </c>
      <c r="B211" s="22">
        <f t="shared" si="42"/>
        <v>1146.0091589005169</v>
      </c>
      <c r="C211" s="25">
        <f t="shared" si="0"/>
        <v>3565.9210548567835</v>
      </c>
      <c r="D211" s="25">
        <f t="shared" si="10"/>
        <v>734937.36580763455</v>
      </c>
      <c r="E211" s="25">
        <f>$C211/((1+'How much will I make'!$C$5/12)^(Calculations!$B$1*12-Calculations!$A211))</f>
        <v>1146.0091589005169</v>
      </c>
      <c r="F211" s="25">
        <f t="shared" si="11"/>
        <v>158480.22561282589</v>
      </c>
      <c r="G211" s="25">
        <f t="shared" si="1"/>
        <v>11043.685081121912</v>
      </c>
      <c r="H211" s="25">
        <f t="shared" si="12"/>
        <v>3599672.0068678581</v>
      </c>
      <c r="I211" s="25">
        <f>G211/((1+'How much will I make'!$C$5/12)^(Calculations!$B$1*12-Calculations!$A211))</f>
        <v>3549.1992268704371</v>
      </c>
      <c r="J211" s="25">
        <f t="shared" si="13"/>
        <v>730190.90296193503</v>
      </c>
      <c r="K211" s="25">
        <f t="shared" si="2"/>
        <v>34043.311103200554</v>
      </c>
      <c r="L211" s="25">
        <f t="shared" si="14"/>
        <v>18567511.35701805</v>
      </c>
      <c r="M211" s="25">
        <f>K211/((1+'How much will I make'!$C$5/12)^(Calculations!$B$1*12-Calculations!$A211))</f>
        <v>10940.776793258086</v>
      </c>
      <c r="N211" s="25">
        <f t="shared" si="15"/>
        <v>3551740.6646101521</v>
      </c>
      <c r="O211" s="25">
        <f t="shared" si="3"/>
        <v>104457.99647565329</v>
      </c>
      <c r="P211" s="25">
        <f t="shared" si="16"/>
        <v>100223671.26020589</v>
      </c>
      <c r="Q211" s="25">
        <f>O211/((1+'How much will I make'!$C$5/12)^(Calculations!$B$1*12-Calculations!$A211))</f>
        <v>33570.519044007393</v>
      </c>
      <c r="R211" s="25">
        <f t="shared" si="17"/>
        <v>18186806.140749726</v>
      </c>
      <c r="S211" s="25">
        <f t="shared" si="4"/>
        <v>319051.01660749782</v>
      </c>
      <c r="T211" s="25">
        <f t="shared" si="18"/>
        <v>561545151.42414474</v>
      </c>
      <c r="U211" s="25">
        <f>S211/((1+'How much will I make'!$C$5/12)^(Calculations!$B$1*12-Calculations!$A211))</f>
        <v>102536.02970001765</v>
      </c>
      <c r="V211" s="25">
        <f t="shared" si="19"/>
        <v>97426018.141385213</v>
      </c>
      <c r="W211" s="25">
        <f t="shared" si="5"/>
        <v>970070.59528333566</v>
      </c>
      <c r="X211" s="25">
        <f t="shared" si="20"/>
        <v>3238891338.4145393</v>
      </c>
      <c r="Y211" s="25">
        <f>W211/((1+'How much will I make'!$C$5/12)^(Calculations!$B$1*12-Calculations!$A211))</f>
        <v>311759.50613394281</v>
      </c>
      <c r="Z211" s="25">
        <f t="shared" si="21"/>
        <v>541648375.94369042</v>
      </c>
      <c r="AA211" s="25">
        <f t="shared" si="6"/>
        <v>2936211.5395504553</v>
      </c>
      <c r="AB211" s="25">
        <f t="shared" si="22"/>
        <v>19089260214.387627</v>
      </c>
      <c r="AC211" s="25">
        <f>AA211/((1+'How much will I make'!$C$5/12)^(Calculations!$B$1*12-Calculations!$A211))</f>
        <v>943634.27149100276</v>
      </c>
      <c r="AD211" s="25">
        <f t="shared" si="23"/>
        <v>3099730449.2694445</v>
      </c>
      <c r="AE211" s="25">
        <f t="shared" si="7"/>
        <v>8847650.6633900981</v>
      </c>
      <c r="AF211" s="25">
        <f t="shared" si="24"/>
        <v>114265730887.58028</v>
      </c>
      <c r="AG211" s="25">
        <f>AE211/((1+'How much will I make'!$C$5/12)^(Calculations!$B$1*12-Calculations!$A211))</f>
        <v>2843441.7192683797</v>
      </c>
      <c r="AH211" s="25">
        <f t="shared" si="25"/>
        <v>18126176473.703476</v>
      </c>
    </row>
    <row r="212" spans="1:34" ht="15.75" customHeight="1">
      <c r="A212" s="22">
        <f t="shared" si="8"/>
        <v>208</v>
      </c>
      <c r="B212" s="22">
        <f t="shared" si="42"/>
        <v>1146.0091589005169</v>
      </c>
      <c r="C212" s="25">
        <f t="shared" si="0"/>
        <v>3551.1247019320667</v>
      </c>
      <c r="D212" s="25">
        <f t="shared" si="10"/>
        <v>738488.49050956662</v>
      </c>
      <c r="E212" s="25">
        <f>$C212/((1+'How much will I make'!$C$5/12)^(Calculations!$B$1*12-Calculations!$A212))</f>
        <v>1146.0091589005169</v>
      </c>
      <c r="F212" s="25">
        <f t="shared" si="11"/>
        <v>159626.23477172642</v>
      </c>
      <c r="G212" s="25">
        <f t="shared" si="1"/>
        <v>10952.414956484543</v>
      </c>
      <c r="H212" s="25">
        <f t="shared" si="12"/>
        <v>3610624.4218243426</v>
      </c>
      <c r="I212" s="25">
        <f>G212/((1+'How much will I make'!$C$5/12)^(Calculations!$B$1*12-Calculations!$A212))</f>
        <v>3534.5331143627086</v>
      </c>
      <c r="J212" s="25">
        <f t="shared" si="13"/>
        <v>733725.43607629777</v>
      </c>
      <c r="K212" s="25">
        <f t="shared" si="2"/>
        <v>33623.023311803016</v>
      </c>
      <c r="L212" s="25">
        <f t="shared" si="14"/>
        <v>18601134.380329851</v>
      </c>
      <c r="M212" s="25">
        <f>K212/((1+'How much will I make'!$C$5/12)^(Calculations!$B$1*12-Calculations!$A212))</f>
        <v>10850.729247634565</v>
      </c>
      <c r="N212" s="25">
        <f t="shared" si="15"/>
        <v>3562591.3938577869</v>
      </c>
      <c r="O212" s="25">
        <f t="shared" si="3"/>
        <v>102745.57030392127</v>
      </c>
      <c r="P212" s="25">
        <f t="shared" si="16"/>
        <v>100326416.83050981</v>
      </c>
      <c r="Q212" s="25">
        <f>O212/((1+'How much will I make'!$C$5/12)^(Calculations!$B$1*12-Calculations!$A212))</f>
        <v>33157.766760679435</v>
      </c>
      <c r="R212" s="25">
        <f t="shared" si="17"/>
        <v>18219963.907510407</v>
      </c>
      <c r="S212" s="25">
        <f t="shared" si="4"/>
        <v>312539.77137061011</v>
      </c>
      <c r="T212" s="25">
        <f t="shared" si="18"/>
        <v>561857691.19551539</v>
      </c>
      <c r="U212" s="25">
        <f>S212/((1+'How much will I make'!$C$5/12)^(Calculations!$B$1*12-Calculations!$A212))</f>
        <v>100861.97207226226</v>
      </c>
      <c r="V212" s="25">
        <f t="shared" si="19"/>
        <v>97526880.113457471</v>
      </c>
      <c r="W212" s="25">
        <f t="shared" si="5"/>
        <v>946410.33686179097</v>
      </c>
      <c r="X212" s="25">
        <f t="shared" si="20"/>
        <v>3239837748.7514009</v>
      </c>
      <c r="Y212" s="25">
        <f>W212/((1+'How much will I make'!$C$5/12)^(Calculations!$B$1*12-Calculations!$A212))</f>
        <v>305422.93080601719</v>
      </c>
      <c r="Z212" s="25">
        <f t="shared" si="21"/>
        <v>541953798.87449646</v>
      </c>
      <c r="AA212" s="25">
        <f t="shared" si="6"/>
        <v>2852999.0667696735</v>
      </c>
      <c r="AB212" s="25">
        <f t="shared" si="22"/>
        <v>19092113213.454395</v>
      </c>
      <c r="AC212" s="25">
        <f>AA212/((1+'How much will I make'!$C$5/12)^(Calculations!$B$1*12-Calculations!$A212))</f>
        <v>920711.98149527004</v>
      </c>
      <c r="AD212" s="25">
        <f t="shared" si="23"/>
        <v>3100651161.2509398</v>
      </c>
      <c r="AE212" s="25">
        <f t="shared" si="7"/>
        <v>8562242.5774742886</v>
      </c>
      <c r="AF212" s="25">
        <f t="shared" si="24"/>
        <v>114274293130.15775</v>
      </c>
      <c r="AG212" s="25">
        <f>AE212/((1+'How much will I make'!$C$5/12)^(Calculations!$B$1*12-Calculations!$A212))</f>
        <v>2763183.2836438692</v>
      </c>
      <c r="AH212" s="25">
        <f t="shared" si="25"/>
        <v>18128939656.987122</v>
      </c>
    </row>
    <row r="213" spans="1:34" ht="15.75" customHeight="1">
      <c r="A213" s="22">
        <f t="shared" si="8"/>
        <v>209</v>
      </c>
      <c r="B213" s="22">
        <f t="shared" si="42"/>
        <v>1146.0091589005169</v>
      </c>
      <c r="C213" s="25">
        <f t="shared" si="0"/>
        <v>3536.3897446626397</v>
      </c>
      <c r="D213" s="25">
        <f t="shared" si="10"/>
        <v>742024.8802542293</v>
      </c>
      <c r="E213" s="25">
        <f>$C213/((1+'How much will I make'!$C$5/12)^(Calculations!$B$1*12-Calculations!$A213))</f>
        <v>1146.0091589005169</v>
      </c>
      <c r="F213" s="25">
        <f t="shared" si="11"/>
        <v>160772.24393062695</v>
      </c>
      <c r="G213" s="25">
        <f t="shared" si="1"/>
        <v>10861.899130397893</v>
      </c>
      <c r="H213" s="25">
        <f t="shared" si="12"/>
        <v>3621486.3209547405</v>
      </c>
      <c r="I213" s="25">
        <f>G213/((1+'How much will I make'!$C$5/12)^(Calculations!$B$1*12-Calculations!$A213))</f>
        <v>3519.9276056256717</v>
      </c>
      <c r="J213" s="25">
        <f t="shared" si="13"/>
        <v>737245.36368192348</v>
      </c>
      <c r="K213" s="25">
        <f t="shared" si="2"/>
        <v>33207.924258570871</v>
      </c>
      <c r="L213" s="25">
        <f t="shared" si="14"/>
        <v>18634342.304588422</v>
      </c>
      <c r="M213" s="25">
        <f>K213/((1+'How much will I make'!$C$5/12)^(Calculations!$B$1*12-Calculations!$A213))</f>
        <v>10761.422834073781</v>
      </c>
      <c r="N213" s="25">
        <f t="shared" si="15"/>
        <v>3573352.8166918606</v>
      </c>
      <c r="O213" s="25">
        <f t="shared" si="3"/>
        <v>101061.21669238157</v>
      </c>
      <c r="P213" s="25">
        <f t="shared" si="16"/>
        <v>100427478.0472022</v>
      </c>
      <c r="Q213" s="25">
        <f>O213/((1+'How much will I make'!$C$5/12)^(Calculations!$B$1*12-Calculations!$A213))</f>
        <v>32750.089300507138</v>
      </c>
      <c r="R213" s="25">
        <f t="shared" si="17"/>
        <v>18252713.996810913</v>
      </c>
      <c r="S213" s="25">
        <f t="shared" si="4"/>
        <v>306161.40868957731</v>
      </c>
      <c r="T213" s="25">
        <f t="shared" si="18"/>
        <v>562163852.60420501</v>
      </c>
      <c r="U213" s="25">
        <f>S213/((1+'How much will I make'!$C$5/12)^(Calculations!$B$1*12-Calculations!$A213))</f>
        <v>99215.245997613078</v>
      </c>
      <c r="V213" s="25">
        <f t="shared" si="19"/>
        <v>97626095.359455079</v>
      </c>
      <c r="W213" s="25">
        <f t="shared" si="5"/>
        <v>923327.1579139427</v>
      </c>
      <c r="X213" s="25">
        <f t="shared" si="20"/>
        <v>3240761075.9093151</v>
      </c>
      <c r="Y213" s="25">
        <f>W213/((1+'How much will I make'!$C$5/12)^(Calculations!$B$1*12-Calculations!$A213))</f>
        <v>299215.14765955345</v>
      </c>
      <c r="Z213" s="25">
        <f t="shared" si="21"/>
        <v>542253014.022156</v>
      </c>
      <c r="AA213" s="25">
        <f t="shared" si="6"/>
        <v>2772144.8422053512</v>
      </c>
      <c r="AB213" s="25">
        <f t="shared" si="22"/>
        <v>19094885358.2966</v>
      </c>
      <c r="AC213" s="25">
        <f>AA213/((1+'How much will I make'!$C$5/12)^(Calculations!$B$1*12-Calculations!$A213))</f>
        <v>898346.50826056709</v>
      </c>
      <c r="AD213" s="25">
        <f t="shared" si="23"/>
        <v>3101549507.7592006</v>
      </c>
      <c r="AE213" s="25">
        <f t="shared" si="7"/>
        <v>8286041.2040073732</v>
      </c>
      <c r="AF213" s="25">
        <f t="shared" si="24"/>
        <v>114282579171.36176</v>
      </c>
      <c r="AG213" s="25">
        <f>AE213/((1+'How much will I make'!$C$5/12)^(Calculations!$B$1*12-Calculations!$A213))</f>
        <v>2685190.2070894036</v>
      </c>
      <c r="AH213" s="25">
        <f t="shared" si="25"/>
        <v>18131624847.19421</v>
      </c>
    </row>
    <row r="214" spans="1:34" ht="15.75" customHeight="1">
      <c r="A214" s="22">
        <f t="shared" si="8"/>
        <v>210</v>
      </c>
      <c r="B214" s="22">
        <f t="shared" si="42"/>
        <v>1146.0091589005169</v>
      </c>
      <c r="C214" s="25">
        <f t="shared" si="0"/>
        <v>3521.7159282947437</v>
      </c>
      <c r="D214" s="25">
        <f t="shared" si="10"/>
        <v>745546.59618252399</v>
      </c>
      <c r="E214" s="25">
        <f>$C214/((1+'How much will I make'!$C$5/12)^(Calculations!$B$1*12-Calculations!$A214))</f>
        <v>1146.0091589005169</v>
      </c>
      <c r="F214" s="25">
        <f t="shared" si="11"/>
        <v>161918.25308952748</v>
      </c>
      <c r="G214" s="25">
        <f t="shared" si="1"/>
        <v>10772.131368989645</v>
      </c>
      <c r="H214" s="25">
        <f t="shared" si="12"/>
        <v>3632258.4523237301</v>
      </c>
      <c r="I214" s="25">
        <f>G214/((1+'How much will I make'!$C$5/12)^(Calculations!$B$1*12-Calculations!$A214))</f>
        <v>3505.3824502305256</v>
      </c>
      <c r="J214" s="25">
        <f t="shared" si="13"/>
        <v>740750.74613215402</v>
      </c>
      <c r="K214" s="25">
        <f t="shared" si="2"/>
        <v>32797.949885008282</v>
      </c>
      <c r="L214" s="25">
        <f t="shared" si="14"/>
        <v>18667140.254473429</v>
      </c>
      <c r="M214" s="25">
        <f>K214/((1+'How much will I make'!$C$5/12)^(Calculations!$B$1*12-Calculations!$A214))</f>
        <v>10672.851452723387</v>
      </c>
      <c r="N214" s="25">
        <f t="shared" si="15"/>
        <v>3584025.6681445842</v>
      </c>
      <c r="O214" s="25">
        <f t="shared" si="3"/>
        <v>99404.475435129454</v>
      </c>
      <c r="P214" s="25">
        <f t="shared" si="16"/>
        <v>100526882.52263732</v>
      </c>
      <c r="Q214" s="25">
        <f>O214/((1+'How much will I make'!$C$5/12)^(Calculations!$B$1*12-Calculations!$A214))</f>
        <v>32347.424268123879</v>
      </c>
      <c r="R214" s="25">
        <f t="shared" si="17"/>
        <v>18285061.421079036</v>
      </c>
      <c r="S214" s="25">
        <f t="shared" si="4"/>
        <v>299913.21667550434</v>
      </c>
      <c r="T214" s="25">
        <f t="shared" si="18"/>
        <v>562463765.82088053</v>
      </c>
      <c r="U214" s="25">
        <f>S214/((1+'How much will I make'!$C$5/12)^(Calculations!$B$1*12-Calculations!$A214))</f>
        <v>97595.405246631693</v>
      </c>
      <c r="V214" s="25">
        <f t="shared" si="19"/>
        <v>97723690.764701709</v>
      </c>
      <c r="W214" s="25">
        <f t="shared" si="5"/>
        <v>900806.98333067563</v>
      </c>
      <c r="X214" s="25">
        <f t="shared" si="20"/>
        <v>3241661882.8926458</v>
      </c>
      <c r="Y214" s="25">
        <f>W214/((1+'How much will I make'!$C$5/12)^(Calculations!$B$1*12-Calculations!$A214))</f>
        <v>293133.53896728618</v>
      </c>
      <c r="Z214" s="25">
        <f t="shared" si="21"/>
        <v>542546147.56112325</v>
      </c>
      <c r="AA214" s="25">
        <f t="shared" si="6"/>
        <v>2693582.0329120825</v>
      </c>
      <c r="AB214" s="25">
        <f t="shared" si="22"/>
        <v>19097578940.329514</v>
      </c>
      <c r="AC214" s="25">
        <f>AA214/((1+'How much will I make'!$C$5/12)^(Calculations!$B$1*12-Calculations!$A214))</f>
        <v>876524.32587367122</v>
      </c>
      <c r="AD214" s="25">
        <f t="shared" si="23"/>
        <v>3102426032.0850744</v>
      </c>
      <c r="AE214" s="25">
        <f t="shared" si="7"/>
        <v>8018749.5522651998</v>
      </c>
      <c r="AF214" s="25">
        <f t="shared" si="24"/>
        <v>114290597920.91402</v>
      </c>
      <c r="AG214" s="25">
        <f>AE214/((1+'How much will I make'!$C$5/12)^(Calculations!$B$1*12-Calculations!$A214))</f>
        <v>2609398.5480183326</v>
      </c>
      <c r="AH214" s="25">
        <f t="shared" si="25"/>
        <v>18134234245.742229</v>
      </c>
    </row>
    <row r="215" spans="1:34" ht="15.75" customHeight="1">
      <c r="A215" s="22">
        <f t="shared" si="8"/>
        <v>211</v>
      </c>
      <c r="B215" s="22">
        <f t="shared" si="42"/>
        <v>1146.0091589005169</v>
      </c>
      <c r="C215" s="25">
        <f t="shared" si="0"/>
        <v>3507.102999131695</v>
      </c>
      <c r="D215" s="25">
        <f t="shared" si="10"/>
        <v>749053.69918165565</v>
      </c>
      <c r="E215" s="25">
        <f>$C215/((1+'How much will I make'!$C$5/12)^(Calculations!$B$1*12-Calculations!$A215))</f>
        <v>1146.0091589005169</v>
      </c>
      <c r="F215" s="25">
        <f t="shared" si="11"/>
        <v>163064.26224842801</v>
      </c>
      <c r="G215" s="25">
        <f t="shared" si="1"/>
        <v>10683.105489907088</v>
      </c>
      <c r="H215" s="25">
        <f t="shared" si="12"/>
        <v>3642941.557813637</v>
      </c>
      <c r="I215" s="25">
        <f>G215/((1+'How much will I make'!$C$5/12)^(Calculations!$B$1*12-Calculations!$A215))</f>
        <v>3490.8973987832924</v>
      </c>
      <c r="J215" s="25">
        <f t="shared" si="13"/>
        <v>744241.64353093726</v>
      </c>
      <c r="K215" s="25">
        <f t="shared" si="2"/>
        <v>32393.036923464959</v>
      </c>
      <c r="L215" s="25">
        <f t="shared" si="14"/>
        <v>18699533.291396894</v>
      </c>
      <c r="M215" s="25">
        <f>K215/((1+'How much will I make'!$C$5/12)^(Calculations!$B$1*12-Calculations!$A215))</f>
        <v>10585.009053935537</v>
      </c>
      <c r="N215" s="25">
        <f t="shared" si="15"/>
        <v>3594610.6771985199</v>
      </c>
      <c r="O215" s="25">
        <f t="shared" si="3"/>
        <v>97774.893870619126</v>
      </c>
      <c r="P215" s="25">
        <f t="shared" si="16"/>
        <v>100624657.41650794</v>
      </c>
      <c r="Q215" s="25">
        <f>O215/((1+'How much will I make'!$C$5/12)^(Calculations!$B$1*12-Calculations!$A215))</f>
        <v>31949.710035319073</v>
      </c>
      <c r="R215" s="25">
        <f t="shared" si="17"/>
        <v>18317011.131114356</v>
      </c>
      <c r="S215" s="25">
        <f t="shared" si="4"/>
        <v>293792.53878416761</v>
      </c>
      <c r="T215" s="25">
        <f t="shared" si="18"/>
        <v>562757558.35966468</v>
      </c>
      <c r="U215" s="25">
        <f>S215/((1+'How much will I make'!$C$5/12)^(Calculations!$B$1*12-Calculations!$A215))</f>
        <v>96002.010875258144</v>
      </c>
      <c r="V215" s="25">
        <f t="shared" si="19"/>
        <v>97819692.775576964</v>
      </c>
      <c r="W215" s="25">
        <f t="shared" si="5"/>
        <v>878836.08129822009</v>
      </c>
      <c r="X215" s="25">
        <f t="shared" si="20"/>
        <v>3242540718.9739442</v>
      </c>
      <c r="Y215" s="25">
        <f>W215/((1+'How much will I make'!$C$5/12)^(Calculations!$B$1*12-Calculations!$A215))</f>
        <v>287175.54020778846</v>
      </c>
      <c r="Z215" s="25">
        <f t="shared" si="21"/>
        <v>542833323.101331</v>
      </c>
      <c r="AA215" s="25">
        <f t="shared" si="6"/>
        <v>2617245.6999955457</v>
      </c>
      <c r="AB215" s="25">
        <f t="shared" si="22"/>
        <v>19100196186.02951</v>
      </c>
      <c r="AC215" s="25">
        <f>AA215/((1+'How much will I make'!$C$5/12)^(Calculations!$B$1*12-Calculations!$A215))</f>
        <v>855232.23698605155</v>
      </c>
      <c r="AD215" s="25">
        <f t="shared" si="23"/>
        <v>3103281264.3220606</v>
      </c>
      <c r="AE215" s="25">
        <f t="shared" si="7"/>
        <v>7760080.2118695481</v>
      </c>
      <c r="AF215" s="25">
        <f t="shared" si="24"/>
        <v>114298358001.12589</v>
      </c>
      <c r="AG215" s="25">
        <f>AE215/((1+'How much will I make'!$C$5/12)^(Calculations!$B$1*12-Calculations!$A215))</f>
        <v>2535746.1696468475</v>
      </c>
      <c r="AH215" s="25">
        <f t="shared" si="25"/>
        <v>18136769991.911877</v>
      </c>
    </row>
    <row r="216" spans="1:34" ht="15.75" customHeight="1">
      <c r="A216" s="22">
        <f t="shared" si="8"/>
        <v>212</v>
      </c>
      <c r="B216" s="22">
        <f t="shared" si="42"/>
        <v>1146.0091589005169</v>
      </c>
      <c r="C216" s="25">
        <f t="shared" si="0"/>
        <v>3492.5507045294894</v>
      </c>
      <c r="D216" s="25">
        <f t="shared" si="10"/>
        <v>752546.24988618516</v>
      </c>
      <c r="E216" s="25">
        <f>$C216/((1+'How much will I make'!$C$5/12)^(Calculations!$B$1*12-Calculations!$A216))</f>
        <v>1146.0091589005169</v>
      </c>
      <c r="F216" s="25">
        <f t="shared" si="11"/>
        <v>164210.27140732855</v>
      </c>
      <c r="G216" s="25">
        <f t="shared" si="1"/>
        <v>10594.815361891329</v>
      </c>
      <c r="H216" s="25">
        <f t="shared" si="12"/>
        <v>3653536.3731755284</v>
      </c>
      <c r="I216" s="25">
        <f>G216/((1+'How much will I make'!$C$5/12)^(Calculations!$B$1*12-Calculations!$A216))</f>
        <v>3476.4722029205514</v>
      </c>
      <c r="J216" s="25">
        <f t="shared" si="13"/>
        <v>747718.11573385785</v>
      </c>
      <c r="K216" s="25">
        <f t="shared" si="2"/>
        <v>31993.122887372807</v>
      </c>
      <c r="L216" s="25">
        <f t="shared" si="14"/>
        <v>18731526.414284267</v>
      </c>
      <c r="M216" s="25">
        <f>K216/((1+'How much will I make'!$C$5/12)^(Calculations!$B$1*12-Calculations!$A216))</f>
        <v>10497.889637853763</v>
      </c>
      <c r="N216" s="25">
        <f t="shared" si="15"/>
        <v>3605108.5668363739</v>
      </c>
      <c r="O216" s="25">
        <f t="shared" si="3"/>
        <v>96172.026757986023</v>
      </c>
      <c r="P216" s="25">
        <f t="shared" si="16"/>
        <v>100720829.44326593</v>
      </c>
      <c r="Q216" s="25">
        <f>O216/((1+'How much will I make'!$C$5/12)^(Calculations!$B$1*12-Calculations!$A216))</f>
        <v>31556.885731606126</v>
      </c>
      <c r="R216" s="25">
        <f t="shared" si="17"/>
        <v>18348568.016845964</v>
      </c>
      <c r="S216" s="25">
        <f t="shared" si="4"/>
        <v>287796.77268653153</v>
      </c>
      <c r="T216" s="25">
        <f t="shared" si="18"/>
        <v>563045355.13235116</v>
      </c>
      <c r="U216" s="25">
        <f>S216/((1+'How much will I make'!$C$5/12)^(Calculations!$B$1*12-Calculations!$A216))</f>
        <v>94434.631105866152</v>
      </c>
      <c r="V216" s="25">
        <f t="shared" si="19"/>
        <v>97914127.406682834</v>
      </c>
      <c r="W216" s="25">
        <f t="shared" si="5"/>
        <v>857401.05492509285</v>
      </c>
      <c r="X216" s="25">
        <f t="shared" si="20"/>
        <v>3243398120.0288692</v>
      </c>
      <c r="Y216" s="25">
        <f>W216/((1+'How much will I make'!$C$5/12)^(Calculations!$B$1*12-Calculations!$A216))</f>
        <v>281338.63898405287</v>
      </c>
      <c r="Z216" s="25">
        <f t="shared" si="21"/>
        <v>543114661.74031508</v>
      </c>
      <c r="AA216" s="25">
        <f t="shared" si="6"/>
        <v>2543072.7449349435</v>
      </c>
      <c r="AB216" s="25">
        <f t="shared" si="22"/>
        <v>19102739258.774445</v>
      </c>
      <c r="AC216" s="25">
        <f>AA216/((1+'How much will I make'!$C$5/12)^(Calculations!$B$1*12-Calculations!$A216))</f>
        <v>834457.36483254423</v>
      </c>
      <c r="AD216" s="25">
        <f t="shared" si="23"/>
        <v>3104115721.686893</v>
      </c>
      <c r="AE216" s="25">
        <f t="shared" si="7"/>
        <v>7509755.0437447233</v>
      </c>
      <c r="AF216" s="25">
        <f t="shared" si="24"/>
        <v>114305867756.16963</v>
      </c>
      <c r="AG216" s="25">
        <f>AE216/((1+'How much will I make'!$C$5/12)^(Calculations!$B$1*12-Calculations!$A216))</f>
        <v>2464172.689051976</v>
      </c>
      <c r="AH216" s="25">
        <f t="shared" si="25"/>
        <v>18139234164.600929</v>
      </c>
    </row>
    <row r="217" spans="1:34" ht="15.75" customHeight="1">
      <c r="A217" s="22">
        <f t="shared" si="8"/>
        <v>213</v>
      </c>
      <c r="B217" s="22">
        <f t="shared" si="42"/>
        <v>1146.0091589005169</v>
      </c>
      <c r="C217" s="25">
        <f t="shared" si="0"/>
        <v>3478.0587928924374</v>
      </c>
      <c r="D217" s="25">
        <f t="shared" si="10"/>
        <v>756024.30867907766</v>
      </c>
      <c r="E217" s="25">
        <f>$C217/((1+'How much will I make'!$C$5/12)^(Calculations!$B$1*12-Calculations!$A217))</f>
        <v>1146.0091589005169</v>
      </c>
      <c r="F217" s="25">
        <f t="shared" si="11"/>
        <v>165356.28056622908</v>
      </c>
      <c r="G217" s="25">
        <f t="shared" si="1"/>
        <v>10507.254904355035</v>
      </c>
      <c r="H217" s="25">
        <f t="shared" si="12"/>
        <v>3664043.6280798833</v>
      </c>
      <c r="I217" s="25">
        <f>G217/((1+'How much will I make'!$C$5/12)^(Calculations!$B$1*12-Calculations!$A217))</f>
        <v>3462.106615305177</v>
      </c>
      <c r="J217" s="25">
        <f t="shared" si="13"/>
        <v>751180.22234916303</v>
      </c>
      <c r="K217" s="25">
        <f t="shared" si="2"/>
        <v>31598.146061602765</v>
      </c>
      <c r="L217" s="25">
        <f t="shared" si="14"/>
        <v>18763124.56034587</v>
      </c>
      <c r="M217" s="25">
        <f>K217/((1+'How much will I make'!$C$5/12)^(Calculations!$B$1*12-Calculations!$A217))</f>
        <v>10411.487254003114</v>
      </c>
      <c r="N217" s="25">
        <f t="shared" si="15"/>
        <v>3615520.0540903769</v>
      </c>
      <c r="O217" s="25">
        <f t="shared" si="3"/>
        <v>94595.436155396077</v>
      </c>
      <c r="P217" s="25">
        <f t="shared" si="16"/>
        <v>100815424.87942132</v>
      </c>
      <c r="Q217" s="25">
        <f>O217/((1+'How much will I make'!$C$5/12)^(Calculations!$B$1*12-Calculations!$A217))</f>
        <v>31168.891234906052</v>
      </c>
      <c r="R217" s="25">
        <f t="shared" si="17"/>
        <v>18379736.908080868</v>
      </c>
      <c r="S217" s="25">
        <f t="shared" si="4"/>
        <v>281923.36916231661</v>
      </c>
      <c r="T217" s="25">
        <f t="shared" si="18"/>
        <v>563327278.50151348</v>
      </c>
      <c r="U217" s="25">
        <f>S217/((1+'How much will I make'!$C$5/12)^(Calculations!$B$1*12-Calculations!$A217))</f>
        <v>92892.841210260187</v>
      </c>
      <c r="V217" s="25">
        <f t="shared" si="19"/>
        <v>98007020.247893095</v>
      </c>
      <c r="W217" s="25">
        <f t="shared" si="5"/>
        <v>836488.83407326136</v>
      </c>
      <c r="X217" s="25">
        <f t="shared" si="20"/>
        <v>3244234608.8629422</v>
      </c>
      <c r="Y217" s="25">
        <f>W217/((1+'How much will I make'!$C$5/12)^(Calculations!$B$1*12-Calculations!$A217))</f>
        <v>275620.37396405183</v>
      </c>
      <c r="Z217" s="25">
        <f t="shared" si="21"/>
        <v>543390282.11427915</v>
      </c>
      <c r="AA217" s="25">
        <f t="shared" si="6"/>
        <v>2471001.8574266667</v>
      </c>
      <c r="AB217" s="25">
        <f t="shared" si="22"/>
        <v>19105210260.63187</v>
      </c>
      <c r="AC217" s="25">
        <f>AA217/((1+'How much will I make'!$C$5/12)^(Calculations!$B$1*12-Calculations!$A217))</f>
        <v>814187.14544389979</v>
      </c>
      <c r="AD217" s="25">
        <f t="shared" si="23"/>
        <v>3104929908.8323369</v>
      </c>
      <c r="AE217" s="25">
        <f t="shared" si="7"/>
        <v>7267504.8810432795</v>
      </c>
      <c r="AF217" s="25">
        <f t="shared" si="24"/>
        <v>114313135261.05067</v>
      </c>
      <c r="AG217" s="25">
        <f>AE217/((1+'How much will I make'!$C$5/12)^(Calculations!$B$1*12-Calculations!$A217))</f>
        <v>2394619.4276674441</v>
      </c>
      <c r="AH217" s="25">
        <f t="shared" si="25"/>
        <v>18141628784.028595</v>
      </c>
    </row>
    <row r="218" spans="1:34" ht="15.75" customHeight="1">
      <c r="A218" s="22">
        <f t="shared" si="8"/>
        <v>214</v>
      </c>
      <c r="B218" s="22">
        <f t="shared" si="42"/>
        <v>1146.0091589005169</v>
      </c>
      <c r="C218" s="25">
        <f t="shared" si="0"/>
        <v>3463.6270136688172</v>
      </c>
      <c r="D218" s="25">
        <f t="shared" si="10"/>
        <v>759487.93569274643</v>
      </c>
      <c r="E218" s="25">
        <f>$C218/((1+'How much will I make'!$C$5/12)^(Calculations!$B$1*12-Calculations!$A218))</f>
        <v>1146.0091589005169</v>
      </c>
      <c r="F218" s="25">
        <f t="shared" si="11"/>
        <v>166502.28972512961</v>
      </c>
      <c r="G218" s="25">
        <f t="shared" si="1"/>
        <v>10420.418086963671</v>
      </c>
      <c r="H218" s="25">
        <f t="shared" si="12"/>
        <v>3674464.046166847</v>
      </c>
      <c r="I218" s="25">
        <f>G218/((1+'How much will I make'!$C$5/12)^(Calculations!$B$1*12-Calculations!$A218))</f>
        <v>3447.8003896220976</v>
      </c>
      <c r="J218" s="25">
        <f t="shared" si="13"/>
        <v>754628.02273878513</v>
      </c>
      <c r="K218" s="25">
        <f t="shared" si="2"/>
        <v>31208.045492941012</v>
      </c>
      <c r="L218" s="25">
        <f t="shared" si="14"/>
        <v>18794332.605838809</v>
      </c>
      <c r="M218" s="25">
        <f>K218/((1+'How much will I make'!$C$5/12)^(Calculations!$B$1*12-Calculations!$A218))</f>
        <v>10325.796000883749</v>
      </c>
      <c r="N218" s="25">
        <f t="shared" si="15"/>
        <v>3625845.8500912609</v>
      </c>
      <c r="O218" s="25">
        <f t="shared" si="3"/>
        <v>93044.69130038959</v>
      </c>
      <c r="P218" s="25">
        <f t="shared" si="16"/>
        <v>100908469.57072172</v>
      </c>
      <c r="Q218" s="25">
        <f>O218/((1+'How much will I make'!$C$5/12)^(Calculations!$B$1*12-Calculations!$A218))</f>
        <v>30785.667162345733</v>
      </c>
      <c r="R218" s="25">
        <f t="shared" si="17"/>
        <v>18410522.575243216</v>
      </c>
      <c r="S218" s="25">
        <f t="shared" si="4"/>
        <v>276169.83101614693</v>
      </c>
      <c r="T218" s="25">
        <f t="shared" si="18"/>
        <v>563603448.33252966</v>
      </c>
      <c r="U218" s="25">
        <f>S218/((1+'How much will I make'!$C$5/12)^(Calculations!$B$1*12-Calculations!$A218))</f>
        <v>91376.223394582485</v>
      </c>
      <c r="V218" s="25">
        <f t="shared" si="19"/>
        <v>98098396.471287683</v>
      </c>
      <c r="W218" s="25">
        <f t="shared" si="5"/>
        <v>816086.66738854768</v>
      </c>
      <c r="X218" s="25">
        <f t="shared" si="20"/>
        <v>3245050695.5303307</v>
      </c>
      <c r="Y218" s="25">
        <f>W218/((1+'How much will I make'!$C$5/12)^(Calculations!$B$1*12-Calculations!$A218))</f>
        <v>270018.33384283131</v>
      </c>
      <c r="Z218" s="25">
        <f t="shared" si="21"/>
        <v>543660300.44812202</v>
      </c>
      <c r="AA218" s="25">
        <f t="shared" si="6"/>
        <v>2400973.464706073</v>
      </c>
      <c r="AB218" s="25">
        <f t="shared" si="22"/>
        <v>19107611234.096577</v>
      </c>
      <c r="AC218" s="25">
        <f>AA218/((1+'How much will I make'!$C$5/12)^(Calculations!$B$1*12-Calculations!$A218))</f>
        <v>794409.32004850148</v>
      </c>
      <c r="AD218" s="25">
        <f t="shared" si="23"/>
        <v>3105724318.1523852</v>
      </c>
      <c r="AE218" s="25">
        <f t="shared" si="7"/>
        <v>7033069.2397193015</v>
      </c>
      <c r="AF218" s="25">
        <f t="shared" si="24"/>
        <v>114320168330.29039</v>
      </c>
      <c r="AG218" s="25">
        <f>AE218/((1+'How much will I make'!$C$5/12)^(Calculations!$B$1*12-Calculations!$A218))</f>
        <v>2327029.3631768306</v>
      </c>
      <c r="AH218" s="25">
        <f t="shared" si="25"/>
        <v>18143955813.391773</v>
      </c>
    </row>
    <row r="219" spans="1:34" ht="15.75" customHeight="1">
      <c r="A219" s="22">
        <f t="shared" si="8"/>
        <v>215</v>
      </c>
      <c r="B219" s="22">
        <f t="shared" si="42"/>
        <v>1146.0091589005169</v>
      </c>
      <c r="C219" s="25">
        <f t="shared" si="0"/>
        <v>3449.2551173465395</v>
      </c>
      <c r="D219" s="25">
        <f t="shared" si="10"/>
        <v>762937.19081009296</v>
      </c>
      <c r="E219" s="25">
        <f>$C219/((1+'How much will I make'!$C$5/12)^(Calculations!$B$1*12-Calculations!$A219))</f>
        <v>1146.0091589005169</v>
      </c>
      <c r="F219" s="25">
        <f t="shared" si="11"/>
        <v>167648.29888403014</v>
      </c>
      <c r="G219" s="25">
        <f t="shared" si="1"/>
        <v>10334.298929220171</v>
      </c>
      <c r="H219" s="25">
        <f t="shared" si="12"/>
        <v>3684798.3450960671</v>
      </c>
      <c r="I219" s="25">
        <f>G219/((1+'How much will I make'!$C$5/12)^(Calculations!$B$1*12-Calculations!$A219))</f>
        <v>3433.5532805740731</v>
      </c>
      <c r="J219" s="25">
        <f t="shared" si="13"/>
        <v>758061.57601935917</v>
      </c>
      <c r="K219" s="25">
        <f t="shared" si="2"/>
        <v>30822.76098068248</v>
      </c>
      <c r="L219" s="25">
        <f t="shared" si="14"/>
        <v>18825155.366819493</v>
      </c>
      <c r="M219" s="25">
        <f>K219/((1+'How much will I make'!$C$5/12)^(Calculations!$B$1*12-Calculations!$A219))</f>
        <v>10240.810025567835</v>
      </c>
      <c r="N219" s="25">
        <f t="shared" si="15"/>
        <v>3636086.6601168285</v>
      </c>
      <c r="O219" s="25">
        <f t="shared" si="3"/>
        <v>91519.368492186506</v>
      </c>
      <c r="P219" s="25">
        <f t="shared" si="16"/>
        <v>100999988.9392139</v>
      </c>
      <c r="Q219" s="25">
        <f>O219/((1+'How much will I make'!$C$5/12)^(Calculations!$B$1*12-Calculations!$A219))</f>
        <v>30407.154861169362</v>
      </c>
      <c r="R219" s="25">
        <f t="shared" si="17"/>
        <v>18440929.730104387</v>
      </c>
      <c r="S219" s="25">
        <f t="shared" si="4"/>
        <v>270533.71201581747</v>
      </c>
      <c r="T219" s="25">
        <f t="shared" si="18"/>
        <v>563873982.04454553</v>
      </c>
      <c r="U219" s="25">
        <f>S219/((1+'How much will I make'!$C$5/12)^(Calculations!$B$1*12-Calculations!$A219))</f>
        <v>89884.366686099544</v>
      </c>
      <c r="V219" s="25">
        <f t="shared" si="19"/>
        <v>98188280.837973788</v>
      </c>
      <c r="W219" s="25">
        <f t="shared" si="5"/>
        <v>796182.11452541233</v>
      </c>
      <c r="X219" s="25">
        <f t="shared" si="20"/>
        <v>3245846877.644856</v>
      </c>
      <c r="Y219" s="25">
        <f>W219/((1+'How much will I make'!$C$5/12)^(Calculations!$B$1*12-Calculations!$A219))</f>
        <v>264530.15632570058</v>
      </c>
      <c r="Z219" s="25">
        <f t="shared" si="21"/>
        <v>543924830.60444772</v>
      </c>
      <c r="AA219" s="25">
        <f t="shared" si="6"/>
        <v>2332929.6823054957</v>
      </c>
      <c r="AB219" s="25">
        <f t="shared" si="22"/>
        <v>19109944163.778881</v>
      </c>
      <c r="AC219" s="25">
        <f>AA219/((1+'How much will I make'!$C$5/12)^(Calculations!$B$1*12-Calculations!$A219))</f>
        <v>775111.92765865929</v>
      </c>
      <c r="AD219" s="25">
        <f t="shared" si="23"/>
        <v>3106499430.0800438</v>
      </c>
      <c r="AE219" s="25">
        <f t="shared" si="7"/>
        <v>6806196.0384380333</v>
      </c>
      <c r="AF219" s="25">
        <f t="shared" si="24"/>
        <v>114326974526.32883</v>
      </c>
      <c r="AG219" s="25">
        <f>AE219/((1+'How much will I make'!$C$5/12)^(Calculations!$B$1*12-Calculations!$A219))</f>
        <v>2261347.0827645813</v>
      </c>
      <c r="AH219" s="25">
        <f t="shared" si="25"/>
        <v>18146217160.474537</v>
      </c>
    </row>
    <row r="220" spans="1:34" ht="15.75" customHeight="1">
      <c r="A220" s="22">
        <f t="shared" si="8"/>
        <v>216</v>
      </c>
      <c r="B220" s="22">
        <f t="shared" si="42"/>
        <v>1146.0091589005169</v>
      </c>
      <c r="C220" s="25">
        <f t="shared" si="0"/>
        <v>3434.9428554488363</v>
      </c>
      <c r="D220" s="25">
        <f t="shared" si="10"/>
        <v>766372.13366554177</v>
      </c>
      <c r="E220" s="25">
        <f>$C220/((1+'How much will I make'!$C$5/12)^(Calculations!$B$1*12-Calculations!$A220))</f>
        <v>1146.0091589005169</v>
      </c>
      <c r="F220" s="25">
        <f t="shared" si="11"/>
        <v>168794.30804293067</v>
      </c>
      <c r="G220" s="25">
        <f t="shared" si="1"/>
        <v>10248.891500053061</v>
      </c>
      <c r="H220" s="25">
        <f t="shared" si="12"/>
        <v>3695047.2365961201</v>
      </c>
      <c r="I220" s="25">
        <f>G220/((1+'How much will I make'!$C$5/12)^(Calculations!$B$1*12-Calculations!$A220))</f>
        <v>3419.3650438774857</v>
      </c>
      <c r="J220" s="25">
        <f t="shared" si="13"/>
        <v>761480.94106323668</v>
      </c>
      <c r="K220" s="25">
        <f t="shared" si="2"/>
        <v>30442.23306734072</v>
      </c>
      <c r="L220" s="25">
        <f t="shared" si="14"/>
        <v>18855597.599886835</v>
      </c>
      <c r="M220" s="25">
        <f>K220/((1+'How much will I make'!$C$5/12)^(Calculations!$B$1*12-Calculations!$A220))</f>
        <v>10156.523523299786</v>
      </c>
      <c r="N220" s="25">
        <f t="shared" si="15"/>
        <v>3646243.1836401285</v>
      </c>
      <c r="O220" s="25">
        <f t="shared" si="3"/>
        <v>90019.050975921142</v>
      </c>
      <c r="P220" s="25">
        <f t="shared" si="16"/>
        <v>101090007.99018982</v>
      </c>
      <c r="Q220" s="25">
        <f>O220/((1+'How much will I make'!$C$5/12)^(Calculations!$B$1*12-Calculations!$A220))</f>
        <v>30033.296399761537</v>
      </c>
      <c r="R220" s="25">
        <f t="shared" si="17"/>
        <v>18470963.026504148</v>
      </c>
      <c r="S220" s="25">
        <f t="shared" si="4"/>
        <v>265012.61585222936</v>
      </c>
      <c r="T220" s="25">
        <f t="shared" si="18"/>
        <v>564138994.66039777</v>
      </c>
      <c r="U220" s="25">
        <f>S220/((1+'How much will I make'!$C$5/12)^(Calculations!$B$1*12-Calculations!$A220))</f>
        <v>88416.86682183668</v>
      </c>
      <c r="V220" s="25">
        <f t="shared" si="19"/>
        <v>98276697.704795629</v>
      </c>
      <c r="W220" s="25">
        <f t="shared" si="5"/>
        <v>776763.03856137802</v>
      </c>
      <c r="X220" s="25">
        <f t="shared" si="20"/>
        <v>3246623640.6834173</v>
      </c>
      <c r="Y220" s="25">
        <f>W220/((1+'How much will I make'!$C$5/12)^(Calculations!$B$1*12-Calculations!$A220))</f>
        <v>259153.52713208881</v>
      </c>
      <c r="Z220" s="25">
        <f t="shared" si="21"/>
        <v>544183984.13157976</v>
      </c>
      <c r="AA220" s="25">
        <f t="shared" si="6"/>
        <v>2266814.2662077695</v>
      </c>
      <c r="AB220" s="25">
        <f t="shared" si="22"/>
        <v>19112210978.04509</v>
      </c>
      <c r="AC220" s="25">
        <f>AA220/((1+'How much will I make'!$C$5/12)^(Calculations!$B$1*12-Calculations!$A220))</f>
        <v>756283.29783699149</v>
      </c>
      <c r="AD220" s="25">
        <f t="shared" si="23"/>
        <v>3107255713.3778806</v>
      </c>
      <c r="AE220" s="25">
        <f t="shared" si="7"/>
        <v>6586641.3275206778</v>
      </c>
      <c r="AF220" s="25">
        <f t="shared" si="24"/>
        <v>114333561167.65634</v>
      </c>
      <c r="AG220" s="25">
        <f>AE220/((1+'How much will I make'!$C$5/12)^(Calculations!$B$1*12-Calculations!$A220))</f>
        <v>2197518.7376865488</v>
      </c>
      <c r="AH220" s="25">
        <f t="shared" si="25"/>
        <v>18148414679.212223</v>
      </c>
    </row>
    <row r="221" spans="1:34" ht="15.75" customHeight="1">
      <c r="A221" s="22">
        <f t="shared" si="8"/>
        <v>217</v>
      </c>
      <c r="B221" s="22">
        <f>B220*(1+'How much will I make'!$C$4)</f>
        <v>1203.3096168455429</v>
      </c>
      <c r="C221" s="25">
        <f t="shared" si="0"/>
        <v>3591.7244795564607</v>
      </c>
      <c r="D221" s="25">
        <f t="shared" si="10"/>
        <v>769963.8581450982</v>
      </c>
      <c r="E221" s="25">
        <f>$C221/((1+'How much will I make'!$C$5/12)^(Calculations!$B$1*12-Calculations!$A221))</f>
        <v>1203.3096168455429</v>
      </c>
      <c r="F221" s="25">
        <f t="shared" si="11"/>
        <v>169997.61765977621</v>
      </c>
      <c r="G221" s="25">
        <f t="shared" si="1"/>
        <v>10672.399413278397</v>
      </c>
      <c r="H221" s="25">
        <f t="shared" si="12"/>
        <v>3705719.6360093984</v>
      </c>
      <c r="I221" s="25">
        <f>G221/((1+'How much will I make'!$C$5/12)^(Calculations!$B$1*12-Calculations!$A221))</f>
        <v>3575.4972080710654</v>
      </c>
      <c r="J221" s="25">
        <f t="shared" si="13"/>
        <v>765056.43827130774</v>
      </c>
      <c r="K221" s="25">
        <f t="shared" si="2"/>
        <v>31569.72318094593</v>
      </c>
      <c r="L221" s="25">
        <f t="shared" si="14"/>
        <v>18887167.323067781</v>
      </c>
      <c r="M221" s="25">
        <f>K221/((1+'How much will I make'!$C$5/12)^(Calculations!$B$1*12-Calculations!$A221))</f>
        <v>10576.577273954774</v>
      </c>
      <c r="N221" s="25">
        <f t="shared" si="15"/>
        <v>3656819.7609140831</v>
      </c>
      <c r="O221" s="25">
        <f t="shared" si="3"/>
        <v>92970.495270213636</v>
      </c>
      <c r="P221" s="25">
        <f t="shared" si="16"/>
        <v>101182978.48546003</v>
      </c>
      <c r="Q221" s="25">
        <f>O221/((1+'How much will I make'!$C$5/12)^(Calculations!$B$1*12-Calculations!$A221))</f>
        <v>31147.236286719897</v>
      </c>
      <c r="R221" s="25">
        <f t="shared" si="17"/>
        <v>18502110.262790866</v>
      </c>
      <c r="S221" s="25">
        <f t="shared" si="4"/>
        <v>272584.40487657877</v>
      </c>
      <c r="T221" s="25">
        <f t="shared" si="18"/>
        <v>564411579.06527436</v>
      </c>
      <c r="U221" s="25">
        <f>S221/((1+'How much will I make'!$C$5/12)^(Calculations!$B$1*12-Calculations!$A221))</f>
        <v>91321.992445982731</v>
      </c>
      <c r="V221" s="25">
        <f t="shared" si="19"/>
        <v>98368019.697241604</v>
      </c>
      <c r="W221" s="25">
        <f t="shared" si="5"/>
        <v>795708.47852628992</v>
      </c>
      <c r="X221" s="25">
        <f t="shared" si="20"/>
        <v>3247419349.1619434</v>
      </c>
      <c r="Y221" s="25">
        <f>W221/((1+'How much will I make'!$C$5/12)^(Calculations!$B$1*12-Calculations!$A221))</f>
        <v>266580.48797063041</v>
      </c>
      <c r="Z221" s="25">
        <f t="shared" si="21"/>
        <v>544450564.61955035</v>
      </c>
      <c r="AA221" s="25">
        <f t="shared" si="6"/>
        <v>2312701.1946735149</v>
      </c>
      <c r="AB221" s="25">
        <f t="shared" si="22"/>
        <v>19114523679.239761</v>
      </c>
      <c r="AC221" s="25">
        <f>AA221/((1+'How much will I make'!$C$5/12)^(Calculations!$B$1*12-Calculations!$A221))</f>
        <v>774807.64582044841</v>
      </c>
      <c r="AD221" s="25">
        <f t="shared" si="23"/>
        <v>3108030521.0237012</v>
      </c>
      <c r="AE221" s="25">
        <f t="shared" si="7"/>
        <v>6692877.4779645586</v>
      </c>
      <c r="AF221" s="25">
        <f t="shared" si="24"/>
        <v>114340254045.13431</v>
      </c>
      <c r="AG221" s="25">
        <f>AE221/((1+'How much will I make'!$C$5/12)^(Calculations!$B$1*12-Calculations!$A221))</f>
        <v>2242266.5990789556</v>
      </c>
      <c r="AH221" s="25">
        <f t="shared" si="25"/>
        <v>18150656945.811302</v>
      </c>
    </row>
    <row r="222" spans="1:34" ht="15.75" customHeight="1">
      <c r="A222" s="22">
        <f t="shared" si="8"/>
        <v>218</v>
      </c>
      <c r="B222" s="22">
        <f t="shared" ref="B222:B232" si="43">B221</f>
        <v>1203.3096168455429</v>
      </c>
      <c r="C222" s="25">
        <f t="shared" si="0"/>
        <v>3576.821058479462</v>
      </c>
      <c r="D222" s="25">
        <f t="shared" si="10"/>
        <v>773540.67920357769</v>
      </c>
      <c r="E222" s="25">
        <f>$C222/((1+'How much will I make'!$C$5/12)^(Calculations!$B$1*12-Calculations!$A222))</f>
        <v>1203.3096168455429</v>
      </c>
      <c r="F222" s="25">
        <f t="shared" si="11"/>
        <v>171200.92727662175</v>
      </c>
      <c r="G222" s="25">
        <f t="shared" si="1"/>
        <v>10584.197765234776</v>
      </c>
      <c r="H222" s="25">
        <f t="shared" si="12"/>
        <v>3716303.8337746332</v>
      </c>
      <c r="I222" s="25">
        <f>G222/((1+'How much will I make'!$C$5/12)^(Calculations!$B$1*12-Calculations!$A222))</f>
        <v>3560.7224262195336</v>
      </c>
      <c r="J222" s="25">
        <f t="shared" si="13"/>
        <v>768617.16069752723</v>
      </c>
      <c r="K222" s="25">
        <f t="shared" si="2"/>
        <v>31179.97351204537</v>
      </c>
      <c r="L222" s="25">
        <f t="shared" si="14"/>
        <v>18918347.296579827</v>
      </c>
      <c r="M222" s="25">
        <f>K222/((1+'How much will I make'!$C$5/12)^(Calculations!$B$1*12-Calculations!$A222))</f>
        <v>10489.527255239102</v>
      </c>
      <c r="N222" s="25">
        <f t="shared" si="15"/>
        <v>3667309.2881693221</v>
      </c>
      <c r="O222" s="25">
        <f t="shared" si="3"/>
        <v>91446.388790374112</v>
      </c>
      <c r="P222" s="25">
        <f t="shared" si="16"/>
        <v>101274424.8742504</v>
      </c>
      <c r="Q222" s="25">
        <f>O222/((1+'How much will I make'!$C$5/12)^(Calculations!$B$1*12-Calculations!$A222))</f>
        <v>30764.278463522547</v>
      </c>
      <c r="R222" s="25">
        <f t="shared" si="17"/>
        <v>18532874.54125439</v>
      </c>
      <c r="S222" s="25">
        <f t="shared" si="4"/>
        <v>267021.45783828135</v>
      </c>
      <c r="T222" s="25">
        <f t="shared" si="18"/>
        <v>564678600.52311265</v>
      </c>
      <c r="U222" s="25">
        <f>S222/((1+'How much will I make'!$C$5/12)^(Calculations!$B$1*12-Calculations!$A222))</f>
        <v>89831.021140742247</v>
      </c>
      <c r="V222" s="25">
        <f t="shared" si="19"/>
        <v>98457850.718382344</v>
      </c>
      <c r="W222" s="25">
        <f t="shared" si="5"/>
        <v>776300.95465979492</v>
      </c>
      <c r="X222" s="25">
        <f t="shared" si="20"/>
        <v>3248195650.1166034</v>
      </c>
      <c r="Y222" s="25">
        <f>W222/((1+'How much will I make'!$C$5/12)^(Calculations!$B$1*12-Calculations!$A222))</f>
        <v>261162.18536960139</v>
      </c>
      <c r="Z222" s="25">
        <f t="shared" si="21"/>
        <v>544711726.80491996</v>
      </c>
      <c r="AA222" s="25">
        <f t="shared" si="6"/>
        <v>2247159.0555532128</v>
      </c>
      <c r="AB222" s="25">
        <f t="shared" si="22"/>
        <v>19116770838.295315</v>
      </c>
      <c r="AC222" s="25">
        <f>AA222/((1+'How much will I make'!$C$5/12)^(Calculations!$B$1*12-Calculations!$A222))</f>
        <v>755986.40746043774</v>
      </c>
      <c r="AD222" s="25">
        <f t="shared" si="23"/>
        <v>3108786507.4311614</v>
      </c>
      <c r="AE222" s="25">
        <f t="shared" si="7"/>
        <v>6476978.2044818299</v>
      </c>
      <c r="AF222" s="25">
        <f t="shared" si="24"/>
        <v>114346731023.33879</v>
      </c>
      <c r="AG222" s="25">
        <f>AE222/((1+'How much will I make'!$C$5/12)^(Calculations!$B$1*12-Calculations!$A222))</f>
        <v>2178976.8160404367</v>
      </c>
      <c r="AH222" s="25">
        <f t="shared" si="25"/>
        <v>18152835922.627342</v>
      </c>
    </row>
    <row r="223" spans="1:34" ht="15.75" customHeight="1">
      <c r="A223" s="22">
        <f t="shared" si="8"/>
        <v>219</v>
      </c>
      <c r="B223" s="22">
        <f t="shared" si="43"/>
        <v>1203.3096168455429</v>
      </c>
      <c r="C223" s="25">
        <f t="shared" si="0"/>
        <v>3561.979477323945</v>
      </c>
      <c r="D223" s="25">
        <f t="shared" si="10"/>
        <v>777102.65868090163</v>
      </c>
      <c r="E223" s="25">
        <f>$C223/((1+'How much will I make'!$C$5/12)^(Calculations!$B$1*12-Calculations!$A223))</f>
        <v>1203.3096168455429</v>
      </c>
      <c r="F223" s="25">
        <f t="shared" si="11"/>
        <v>172404.23689346728</v>
      </c>
      <c r="G223" s="25">
        <f t="shared" si="1"/>
        <v>10496.725056431182</v>
      </c>
      <c r="H223" s="25">
        <f t="shared" si="12"/>
        <v>3726800.5588310645</v>
      </c>
      <c r="I223" s="25">
        <f>G223/((1+'How much will I make'!$C$5/12)^(Calculations!$B$1*12-Calculations!$A223))</f>
        <v>3546.0086971855685</v>
      </c>
      <c r="J223" s="25">
        <f t="shared" si="13"/>
        <v>772163.16939471278</v>
      </c>
      <c r="K223" s="25">
        <f t="shared" si="2"/>
        <v>30795.035567452214</v>
      </c>
      <c r="L223" s="25">
        <f t="shared" si="14"/>
        <v>18949142.332147278</v>
      </c>
      <c r="M223" s="25">
        <f>K223/((1+'How much will I make'!$C$5/12)^(Calculations!$B$1*12-Calculations!$A223))</f>
        <v>10403.193697582814</v>
      </c>
      <c r="N223" s="25">
        <f t="shared" si="15"/>
        <v>3677712.481866905</v>
      </c>
      <c r="O223" s="25">
        <f t="shared" si="3"/>
        <v>89947.267662663056</v>
      </c>
      <c r="P223" s="25">
        <f t="shared" si="16"/>
        <v>101364372.14191306</v>
      </c>
      <c r="Q223" s="25">
        <f>O223/((1+'How much will I make'!$C$5/12)^(Calculations!$B$1*12-Calculations!$A223))</f>
        <v>30386.029138151367</v>
      </c>
      <c r="R223" s="25">
        <f t="shared" si="17"/>
        <v>18563260.570392542</v>
      </c>
      <c r="S223" s="25">
        <f t="shared" si="4"/>
        <v>261572.04033137768</v>
      </c>
      <c r="T223" s="25">
        <f t="shared" si="18"/>
        <v>564940172.56344402</v>
      </c>
      <c r="U223" s="25">
        <f>S223/((1+'How much will I make'!$C$5/12)^(Calculations!$B$1*12-Calculations!$A223))</f>
        <v>88364.392224158728</v>
      </c>
      <c r="V223" s="25">
        <f t="shared" si="19"/>
        <v>98546215.110606506</v>
      </c>
      <c r="W223" s="25">
        <f t="shared" si="5"/>
        <v>757366.78503394639</v>
      </c>
      <c r="X223" s="25">
        <f t="shared" si="20"/>
        <v>3248953016.9016376</v>
      </c>
      <c r="Y223" s="25">
        <f>W223/((1+'How much will I make'!$C$5/12)^(Calculations!$B$1*12-Calculations!$A223))</f>
        <v>255854.0108702193</v>
      </c>
      <c r="Z223" s="25">
        <f t="shared" si="21"/>
        <v>544967580.81579018</v>
      </c>
      <c r="AA223" s="25">
        <f t="shared" si="6"/>
        <v>2183474.3859626357</v>
      </c>
      <c r="AB223" s="25">
        <f t="shared" si="22"/>
        <v>19118954312.681278</v>
      </c>
      <c r="AC223" s="25">
        <f>AA223/((1+'How much will I make'!$C$5/12)^(Calculations!$B$1*12-Calculations!$A223))</f>
        <v>737622.36517394939</v>
      </c>
      <c r="AD223" s="25">
        <f t="shared" si="23"/>
        <v>3109524129.7963352</v>
      </c>
      <c r="AE223" s="25">
        <f t="shared" si="7"/>
        <v>6268043.4236920942</v>
      </c>
      <c r="AF223" s="25">
        <f t="shared" si="24"/>
        <v>114352999066.76248</v>
      </c>
      <c r="AG223" s="25">
        <f>AE223/((1+'How much will I make'!$C$5/12)^(Calculations!$B$1*12-Calculations!$A223))</f>
        <v>2117473.4381683283</v>
      </c>
      <c r="AH223" s="25">
        <f t="shared" si="25"/>
        <v>18154953396.06551</v>
      </c>
    </row>
    <row r="224" spans="1:34" ht="15.75" customHeight="1">
      <c r="A224" s="22">
        <f t="shared" si="8"/>
        <v>220</v>
      </c>
      <c r="B224" s="22">
        <f t="shared" si="43"/>
        <v>1203.3096168455429</v>
      </c>
      <c r="C224" s="25">
        <f t="shared" si="0"/>
        <v>3547.1994794927259</v>
      </c>
      <c r="D224" s="25">
        <f t="shared" si="10"/>
        <v>780649.85816039436</v>
      </c>
      <c r="E224" s="25">
        <f>$C224/((1+'How much will I make'!$C$5/12)^(Calculations!$B$1*12-Calculations!$A224))</f>
        <v>1203.3096168455429</v>
      </c>
      <c r="F224" s="25">
        <f t="shared" si="11"/>
        <v>173607.54651031282</v>
      </c>
      <c r="G224" s="25">
        <f t="shared" si="1"/>
        <v>10409.975262576378</v>
      </c>
      <c r="H224" s="25">
        <f t="shared" si="12"/>
        <v>3737210.5340936407</v>
      </c>
      <c r="I224" s="25">
        <f>G224/((1+'How much will I make'!$C$5/12)^(Calculations!$B$1*12-Calculations!$A224))</f>
        <v>3531.3557686848008</v>
      </c>
      <c r="J224" s="25">
        <f t="shared" si="13"/>
        <v>775694.52516339754</v>
      </c>
      <c r="K224" s="25">
        <f t="shared" si="2"/>
        <v>30414.849943162684</v>
      </c>
      <c r="L224" s="25">
        <f t="shared" si="14"/>
        <v>18979557.182090439</v>
      </c>
      <c r="M224" s="25">
        <f>K224/((1+'How much will I make'!$C$5/12)^(Calculations!$B$1*12-Calculations!$A224))</f>
        <v>10317.57070418707</v>
      </c>
      <c r="N224" s="25">
        <f t="shared" si="15"/>
        <v>3688030.0525710923</v>
      </c>
      <c r="O224" s="25">
        <f t="shared" si="3"/>
        <v>88472.722291143989</v>
      </c>
      <c r="P224" s="25">
        <f t="shared" si="16"/>
        <v>101452844.8642042</v>
      </c>
      <c r="Q224" s="25">
        <f>O224/((1+'How much will I make'!$C$5/12)^(Calculations!$B$1*12-Calculations!$A224))</f>
        <v>30012.430419239667</v>
      </c>
      <c r="R224" s="25">
        <f t="shared" si="17"/>
        <v>18593273.000811782</v>
      </c>
      <c r="S224" s="25">
        <f t="shared" si="4"/>
        <v>256233.83542665566</v>
      </c>
      <c r="T224" s="25">
        <f t="shared" si="18"/>
        <v>565196406.39887071</v>
      </c>
      <c r="U224" s="25">
        <f>S224/((1+'How much will I make'!$C$5/12)^(Calculations!$B$1*12-Calculations!$A224))</f>
        <v>86921.708269478564</v>
      </c>
      <c r="V224" s="25">
        <f t="shared" si="19"/>
        <v>98633136.818875983</v>
      </c>
      <c r="W224" s="25">
        <f t="shared" si="5"/>
        <v>738894.42442336248</v>
      </c>
      <c r="X224" s="25">
        <f t="shared" si="20"/>
        <v>3249691911.3260608</v>
      </c>
      <c r="Y224" s="25">
        <f>W224/((1+'How much will I make'!$C$5/12)^(Calculations!$B$1*12-Calculations!$A224))</f>
        <v>250653.72609643437</v>
      </c>
      <c r="Z224" s="25">
        <f t="shared" si="21"/>
        <v>545218234.54188657</v>
      </c>
      <c r="AA224" s="25">
        <f t="shared" si="6"/>
        <v>2121594.5450649098</v>
      </c>
      <c r="AB224" s="25">
        <f t="shared" si="22"/>
        <v>19121075907.226341</v>
      </c>
      <c r="AC224" s="25">
        <f>AA224/((1+'How much will I make'!$C$5/12)^(Calculations!$B$1*12-Calculations!$A224))</f>
        <v>719704.41298348911</v>
      </c>
      <c r="AD224" s="25">
        <f t="shared" si="23"/>
        <v>3110243834.2093186</v>
      </c>
      <c r="AE224" s="25">
        <f t="shared" si="7"/>
        <v>6065848.4745407347</v>
      </c>
      <c r="AF224" s="25">
        <f t="shared" si="24"/>
        <v>114359064915.23703</v>
      </c>
      <c r="AG224" s="25">
        <f>AE224/((1+'How much will I make'!$C$5/12)^(Calculations!$B$1*12-Calculations!$A224))</f>
        <v>2057706.0427361568</v>
      </c>
      <c r="AH224" s="25">
        <f t="shared" si="25"/>
        <v>18157011102.108246</v>
      </c>
    </row>
    <row r="225" spans="1:34" ht="15.75" customHeight="1">
      <c r="A225" s="22">
        <f t="shared" si="8"/>
        <v>221</v>
      </c>
      <c r="B225" s="22">
        <f t="shared" si="43"/>
        <v>1203.3096168455429</v>
      </c>
      <c r="C225" s="25">
        <f t="shared" si="0"/>
        <v>3532.4808094533373</v>
      </c>
      <c r="D225" s="25">
        <f t="shared" si="10"/>
        <v>784182.33896984765</v>
      </c>
      <c r="E225" s="25">
        <f>$C225/((1+'How much will I make'!$C$5/12)^(Calculations!$B$1*12-Calculations!$A225))</f>
        <v>1203.3096168455429</v>
      </c>
      <c r="F225" s="25">
        <f t="shared" si="11"/>
        <v>174810.85612715836</v>
      </c>
      <c r="G225" s="25">
        <f t="shared" si="1"/>
        <v>10323.942409166659</v>
      </c>
      <c r="H225" s="25">
        <f t="shared" si="12"/>
        <v>3747534.4765028073</v>
      </c>
      <c r="I225" s="25">
        <f>G225/((1+'How much will I make'!$C$5/12)^(Calculations!$B$1*12-Calculations!$A225))</f>
        <v>3516.7633894753603</v>
      </c>
      <c r="J225" s="25">
        <f t="shared" si="13"/>
        <v>779211.28855287295</v>
      </c>
      <c r="K225" s="25">
        <f t="shared" si="2"/>
        <v>30039.357968555734</v>
      </c>
      <c r="L225" s="25">
        <f t="shared" si="14"/>
        <v>19009596.540058993</v>
      </c>
      <c r="M225" s="25">
        <f>K225/((1+'How much will I make'!$C$5/12)^(Calculations!$B$1*12-Calculations!$A225))</f>
        <v>10232.652426786351</v>
      </c>
      <c r="N225" s="25">
        <f t="shared" si="15"/>
        <v>3698262.7049978785</v>
      </c>
      <c r="O225" s="25">
        <f t="shared" si="3"/>
        <v>87022.349794567854</v>
      </c>
      <c r="P225" s="25">
        <f t="shared" si="16"/>
        <v>101539867.21399876</v>
      </c>
      <c r="Q225" s="25">
        <f>O225/((1+'How much will I make'!$C$5/12)^(Calculations!$B$1*12-Calculations!$A225))</f>
        <v>29643.425127199829</v>
      </c>
      <c r="R225" s="25">
        <f t="shared" si="17"/>
        <v>18622916.425938983</v>
      </c>
      <c r="S225" s="25">
        <f t="shared" si="4"/>
        <v>251004.57347917292</v>
      </c>
      <c r="T225" s="25">
        <f t="shared" si="18"/>
        <v>565447410.97234988</v>
      </c>
      <c r="U225" s="25">
        <f>S225/((1+'How much will I make'!$C$5/12)^(Calculations!$B$1*12-Calculations!$A225))</f>
        <v>85502.578338548294</v>
      </c>
      <c r="V225" s="25">
        <f t="shared" si="19"/>
        <v>98718639.397214532</v>
      </c>
      <c r="W225" s="25">
        <f t="shared" si="5"/>
        <v>720872.60919352435</v>
      </c>
      <c r="X225" s="25">
        <f t="shared" si="20"/>
        <v>3250412783.9352541</v>
      </c>
      <c r="Y225" s="25">
        <f>W225/((1+'How much will I make'!$C$5/12)^(Calculations!$B$1*12-Calculations!$A225))</f>
        <v>245559.13816764503</v>
      </c>
      <c r="Z225" s="25">
        <f t="shared" si="21"/>
        <v>545463793.68005419</v>
      </c>
      <c r="AA225" s="25">
        <f t="shared" si="6"/>
        <v>2061468.3838687385</v>
      </c>
      <c r="AB225" s="25">
        <f t="shared" si="22"/>
        <v>19123137375.61021</v>
      </c>
      <c r="AC225" s="25">
        <f>AA225/((1+'How much will I make'!$C$5/12)^(Calculations!$B$1*12-Calculations!$A225))</f>
        <v>702221.71469239227</v>
      </c>
      <c r="AD225" s="25">
        <f t="shared" si="23"/>
        <v>3110946055.9240112</v>
      </c>
      <c r="AE225" s="25">
        <f t="shared" si="7"/>
        <v>5870175.9431039365</v>
      </c>
      <c r="AF225" s="25">
        <f t="shared" si="24"/>
        <v>114364935091.18013</v>
      </c>
      <c r="AG225" s="25">
        <f>AE225/((1+'How much will I make'!$C$5/12)^(Calculations!$B$1*12-Calculations!$A225))</f>
        <v>1999625.6302395714</v>
      </c>
      <c r="AH225" s="25">
        <f t="shared" si="25"/>
        <v>18159010727.738487</v>
      </c>
    </row>
    <row r="226" spans="1:34" ht="15.75" customHeight="1">
      <c r="A226" s="22">
        <f t="shared" si="8"/>
        <v>222</v>
      </c>
      <c r="B226" s="22">
        <f t="shared" si="43"/>
        <v>1203.3096168455429</v>
      </c>
      <c r="C226" s="25">
        <f t="shared" si="0"/>
        <v>3517.8232127336137</v>
      </c>
      <c r="D226" s="25">
        <f t="shared" si="10"/>
        <v>787700.16218258126</v>
      </c>
      <c r="E226" s="25">
        <f>$C226/((1+'How much will I make'!$C$5/12)^(Calculations!$B$1*12-Calculations!$A226))</f>
        <v>1203.3096168455429</v>
      </c>
      <c r="F226" s="25">
        <f t="shared" si="11"/>
        <v>176014.1657440039</v>
      </c>
      <c r="G226" s="25">
        <f t="shared" si="1"/>
        <v>10238.620571074372</v>
      </c>
      <c r="H226" s="25">
        <f t="shared" si="12"/>
        <v>3757773.0970738819</v>
      </c>
      <c r="I226" s="25">
        <f>G226/((1+'How much will I make'!$C$5/12)^(Calculations!$B$1*12-Calculations!$A226))</f>
        <v>3502.2313093535618</v>
      </c>
      <c r="J226" s="25">
        <f t="shared" si="13"/>
        <v>782713.51986222656</v>
      </c>
      <c r="K226" s="25">
        <f t="shared" si="2"/>
        <v>29668.501697339001</v>
      </c>
      <c r="L226" s="25">
        <f t="shared" si="14"/>
        <v>19039265.041756332</v>
      </c>
      <c r="M226" s="25">
        <f>K226/((1+'How much will I make'!$C$5/12)^(Calculations!$B$1*12-Calculations!$A226))</f>
        <v>10148.433065249017</v>
      </c>
      <c r="N226" s="25">
        <f t="shared" si="15"/>
        <v>3708411.1380631276</v>
      </c>
      <c r="O226" s="25">
        <f t="shared" si="3"/>
        <v>85595.753896296257</v>
      </c>
      <c r="P226" s="25">
        <f t="shared" si="16"/>
        <v>101625462.96789506</v>
      </c>
      <c r="Q226" s="25">
        <f>O226/((1+'How much will I make'!$C$5/12)^(Calculations!$B$1*12-Calculations!$A226))</f>
        <v>29278.956785471968</v>
      </c>
      <c r="R226" s="25">
        <f t="shared" si="17"/>
        <v>18652195.382724453</v>
      </c>
      <c r="S226" s="25">
        <f t="shared" si="4"/>
        <v>245882.03116327149</v>
      </c>
      <c r="T226" s="25">
        <f t="shared" si="18"/>
        <v>565693293.0035131</v>
      </c>
      <c r="U226" s="25">
        <f>S226/((1+'How much will I make'!$C$5/12)^(Calculations!$B$1*12-Calculations!$A226))</f>
        <v>84106.617875878146</v>
      </c>
      <c r="V226" s="25">
        <f t="shared" si="19"/>
        <v>98802746.015090406</v>
      </c>
      <c r="W226" s="25">
        <f t="shared" si="5"/>
        <v>703290.35043270676</v>
      </c>
      <c r="X226" s="25">
        <f t="shared" si="20"/>
        <v>3251116074.285687</v>
      </c>
      <c r="Y226" s="25">
        <f>W226/((1+'How much will I make'!$C$5/12)^(Calculations!$B$1*12-Calculations!$A226))</f>
        <v>240568.09877399376</v>
      </c>
      <c r="Z226" s="25">
        <f t="shared" si="21"/>
        <v>545704361.77882814</v>
      </c>
      <c r="AA226" s="25">
        <f t="shared" si="6"/>
        <v>2003046.2029493817</v>
      </c>
      <c r="AB226" s="25">
        <f t="shared" si="22"/>
        <v>19125140421.81316</v>
      </c>
      <c r="AC226" s="25">
        <f>AA226/((1+'How much will I make'!$C$5/12)^(Calculations!$B$1*12-Calculations!$A226))</f>
        <v>685163.69733144355</v>
      </c>
      <c r="AD226" s="25">
        <f t="shared" si="23"/>
        <v>3111631219.6213427</v>
      </c>
      <c r="AE226" s="25">
        <f t="shared" si="7"/>
        <v>5680815.4288102612</v>
      </c>
      <c r="AF226" s="25">
        <f t="shared" si="24"/>
        <v>114370615906.60895</v>
      </c>
      <c r="AG226" s="25">
        <f>AE226/((1+'How much will I make'!$C$5/12)^(Calculations!$B$1*12-Calculations!$A226))</f>
        <v>1943184.5842247452</v>
      </c>
      <c r="AH226" s="25">
        <f t="shared" si="25"/>
        <v>18160953912.322712</v>
      </c>
    </row>
    <row r="227" spans="1:34" ht="15.75" customHeight="1">
      <c r="A227" s="22">
        <f t="shared" si="8"/>
        <v>223</v>
      </c>
      <c r="B227" s="22">
        <f t="shared" si="43"/>
        <v>1203.3096168455429</v>
      </c>
      <c r="C227" s="25">
        <f t="shared" si="0"/>
        <v>3503.2264359172909</v>
      </c>
      <c r="D227" s="25">
        <f t="shared" si="10"/>
        <v>791203.38861849857</v>
      </c>
      <c r="E227" s="25">
        <f>$C227/((1+'How much will I make'!$C$5/12)^(Calculations!$B$1*12-Calculations!$A227))</f>
        <v>1203.3096168455429</v>
      </c>
      <c r="F227" s="25">
        <f t="shared" si="11"/>
        <v>177217.47536084944</v>
      </c>
      <c r="G227" s="25">
        <f t="shared" si="1"/>
        <v>10154.003872139872</v>
      </c>
      <c r="H227" s="25">
        <f t="shared" si="12"/>
        <v>3767927.1009460217</v>
      </c>
      <c r="I227" s="25">
        <f>G227/((1+'How much will I make'!$C$5/12)^(Calculations!$B$1*12-Calculations!$A227))</f>
        <v>3487.7592791496213</v>
      </c>
      <c r="J227" s="25">
        <f t="shared" si="13"/>
        <v>786201.27914137614</v>
      </c>
      <c r="K227" s="25">
        <f t="shared" si="2"/>
        <v>29302.223898606419</v>
      </c>
      <c r="L227" s="25">
        <f t="shared" si="14"/>
        <v>19068567.26565494</v>
      </c>
      <c r="M227" s="25">
        <f>K227/((1+'How much will I make'!$C$5/12)^(Calculations!$B$1*12-Calculations!$A227))</f>
        <v>10064.906867181126</v>
      </c>
      <c r="N227" s="25">
        <f t="shared" si="15"/>
        <v>3718476.0449303086</v>
      </c>
      <c r="O227" s="25">
        <f t="shared" si="3"/>
        <v>84192.544816029098</v>
      </c>
      <c r="P227" s="25">
        <f t="shared" si="16"/>
        <v>101709655.51271109</v>
      </c>
      <c r="Q227" s="25">
        <f>O227/((1+'How much will I make'!$C$5/12)^(Calculations!$B$1*12-Calculations!$A227))</f>
        <v>28918.9696118801</v>
      </c>
      <c r="R227" s="25">
        <f t="shared" si="17"/>
        <v>18681114.352336332</v>
      </c>
      <c r="S227" s="25">
        <f t="shared" si="4"/>
        <v>240864.03052728638</v>
      </c>
      <c r="T227" s="25">
        <f t="shared" si="18"/>
        <v>565934157.03404033</v>
      </c>
      <c r="U227" s="25">
        <f>S227/((1+'How much will I make'!$C$5/12)^(Calculations!$B$1*12-Calculations!$A227))</f>
        <v>82733.448604435267</v>
      </c>
      <c r="V227" s="25">
        <f t="shared" si="19"/>
        <v>98885479.463694841</v>
      </c>
      <c r="W227" s="25">
        <f t="shared" si="5"/>
        <v>686136.92725142115</v>
      </c>
      <c r="X227" s="25">
        <f t="shared" si="20"/>
        <v>3251802211.2129383</v>
      </c>
      <c r="Y227" s="25">
        <f>W227/((1+'How much will I make'!$C$5/12)^(Calculations!$B$1*12-Calculations!$A227))</f>
        <v>235678.5032704573</v>
      </c>
      <c r="Z227" s="25">
        <f t="shared" si="21"/>
        <v>545940040.28209865</v>
      </c>
      <c r="AA227" s="25">
        <f t="shared" si="6"/>
        <v>1946279.7113678204</v>
      </c>
      <c r="AB227" s="25">
        <f t="shared" si="22"/>
        <v>19127086701.524529</v>
      </c>
      <c r="AC227" s="25">
        <f>AA227/((1+'How much will I make'!$C$5/12)^(Calculations!$B$1*12-Calculations!$A227))</f>
        <v>668520.04476468801</v>
      </c>
      <c r="AD227" s="25">
        <f t="shared" si="23"/>
        <v>3112299739.6661072</v>
      </c>
      <c r="AE227" s="25">
        <f t="shared" si="7"/>
        <v>5497563.3182034781</v>
      </c>
      <c r="AF227" s="25">
        <f t="shared" si="24"/>
        <v>114376113469.92715</v>
      </c>
      <c r="AG227" s="25">
        <f>AE227/((1+'How much will I make'!$C$5/12)^(Calculations!$B$1*12-Calculations!$A227))</f>
        <v>1888336.6322506596</v>
      </c>
      <c r="AH227" s="25">
        <f t="shared" si="25"/>
        <v>18162842248.954964</v>
      </c>
    </row>
    <row r="228" spans="1:34" ht="15.75" customHeight="1">
      <c r="A228" s="22">
        <f t="shared" si="8"/>
        <v>224</v>
      </c>
      <c r="B228" s="22">
        <f t="shared" si="43"/>
        <v>1203.3096168455429</v>
      </c>
      <c r="C228" s="25">
        <f t="shared" si="0"/>
        <v>3488.690226639626</v>
      </c>
      <c r="D228" s="25">
        <f t="shared" si="10"/>
        <v>794692.0788451382</v>
      </c>
      <c r="E228" s="25">
        <f>$C228/((1+'How much will I make'!$C$5/12)^(Calculations!$B$1*12-Calculations!$A228))</f>
        <v>1203.3096168455429</v>
      </c>
      <c r="F228" s="25">
        <f t="shared" si="11"/>
        <v>178420.78497769497</v>
      </c>
      <c r="G228" s="25">
        <f t="shared" si="1"/>
        <v>10070.086484766816</v>
      </c>
      <c r="H228" s="25">
        <f t="shared" si="12"/>
        <v>3777997.1874307888</v>
      </c>
      <c r="I228" s="25">
        <f>G228/((1+'How much will I make'!$C$5/12)^(Calculations!$B$1*12-Calculations!$A228))</f>
        <v>3473.3470507233833</v>
      </c>
      <c r="J228" s="25">
        <f t="shared" si="13"/>
        <v>789674.62619209953</v>
      </c>
      <c r="K228" s="25">
        <f t="shared" si="2"/>
        <v>28940.46804800634</v>
      </c>
      <c r="L228" s="25">
        <f t="shared" si="14"/>
        <v>19097507.733702946</v>
      </c>
      <c r="M228" s="25">
        <f>K228/((1+'How much will I make'!$C$5/12)^(Calculations!$B$1*12-Calculations!$A228))</f>
        <v>9982.0681275335428</v>
      </c>
      <c r="N228" s="25">
        <f t="shared" si="15"/>
        <v>3728458.113057842</v>
      </c>
      <c r="O228" s="25">
        <f t="shared" si="3"/>
        <v>82812.339163307319</v>
      </c>
      <c r="P228" s="25">
        <f t="shared" si="16"/>
        <v>101792467.8518744</v>
      </c>
      <c r="Q228" s="25">
        <f>O228/((1+'How much will I make'!$C$5/12)^(Calculations!$B$1*12-Calculations!$A228))</f>
        <v>28563.40851009469</v>
      </c>
      <c r="R228" s="25">
        <f t="shared" si="17"/>
        <v>18709677.760846429</v>
      </c>
      <c r="S228" s="25">
        <f t="shared" si="4"/>
        <v>235948.43806754585</v>
      </c>
      <c r="T228" s="25">
        <f t="shared" si="18"/>
        <v>566170105.47210789</v>
      </c>
      <c r="U228" s="25">
        <f>S228/((1+'How much will I make'!$C$5/12)^(Calculations!$B$1*12-Calculations!$A228))</f>
        <v>81382.698423138354</v>
      </c>
      <c r="V228" s="25">
        <f t="shared" si="19"/>
        <v>98966862.162117973</v>
      </c>
      <c r="W228" s="25">
        <f t="shared" si="5"/>
        <v>669401.88024528907</v>
      </c>
      <c r="X228" s="25">
        <f t="shared" si="20"/>
        <v>3252471613.0931835</v>
      </c>
      <c r="Y228" s="25">
        <f>W228/((1+'How much will I make'!$C$5/12)^(Calculations!$B$1*12-Calculations!$A228))</f>
        <v>230888.28978935047</v>
      </c>
      <c r="Z228" s="25">
        <f t="shared" si="21"/>
        <v>546170928.57188797</v>
      </c>
      <c r="AA228" s="25">
        <f t="shared" si="6"/>
        <v>1891121.9867541578</v>
      </c>
      <c r="AB228" s="25">
        <f t="shared" si="22"/>
        <v>19128977823.511284</v>
      </c>
      <c r="AC228" s="25">
        <f>AA228/((1+'How much will I make'!$C$5/12)^(Calculations!$B$1*12-Calculations!$A228))</f>
        <v>652280.69145056605</v>
      </c>
      <c r="AD228" s="25">
        <f t="shared" si="23"/>
        <v>3112952020.3575578</v>
      </c>
      <c r="AE228" s="25">
        <f t="shared" si="7"/>
        <v>5320222.5660033654</v>
      </c>
      <c r="AF228" s="25">
        <f t="shared" si="24"/>
        <v>114381433692.49316</v>
      </c>
      <c r="AG228" s="25">
        <f>AE228/((1+'How much will I make'!$C$5/12)^(Calculations!$B$1*12-Calculations!$A228))</f>
        <v>1835036.8079532618</v>
      </c>
      <c r="AH228" s="25">
        <f t="shared" si="25"/>
        <v>18164677285.762917</v>
      </c>
    </row>
    <row r="229" spans="1:34" ht="15.75" customHeight="1">
      <c r="A229" s="22">
        <f t="shared" si="8"/>
        <v>225</v>
      </c>
      <c r="B229" s="22">
        <f t="shared" si="43"/>
        <v>1203.3096168455429</v>
      </c>
      <c r="C229" s="25">
        <f t="shared" si="0"/>
        <v>3474.2143335830315</v>
      </c>
      <c r="D229" s="25">
        <f t="shared" si="10"/>
        <v>798166.29317872121</v>
      </c>
      <c r="E229" s="25">
        <f>$C229/((1+'How much will I make'!$C$5/12)^(Calculations!$B$1*12-Calculations!$A229))</f>
        <v>1203.3096168455429</v>
      </c>
      <c r="F229" s="25">
        <f t="shared" si="11"/>
        <v>179624.09459454051</v>
      </c>
      <c r="G229" s="25">
        <f t="shared" si="1"/>
        <v>9986.8626295208123</v>
      </c>
      <c r="H229" s="25">
        <f t="shared" si="12"/>
        <v>3787984.0500603095</v>
      </c>
      <c r="I229" s="25">
        <f>G229/((1+'How much will I make'!$C$5/12)^(Calculations!$B$1*12-Calculations!$A229))</f>
        <v>3458.9943769600632</v>
      </c>
      <c r="J229" s="25">
        <f t="shared" si="13"/>
        <v>793133.62056905963</v>
      </c>
      <c r="K229" s="25">
        <f t="shared" si="2"/>
        <v>28583.178319018607</v>
      </c>
      <c r="L229" s="25">
        <f t="shared" si="14"/>
        <v>19126090.912021965</v>
      </c>
      <c r="M229" s="25">
        <f>K229/((1+'How much will I make'!$C$5/12)^(Calculations!$B$1*12-Calculations!$A229))</f>
        <v>9899.9111882122761</v>
      </c>
      <c r="N229" s="25">
        <f t="shared" si="15"/>
        <v>3738358.0242460542</v>
      </c>
      <c r="O229" s="25">
        <f t="shared" si="3"/>
        <v>81454.75983276128</v>
      </c>
      <c r="P229" s="25">
        <f t="shared" si="16"/>
        <v>101873922.61170715</v>
      </c>
      <c r="Q229" s="25">
        <f>O229/((1+'How much will I make'!$C$5/12)^(Calculations!$B$1*12-Calculations!$A229))</f>
        <v>28212.219061200067</v>
      </c>
      <c r="R229" s="25">
        <f t="shared" si="17"/>
        <v>18737889.979907628</v>
      </c>
      <c r="S229" s="25">
        <f t="shared" si="4"/>
        <v>231133.16382126941</v>
      </c>
      <c r="T229" s="25">
        <f t="shared" si="18"/>
        <v>566401238.63592911</v>
      </c>
      <c r="U229" s="25">
        <f>S229/((1+'How much will I make'!$C$5/12)^(Calculations!$B$1*12-Calculations!$A229))</f>
        <v>80054.001306025864</v>
      </c>
      <c r="V229" s="25">
        <f t="shared" si="19"/>
        <v>99046916.163424</v>
      </c>
      <c r="W229" s="25">
        <f t="shared" si="5"/>
        <v>653075.00511735538</v>
      </c>
      <c r="X229" s="25">
        <f t="shared" si="20"/>
        <v>3253124688.0983009</v>
      </c>
      <c r="Y229" s="25">
        <f>W229/((1+'How much will I make'!$C$5/12)^(Calculations!$B$1*12-Calculations!$A229))</f>
        <v>226195.43837086772</v>
      </c>
      <c r="Z229" s="25">
        <f t="shared" si="21"/>
        <v>546397124.01025879</v>
      </c>
      <c r="AA229" s="25">
        <f t="shared" si="6"/>
        <v>1837527.4365222587</v>
      </c>
      <c r="AB229" s="25">
        <f t="shared" si="22"/>
        <v>19130815350.947807</v>
      </c>
      <c r="AC229" s="25">
        <f>AA229/((1+'How much will I make'!$C$5/12)^(Calculations!$B$1*12-Calculations!$A229))</f>
        <v>636435.81635460071</v>
      </c>
      <c r="AD229" s="25">
        <f t="shared" si="23"/>
        <v>3113588456.1739125</v>
      </c>
      <c r="AE229" s="25">
        <f t="shared" si="7"/>
        <v>5148602.4832290625</v>
      </c>
      <c r="AF229" s="25">
        <f t="shared" si="24"/>
        <v>114386582294.97639</v>
      </c>
      <c r="AG229" s="25">
        <f>AE229/((1+'How much will I make'!$C$5/12)^(Calculations!$B$1*12-Calculations!$A229))</f>
        <v>1783241.4141803863</v>
      </c>
      <c r="AH229" s="25">
        <f t="shared" si="25"/>
        <v>18166460527.177097</v>
      </c>
    </row>
    <row r="230" spans="1:34" ht="15.75" customHeight="1">
      <c r="A230" s="22">
        <f t="shared" si="8"/>
        <v>226</v>
      </c>
      <c r="B230" s="22">
        <f t="shared" si="43"/>
        <v>1203.3096168455429</v>
      </c>
      <c r="C230" s="25">
        <f t="shared" si="0"/>
        <v>3459.7985064727263</v>
      </c>
      <c r="D230" s="25">
        <f t="shared" si="10"/>
        <v>801626.09168519394</v>
      </c>
      <c r="E230" s="25">
        <f>$C230/((1+'How much will I make'!$C$5/12)^(Calculations!$B$1*12-Calculations!$A230))</f>
        <v>1203.3096168455429</v>
      </c>
      <c r="F230" s="25">
        <f t="shared" si="11"/>
        <v>180827.40421138605</v>
      </c>
      <c r="G230" s="25">
        <f t="shared" si="1"/>
        <v>9904.3265747313853</v>
      </c>
      <c r="H230" s="25">
        <f t="shared" si="12"/>
        <v>3797888.3766350411</v>
      </c>
      <c r="I230" s="25">
        <f>G230/((1+'How much will I make'!$C$5/12)^(Calculations!$B$1*12-Calculations!$A230))</f>
        <v>3444.7010117660161</v>
      </c>
      <c r="J230" s="25">
        <f t="shared" si="13"/>
        <v>796578.32158082561</v>
      </c>
      <c r="K230" s="25">
        <f t="shared" si="2"/>
        <v>28230.299574339366</v>
      </c>
      <c r="L230" s="25">
        <f t="shared" si="14"/>
        <v>19154321.211596303</v>
      </c>
      <c r="M230" s="25">
        <f>K230/((1+'How much will I make'!$C$5/12)^(Calculations!$B$1*12-Calculations!$A230))</f>
        <v>9818.4304376920172</v>
      </c>
      <c r="N230" s="25">
        <f t="shared" si="15"/>
        <v>3748176.4546837462</v>
      </c>
      <c r="O230" s="25">
        <f t="shared" si="3"/>
        <v>80119.435901076708</v>
      </c>
      <c r="P230" s="25">
        <f t="shared" si="16"/>
        <v>101954042.04760823</v>
      </c>
      <c r="Q230" s="25">
        <f>O230/((1+'How much will I make'!$C$5/12)^(Calculations!$B$1*12-Calculations!$A230))</f>
        <v>27865.347515365673</v>
      </c>
      <c r="R230" s="25">
        <f t="shared" si="17"/>
        <v>18765755.327422995</v>
      </c>
      <c r="S230" s="25">
        <f t="shared" si="4"/>
        <v>226416.16047797826</v>
      </c>
      <c r="T230" s="25">
        <f t="shared" si="18"/>
        <v>566627654.7964071</v>
      </c>
      <c r="U230" s="25">
        <f>S230/((1+'How much will I make'!$C$5/12)^(Calculations!$B$1*12-Calculations!$A230))</f>
        <v>78746.997203070423</v>
      </c>
      <c r="V230" s="25">
        <f t="shared" si="19"/>
        <v>99125663.160627067</v>
      </c>
      <c r="W230" s="25">
        <f t="shared" si="5"/>
        <v>637146.34645595634</v>
      </c>
      <c r="X230" s="25">
        <f t="shared" si="20"/>
        <v>3253761834.444757</v>
      </c>
      <c r="Y230" s="25">
        <f>W230/((1+'How much will I make'!$C$5/12)^(Calculations!$B$1*12-Calculations!$A230))</f>
        <v>221597.97011129736</v>
      </c>
      <c r="Z230" s="25">
        <f t="shared" si="21"/>
        <v>546618721.98037004</v>
      </c>
      <c r="AA230" s="25">
        <f t="shared" si="6"/>
        <v>1785451.7601835718</v>
      </c>
      <c r="AB230" s="25">
        <f t="shared" si="22"/>
        <v>19132600802.707993</v>
      </c>
      <c r="AC230" s="25">
        <f>AA230/((1+'How much will I make'!$C$5/12)^(Calculations!$B$1*12-Calculations!$A230))</f>
        <v>620975.8370099552</v>
      </c>
      <c r="AD230" s="25">
        <f t="shared" si="23"/>
        <v>3114209432.0109224</v>
      </c>
      <c r="AE230" s="25">
        <f t="shared" si="7"/>
        <v>4982518.5321571566</v>
      </c>
      <c r="AF230" s="25">
        <f t="shared" si="24"/>
        <v>114391564813.50854</v>
      </c>
      <c r="AG230" s="25">
        <f>AE230/((1+'How much will I make'!$C$5/12)^(Calculations!$B$1*12-Calculations!$A230))</f>
        <v>1732907.9871672313</v>
      </c>
      <c r="AH230" s="25">
        <f t="shared" si="25"/>
        <v>18168193435.164265</v>
      </c>
    </row>
    <row r="231" spans="1:34" ht="15.75" customHeight="1">
      <c r="A231" s="22">
        <f t="shared" si="8"/>
        <v>227</v>
      </c>
      <c r="B231" s="22">
        <f t="shared" si="43"/>
        <v>1203.3096168455429</v>
      </c>
      <c r="C231" s="25">
        <f t="shared" si="0"/>
        <v>3445.4424960724255</v>
      </c>
      <c r="D231" s="25">
        <f t="shared" si="10"/>
        <v>805071.53418126632</v>
      </c>
      <c r="E231" s="25">
        <f>$C231/((1+'How much will I make'!$C$5/12)^(Calculations!$B$1*12-Calculations!$A231))</f>
        <v>1203.3096168455429</v>
      </c>
      <c r="F231" s="25">
        <f t="shared" si="11"/>
        <v>182030.71382823159</v>
      </c>
      <c r="G231" s="25">
        <f t="shared" si="1"/>
        <v>9822.4726360972381</v>
      </c>
      <c r="H231" s="25">
        <f t="shared" si="12"/>
        <v>3807710.8492711382</v>
      </c>
      <c r="I231" s="25">
        <f>G231/((1+'How much will I make'!$C$5/12)^(Calculations!$B$1*12-Calculations!$A231))</f>
        <v>3430.4667100645015</v>
      </c>
      <c r="J231" s="25">
        <f t="shared" si="13"/>
        <v>800008.78829089005</v>
      </c>
      <c r="K231" s="25">
        <f t="shared" si="2"/>
        <v>27881.777357372208</v>
      </c>
      <c r="L231" s="25">
        <f t="shared" si="14"/>
        <v>19182202.988953676</v>
      </c>
      <c r="M231" s="25">
        <f>K231/((1+'How much will I make'!$C$5/12)^(Calculations!$B$1*12-Calculations!$A231))</f>
        <v>9737.6203106328194</v>
      </c>
      <c r="N231" s="25">
        <f t="shared" si="15"/>
        <v>3757914.0749943792</v>
      </c>
      <c r="O231" s="25">
        <f t="shared" si="3"/>
        <v>78806.002525649223</v>
      </c>
      <c r="P231" s="25">
        <f t="shared" si="16"/>
        <v>102032848.05013387</v>
      </c>
      <c r="Q231" s="25">
        <f>O231/((1+'How much will I make'!$C$5/12)^(Calculations!$B$1*12-Calculations!$A231))</f>
        <v>27522.740783619367</v>
      </c>
      <c r="R231" s="25">
        <f t="shared" si="17"/>
        <v>18793278.068206616</v>
      </c>
      <c r="S231" s="25">
        <f t="shared" si="4"/>
        <v>221795.42250903996</v>
      </c>
      <c r="T231" s="25">
        <f t="shared" si="18"/>
        <v>566849450.21891618</v>
      </c>
      <c r="U231" s="25">
        <f>S231/((1+'How much will I make'!$C$5/12)^(Calculations!$B$1*12-Calculations!$A231))</f>
        <v>77461.331942612116</v>
      </c>
      <c r="V231" s="25">
        <f t="shared" si="19"/>
        <v>99203124.492569685</v>
      </c>
      <c r="W231" s="25">
        <f t="shared" si="5"/>
        <v>621606.19166434777</v>
      </c>
      <c r="X231" s="25">
        <f t="shared" si="20"/>
        <v>3254383440.6364212</v>
      </c>
      <c r="Y231" s="25">
        <f>W231/((1+'How much will I make'!$C$5/12)^(Calculations!$B$1*12-Calculations!$A231))</f>
        <v>217093.94632854738</v>
      </c>
      <c r="Z231" s="25">
        <f t="shared" si="21"/>
        <v>546835815.92669857</v>
      </c>
      <c r="AA231" s="25">
        <f t="shared" si="6"/>
        <v>1734851.9127289765</v>
      </c>
      <c r="AB231" s="25">
        <f t="shared" si="22"/>
        <v>19134335654.62072</v>
      </c>
      <c r="AC231" s="25">
        <f>AA231/((1+'How much will I make'!$C$5/12)^(Calculations!$B$1*12-Calculations!$A231))</f>
        <v>605891.40372226376</v>
      </c>
      <c r="AD231" s="25">
        <f t="shared" si="23"/>
        <v>3114815323.4146447</v>
      </c>
      <c r="AE231" s="25">
        <f t="shared" si="7"/>
        <v>4821792.1278940225</v>
      </c>
      <c r="AF231" s="25">
        <f t="shared" si="24"/>
        <v>114396386605.63644</v>
      </c>
      <c r="AG231" s="25">
        <f>AE231/((1+'How much will I make'!$C$5/12)^(Calculations!$B$1*12-Calculations!$A231))</f>
        <v>1683995.2617229945</v>
      </c>
      <c r="AH231" s="25">
        <f t="shared" si="25"/>
        <v>18169877430.425987</v>
      </c>
    </row>
    <row r="232" spans="1:34" ht="15.75" customHeight="1">
      <c r="A232" s="22">
        <f t="shared" si="8"/>
        <v>228</v>
      </c>
      <c r="B232" s="22">
        <f t="shared" si="43"/>
        <v>1203.3096168455429</v>
      </c>
      <c r="C232" s="25">
        <f t="shared" si="0"/>
        <v>3431.1460541800088</v>
      </c>
      <c r="D232" s="25">
        <f t="shared" si="10"/>
        <v>808502.68023544631</v>
      </c>
      <c r="E232" s="25">
        <f>$C232/((1+'How much will I make'!$C$5/12)^(Calculations!$B$1*12-Calculations!$A232))</f>
        <v>1203.3096168455429</v>
      </c>
      <c r="F232" s="25">
        <f t="shared" si="11"/>
        <v>183234.02344507712</v>
      </c>
      <c r="G232" s="25">
        <f t="shared" si="1"/>
        <v>9741.2951762947851</v>
      </c>
      <c r="H232" s="25">
        <f t="shared" si="12"/>
        <v>3817452.1444474328</v>
      </c>
      <c r="I232" s="25">
        <f>G232/((1+'How much will I make'!$C$5/12)^(Calculations!$B$1*12-Calculations!$A232))</f>
        <v>3416.2912277915088</v>
      </c>
      <c r="J232" s="25">
        <f t="shared" si="13"/>
        <v>803425.07951868151</v>
      </c>
      <c r="K232" s="25">
        <f t="shared" si="2"/>
        <v>27537.557883824404</v>
      </c>
      <c r="L232" s="25">
        <f t="shared" si="14"/>
        <v>19209740.546837501</v>
      </c>
      <c r="M232" s="25">
        <f>K232/((1+'How much will I make'!$C$5/12)^(Calculations!$B$1*12-Calculations!$A232))</f>
        <v>9657.4752875000395</v>
      </c>
      <c r="N232" s="25">
        <f t="shared" si="15"/>
        <v>3767571.550281879</v>
      </c>
      <c r="O232" s="25">
        <f t="shared" si="3"/>
        <v>77514.10084490088</v>
      </c>
      <c r="P232" s="25">
        <f t="shared" si="16"/>
        <v>102110362.15097877</v>
      </c>
      <c r="Q232" s="25">
        <f>O232/((1+'How much will I make'!$C$5/12)^(Calculations!$B$1*12-Calculations!$A232))</f>
        <v>27184.346429722409</v>
      </c>
      <c r="R232" s="25">
        <f t="shared" si="17"/>
        <v>18820462.41463634</v>
      </c>
      <c r="S232" s="25">
        <f t="shared" si="4"/>
        <v>217268.98531497791</v>
      </c>
      <c r="T232" s="25">
        <f t="shared" si="18"/>
        <v>567066719.20423114</v>
      </c>
      <c r="U232" s="25">
        <f>S232/((1+'How much will I make'!$C$5/12)^(Calculations!$B$1*12-Calculations!$A232))</f>
        <v>76196.657135385787</v>
      </c>
      <c r="V232" s="25">
        <f t="shared" si="19"/>
        <v>99279321.149705067</v>
      </c>
      <c r="W232" s="25">
        <f t="shared" si="5"/>
        <v>606445.0650383879</v>
      </c>
      <c r="X232" s="25">
        <f t="shared" si="20"/>
        <v>3254989885.7014594</v>
      </c>
      <c r="Y232" s="25">
        <f>W232/((1+'How much will I make'!$C$5/12)^(Calculations!$B$1*12-Calculations!$A232))</f>
        <v>212681.46774463376</v>
      </c>
      <c r="Z232" s="25">
        <f t="shared" si="21"/>
        <v>547048497.39444315</v>
      </c>
      <c r="AA232" s="25">
        <f t="shared" si="6"/>
        <v>1685686.0690483986</v>
      </c>
      <c r="AB232" s="25">
        <f t="shared" si="22"/>
        <v>19136021340.68977</v>
      </c>
      <c r="AC232" s="25">
        <f>AA232/((1+'How much will I make'!$C$5/12)^(Calculations!$B$1*12-Calculations!$A232))</f>
        <v>591173.39391524531</v>
      </c>
      <c r="AD232" s="25">
        <f t="shared" si="23"/>
        <v>3115406496.8085599</v>
      </c>
      <c r="AE232" s="25">
        <f t="shared" si="7"/>
        <v>4666250.4463490536</v>
      </c>
      <c r="AF232" s="25">
        <f t="shared" si="24"/>
        <v>114401052856.08279</v>
      </c>
      <c r="AG232" s="25">
        <f>AE232/((1+'How much will I make'!$C$5/12)^(Calculations!$B$1*12-Calculations!$A232))</f>
        <v>1636463.137400168</v>
      </c>
      <c r="AH232" s="25">
        <f t="shared" si="25"/>
        <v>18171513893.563389</v>
      </c>
    </row>
    <row r="233" spans="1:34" ht="15.75" customHeight="1">
      <c r="A233" s="22">
        <f t="shared" si="8"/>
        <v>229</v>
      </c>
      <c r="B233" s="22">
        <f>B232*(1+'How much will I make'!$C$4)</f>
        <v>1263.4750976878202</v>
      </c>
      <c r="C233" s="25">
        <f t="shared" si="0"/>
        <v>3587.7543803044073</v>
      </c>
      <c r="D233" s="25">
        <f t="shared" si="10"/>
        <v>812090.43461575068</v>
      </c>
      <c r="E233" s="25">
        <f>$C233/((1+'How much will I make'!$C$5/12)^(Calculations!$B$1*12-Calculations!$A233))</f>
        <v>1263.4750976878202</v>
      </c>
      <c r="F233" s="25">
        <f t="shared" si="11"/>
        <v>184497.49854276495</v>
      </c>
      <c r="G233" s="25">
        <f t="shared" si="1"/>
        <v>10143.828034819362</v>
      </c>
      <c r="H233" s="25">
        <f t="shared" si="12"/>
        <v>3827595.9724822524</v>
      </c>
      <c r="I233" s="25">
        <f>G233/((1+'How much will I make'!$C$5/12)^(Calculations!$B$1*12-Calculations!$A233))</f>
        <v>3572.2830379861216</v>
      </c>
      <c r="J233" s="25">
        <f t="shared" si="13"/>
        <v>806997.36255666765</v>
      </c>
      <c r="K233" s="25">
        <f t="shared" si="2"/>
        <v>28557.467435077167</v>
      </c>
      <c r="L233" s="25">
        <f t="shared" si="14"/>
        <v>19238298.014272578</v>
      </c>
      <c r="M233" s="25">
        <f>K233/((1+'How much will I make'!$C$5/12)^(Calculations!$B$1*12-Calculations!$A233))</f>
        <v>10056.889388896649</v>
      </c>
      <c r="N233" s="25">
        <f t="shared" si="15"/>
        <v>3777628.4396707756</v>
      </c>
      <c r="O233" s="25">
        <f t="shared" si="3"/>
        <v>80055.546774241855</v>
      </c>
      <c r="P233" s="25">
        <f t="shared" si="16"/>
        <v>102190417.69775301</v>
      </c>
      <c r="Q233" s="25">
        <f>O233/((1+'How much will I make'!$C$5/12)^(Calculations!$B$1*12-Calculations!$A233))</f>
        <v>28192.618295251039</v>
      </c>
      <c r="R233" s="25">
        <f t="shared" si="17"/>
        <v>18848655.032931592</v>
      </c>
      <c r="S233" s="25">
        <f t="shared" si="4"/>
        <v>223476.67060969159</v>
      </c>
      <c r="T233" s="25">
        <f t="shared" si="18"/>
        <v>567290195.87484086</v>
      </c>
      <c r="U233" s="25">
        <f>S233/((1+'How much will I make'!$C$5/12)^(Calculations!$B$1*12-Calculations!$A233))</f>
        <v>78700.261584119915</v>
      </c>
      <c r="V233" s="25">
        <f t="shared" si="19"/>
        <v>99358021.411289185</v>
      </c>
      <c r="W233" s="25">
        <f t="shared" si="5"/>
        <v>621236.4080881048</v>
      </c>
      <c r="X233" s="25">
        <f t="shared" si="20"/>
        <v>3255611122.1095476</v>
      </c>
      <c r="Y233" s="25">
        <f>W233/((1+'How much will I make'!$C$5/12)^(Calculations!$B$1*12-Calculations!$A233))</f>
        <v>218776.60736902273</v>
      </c>
      <c r="Z233" s="25">
        <f t="shared" si="21"/>
        <v>547267274.00181222</v>
      </c>
      <c r="AA233" s="25">
        <f t="shared" si="6"/>
        <v>1719809.2688267068</v>
      </c>
      <c r="AB233" s="25">
        <f t="shared" si="22"/>
        <v>19137741149.958595</v>
      </c>
      <c r="AC233" s="25">
        <f>AA233/((1+'How much will I make'!$C$5/12)^(Calculations!$B$1*12-Calculations!$A233))</f>
        <v>605653.55194434372</v>
      </c>
      <c r="AD233" s="25">
        <f t="shared" si="23"/>
        <v>3116012150.3605042</v>
      </c>
      <c r="AE233" s="25">
        <f t="shared" si="7"/>
        <v>4741512.5503224246</v>
      </c>
      <c r="AF233" s="25">
        <f t="shared" si="24"/>
        <v>114405794368.63312</v>
      </c>
      <c r="AG233" s="25">
        <f>AE233/((1+'How much will I make'!$C$5/12)^(Calculations!$B$1*12-Calculations!$A233))</f>
        <v>1669786.2778996469</v>
      </c>
      <c r="AH233" s="25">
        <f t="shared" si="25"/>
        <v>18173183679.84129</v>
      </c>
    </row>
    <row r="234" spans="1:34" ht="15.75" customHeight="1">
      <c r="A234" s="22">
        <f t="shared" si="8"/>
        <v>230</v>
      </c>
      <c r="B234" s="22">
        <f t="shared" ref="B234:B244" si="44">B233</f>
        <v>1263.4750976878202</v>
      </c>
      <c r="C234" s="25">
        <f t="shared" si="0"/>
        <v>3572.8674326682903</v>
      </c>
      <c r="D234" s="25">
        <f t="shared" si="10"/>
        <v>815663.30204841902</v>
      </c>
      <c r="E234" s="25">
        <f>$C234/((1+'How much will I make'!$C$5/12)^(Calculations!$B$1*12-Calculations!$A234))</f>
        <v>1263.4750976878202</v>
      </c>
      <c r="F234" s="25">
        <f t="shared" si="11"/>
        <v>185760.97364045278</v>
      </c>
      <c r="G234" s="25">
        <f t="shared" si="1"/>
        <v>10059.9947452754</v>
      </c>
      <c r="H234" s="25">
        <f t="shared" si="12"/>
        <v>3837655.9672275279</v>
      </c>
      <c r="I234" s="25">
        <f>G234/((1+'How much will I make'!$C$5/12)^(Calculations!$B$1*12-Calculations!$A234))</f>
        <v>3557.5215378291532</v>
      </c>
      <c r="J234" s="25">
        <f t="shared" si="13"/>
        <v>810554.88409449684</v>
      </c>
      <c r="K234" s="25">
        <f t="shared" si="2"/>
        <v>28204.906108718194</v>
      </c>
      <c r="L234" s="25">
        <f t="shared" si="14"/>
        <v>19266502.920381296</v>
      </c>
      <c r="M234" s="25">
        <f>K234/((1+'How much will I make'!$C$5/12)^(Calculations!$B$1*12-Calculations!$A234))</f>
        <v>9974.1166367246587</v>
      </c>
      <c r="N234" s="25">
        <f t="shared" si="15"/>
        <v>3787602.5563075002</v>
      </c>
      <c r="O234" s="25">
        <f t="shared" si="3"/>
        <v>78743.160761549399</v>
      </c>
      <c r="P234" s="25">
        <f t="shared" si="16"/>
        <v>102269160.85851456</v>
      </c>
      <c r="Q234" s="25">
        <f>O234/((1+'How much will I make'!$C$5/12)^(Calculations!$B$1*12-Calculations!$A234))</f>
        <v>27845.987742440579</v>
      </c>
      <c r="R234" s="25">
        <f t="shared" si="17"/>
        <v>18876501.020674031</v>
      </c>
      <c r="S234" s="25">
        <f t="shared" si="4"/>
        <v>218915.922229902</v>
      </c>
      <c r="T234" s="25">
        <f t="shared" si="18"/>
        <v>567509111.79707074</v>
      </c>
      <c r="U234" s="25">
        <f>S234/((1+'How much will I make'!$C$5/12)^(Calculations!$B$1*12-Calculations!$A234))</f>
        <v>77415.359354175089</v>
      </c>
      <c r="V234" s="25">
        <f t="shared" si="19"/>
        <v>99435436.770643353</v>
      </c>
      <c r="W234" s="25">
        <f t="shared" si="5"/>
        <v>606084.30057376088</v>
      </c>
      <c r="X234" s="25">
        <f t="shared" si="20"/>
        <v>3256217206.4101214</v>
      </c>
      <c r="Y234" s="25">
        <f>W234/((1+'How much will I make'!$C$5/12)^(Calculations!$B$1*12-Calculations!$A234))</f>
        <v>214329.92835745719</v>
      </c>
      <c r="Z234" s="25">
        <f t="shared" si="21"/>
        <v>547481603.9301697</v>
      </c>
      <c r="AA234" s="25">
        <f t="shared" si="6"/>
        <v>1671069.7348923467</v>
      </c>
      <c r="AB234" s="25">
        <f t="shared" si="22"/>
        <v>19139412219.693489</v>
      </c>
      <c r="AC234" s="25">
        <f>AA234/((1+'How much will I make'!$C$5/12)^(Calculations!$B$1*12-Calculations!$A234))</f>
        <v>590941.31991330686</v>
      </c>
      <c r="AD234" s="25">
        <f t="shared" si="23"/>
        <v>3116603091.6804175</v>
      </c>
      <c r="AE234" s="25">
        <f t="shared" si="7"/>
        <v>4588560.5325700883</v>
      </c>
      <c r="AF234" s="25">
        <f t="shared" si="24"/>
        <v>114410382929.1657</v>
      </c>
      <c r="AG234" s="25">
        <f>AE234/((1+'How much will I make'!$C$5/12)^(Calculations!$B$1*12-Calculations!$A234))</f>
        <v>1622655.2136040919</v>
      </c>
      <c r="AH234" s="25">
        <f t="shared" si="25"/>
        <v>18174806335.054893</v>
      </c>
    </row>
    <row r="235" spans="1:34" ht="15.75" customHeight="1">
      <c r="A235" s="22">
        <f t="shared" si="8"/>
        <v>231</v>
      </c>
      <c r="B235" s="22">
        <f t="shared" si="44"/>
        <v>1263.4750976878202</v>
      </c>
      <c r="C235" s="25">
        <f t="shared" si="0"/>
        <v>3558.0422565991257</v>
      </c>
      <c r="D235" s="25">
        <f t="shared" si="10"/>
        <v>819221.3443050182</v>
      </c>
      <c r="E235" s="25">
        <f>$C235/((1+'How much will I make'!$C$5/12)^(Calculations!$B$1*12-Calculations!$A235))</f>
        <v>1263.4750976878202</v>
      </c>
      <c r="F235" s="25">
        <f t="shared" si="11"/>
        <v>187024.44873814061</v>
      </c>
      <c r="G235" s="25">
        <f t="shared" si="1"/>
        <v>9976.8542928351089</v>
      </c>
      <c r="H235" s="25">
        <f t="shared" si="12"/>
        <v>3847632.821520363</v>
      </c>
      <c r="I235" s="25">
        <f>G235/((1+'How much will I make'!$C$5/12)^(Calculations!$B$1*12-Calculations!$A235))</f>
        <v>3542.8210356067202</v>
      </c>
      <c r="J235" s="25">
        <f t="shared" si="13"/>
        <v>814097.70513010351</v>
      </c>
      <c r="K235" s="25">
        <f t="shared" si="2"/>
        <v>27856.697391326608</v>
      </c>
      <c r="L235" s="25">
        <f t="shared" si="14"/>
        <v>19294359.617772624</v>
      </c>
      <c r="M235" s="25">
        <f>K235/((1+'How much will I make'!$C$5/12)^(Calculations!$B$1*12-Calculations!$A235))</f>
        <v>9892.0251417721956</v>
      </c>
      <c r="N235" s="25">
        <f t="shared" si="15"/>
        <v>3797494.5814492726</v>
      </c>
      <c r="O235" s="25">
        <f t="shared" si="3"/>
        <v>77452.289273655144</v>
      </c>
      <c r="P235" s="25">
        <f t="shared" si="16"/>
        <v>102346613.14778821</v>
      </c>
      <c r="Q235" s="25">
        <f>O235/((1+'How much will I make'!$C$5/12)^(Calculations!$B$1*12-Calculations!$A235))</f>
        <v>27503.619040689271</v>
      </c>
      <c r="R235" s="25">
        <f t="shared" si="17"/>
        <v>18904004.639714722</v>
      </c>
      <c r="S235" s="25">
        <f t="shared" si="4"/>
        <v>214448.25034765914</v>
      </c>
      <c r="T235" s="25">
        <f t="shared" si="18"/>
        <v>567723560.04741836</v>
      </c>
      <c r="U235" s="25">
        <f>S235/((1+'How much will I make'!$C$5/12)^(Calculations!$B$1*12-Calculations!$A235))</f>
        <v>76151.435119821253</v>
      </c>
      <c r="V235" s="25">
        <f t="shared" si="19"/>
        <v>99511588.205763176</v>
      </c>
      <c r="W235" s="25">
        <f t="shared" si="5"/>
        <v>591301.75665732776</v>
      </c>
      <c r="X235" s="25">
        <f t="shared" si="20"/>
        <v>3256808508.1667786</v>
      </c>
      <c r="Y235" s="25">
        <f>W235/((1+'How much will I make'!$C$5/12)^(Calculations!$B$1*12-Calculations!$A235))</f>
        <v>209973.62900059842</v>
      </c>
      <c r="Z235" s="25">
        <f t="shared" si="21"/>
        <v>547691577.55917025</v>
      </c>
      <c r="AA235" s="25">
        <f t="shared" si="6"/>
        <v>1623711.4832962074</v>
      </c>
      <c r="AB235" s="25">
        <f t="shared" si="22"/>
        <v>19141035931.176785</v>
      </c>
      <c r="AC235" s="25">
        <f>AA235/((1+'How much will I make'!$C$5/12)^(Calculations!$B$1*12-Calculations!$A235))</f>
        <v>576586.47003687057</v>
      </c>
      <c r="AD235" s="25">
        <f t="shared" si="23"/>
        <v>3117179678.1504545</v>
      </c>
      <c r="AE235" s="25">
        <f t="shared" si="7"/>
        <v>4440542.4508742793</v>
      </c>
      <c r="AF235" s="25">
        <f t="shared" si="24"/>
        <v>114414823471.61656</v>
      </c>
      <c r="AG235" s="25">
        <f>AE235/((1+'How much will I make'!$C$5/12)^(Calculations!$B$1*12-Calculations!$A235))</f>
        <v>1576854.4616072031</v>
      </c>
      <c r="AH235" s="25">
        <f t="shared" si="25"/>
        <v>18176383189.516502</v>
      </c>
    </row>
    <row r="236" spans="1:34" ht="15.75" customHeight="1">
      <c r="A236" s="22">
        <f t="shared" si="8"/>
        <v>232</v>
      </c>
      <c r="B236" s="22">
        <f t="shared" si="44"/>
        <v>1263.4750976878202</v>
      </c>
      <c r="C236" s="25">
        <f t="shared" si="0"/>
        <v>3543.2785957833626</v>
      </c>
      <c r="D236" s="25">
        <f t="shared" si="10"/>
        <v>822764.62290080159</v>
      </c>
      <c r="E236" s="25">
        <f>$C236/((1+'How much will I make'!$C$5/12)^(Calculations!$B$1*12-Calculations!$A236))</f>
        <v>1263.4750976878202</v>
      </c>
      <c r="F236" s="25">
        <f t="shared" si="11"/>
        <v>188287.92383582843</v>
      </c>
      <c r="G236" s="25">
        <f t="shared" si="1"/>
        <v>9894.4009515720099</v>
      </c>
      <c r="H236" s="25">
        <f t="shared" si="12"/>
        <v>3857527.2224719352</v>
      </c>
      <c r="I236" s="25">
        <f>G236/((1+'How much will I make'!$C$5/12)^(Calculations!$B$1*12-Calculations!$A236))</f>
        <v>3528.1812792612377</v>
      </c>
      <c r="J236" s="25">
        <f t="shared" si="13"/>
        <v>817625.88640936476</v>
      </c>
      <c r="K236" s="25">
        <f t="shared" si="2"/>
        <v>27512.787546989242</v>
      </c>
      <c r="L236" s="25">
        <f t="shared" si="14"/>
        <v>19321872.405319612</v>
      </c>
      <c r="M236" s="25">
        <f>K236/((1+'How much will I make'!$C$5/12)^(Calculations!$B$1*12-Calculations!$A236))</f>
        <v>9810.6092969839447</v>
      </c>
      <c r="N236" s="25">
        <f t="shared" si="15"/>
        <v>3807305.1907462566</v>
      </c>
      <c r="O236" s="25">
        <f t="shared" si="3"/>
        <v>76182.579613431313</v>
      </c>
      <c r="P236" s="25">
        <f t="shared" si="16"/>
        <v>102422795.72740164</v>
      </c>
      <c r="Q236" s="25">
        <f>O236/((1+'How much will I make'!$C$5/12)^(Calculations!$B$1*12-Calculations!$A236))</f>
        <v>27165.459790188997</v>
      </c>
      <c r="R236" s="25">
        <f t="shared" si="17"/>
        <v>18931170.09950491</v>
      </c>
      <c r="S236" s="25">
        <f t="shared" si="4"/>
        <v>210071.75544260489</v>
      </c>
      <c r="T236" s="25">
        <f t="shared" si="18"/>
        <v>567933631.80286098</v>
      </c>
      <c r="U236" s="25">
        <f>S236/((1+'How much will I make'!$C$5/12)^(Calculations!$B$1*12-Calculations!$A236))</f>
        <v>74908.146383171101</v>
      </c>
      <c r="V236" s="25">
        <f t="shared" si="19"/>
        <v>99586496.352146342</v>
      </c>
      <c r="W236" s="25">
        <f t="shared" si="5"/>
        <v>576879.76259251498</v>
      </c>
      <c r="X236" s="25">
        <f t="shared" si="20"/>
        <v>3257385387.9293709</v>
      </c>
      <c r="Y236" s="25">
        <f>W236/((1+'How much will I make'!$C$5/12)^(Calculations!$B$1*12-Calculations!$A236))</f>
        <v>205705.87231359439</v>
      </c>
      <c r="Z236" s="25">
        <f t="shared" si="21"/>
        <v>547897283.43148386</v>
      </c>
      <c r="AA236" s="25">
        <f t="shared" si="6"/>
        <v>1577695.368384979</v>
      </c>
      <c r="AB236" s="25">
        <f t="shared" si="22"/>
        <v>19142613626.54517</v>
      </c>
      <c r="AC236" s="25">
        <f>AA236/((1+'How much will I make'!$C$5/12)^(Calculations!$B$1*12-Calculations!$A236))</f>
        <v>562580.32096714887</v>
      </c>
      <c r="AD236" s="25">
        <f t="shared" si="23"/>
        <v>3117742258.4714217</v>
      </c>
      <c r="AE236" s="25">
        <f t="shared" si="7"/>
        <v>4297299.1460073655</v>
      </c>
      <c r="AF236" s="25">
        <f t="shared" si="24"/>
        <v>114419120770.76257</v>
      </c>
      <c r="AG236" s="25">
        <f>AE236/((1+'How much will I make'!$C$5/12)^(Calculations!$B$1*12-Calculations!$A236))</f>
        <v>1532346.4727715149</v>
      </c>
      <c r="AH236" s="25">
        <f t="shared" si="25"/>
        <v>18177915535.989273</v>
      </c>
    </row>
    <row r="237" spans="1:34" ht="15.75" customHeight="1">
      <c r="A237" s="22">
        <f t="shared" si="8"/>
        <v>233</v>
      </c>
      <c r="B237" s="22">
        <f t="shared" si="44"/>
        <v>1263.4750976878202</v>
      </c>
      <c r="C237" s="25">
        <f t="shared" si="0"/>
        <v>3528.5761949709845</v>
      </c>
      <c r="D237" s="25">
        <f t="shared" si="10"/>
        <v>826293.19909577258</v>
      </c>
      <c r="E237" s="25">
        <f>$C237/((1+'How much will I make'!$C$5/12)^(Calculations!$B$1*12-Calculations!$A237))</f>
        <v>1263.4750976878202</v>
      </c>
      <c r="F237" s="25">
        <f t="shared" si="11"/>
        <v>189551.39893351626</v>
      </c>
      <c r="G237" s="25">
        <f t="shared" si="1"/>
        <v>9812.6290428813318</v>
      </c>
      <c r="H237" s="25">
        <f t="shared" si="12"/>
        <v>3867339.8515148167</v>
      </c>
      <c r="I237" s="25">
        <f>G237/((1+'How much will I make'!$C$5/12)^(Calculations!$B$1*12-Calculations!$A237))</f>
        <v>3513.6020177766859</v>
      </c>
      <c r="J237" s="25">
        <f t="shared" si="13"/>
        <v>821139.48842714145</v>
      </c>
      <c r="K237" s="25">
        <f t="shared" si="2"/>
        <v>27173.123503199247</v>
      </c>
      <c r="L237" s="25">
        <f t="shared" si="14"/>
        <v>19349045.528822813</v>
      </c>
      <c r="M237" s="25">
        <f>K237/((1+'How much will I make'!$C$5/12)^(Calculations!$B$1*12-Calculations!$A237))</f>
        <v>9729.8635414532091</v>
      </c>
      <c r="N237" s="25">
        <f t="shared" si="15"/>
        <v>3817035.0542877098</v>
      </c>
      <c r="O237" s="25">
        <f t="shared" si="3"/>
        <v>74933.684865670133</v>
      </c>
      <c r="P237" s="25">
        <f t="shared" si="16"/>
        <v>102497729.41226731</v>
      </c>
      <c r="Q237" s="25">
        <f>O237/((1+'How much will I make'!$C$5/12)^(Calculations!$B$1*12-Calculations!$A237))</f>
        <v>26831.458235391579</v>
      </c>
      <c r="R237" s="25">
        <f t="shared" si="17"/>
        <v>18958001.557740301</v>
      </c>
      <c r="S237" s="25">
        <f t="shared" si="4"/>
        <v>205784.57676010273</v>
      </c>
      <c r="T237" s="25">
        <f t="shared" si="18"/>
        <v>568139416.37962103</v>
      </c>
      <c r="U237" s="25">
        <f>S237/((1+'How much will I make'!$C$5/12)^(Calculations!$B$1*12-Calculations!$A237))</f>
        <v>73685.156238139709</v>
      </c>
      <c r="V237" s="25">
        <f t="shared" si="19"/>
        <v>99660181.508384481</v>
      </c>
      <c r="W237" s="25">
        <f t="shared" si="5"/>
        <v>562809.52448050224</v>
      </c>
      <c r="X237" s="25">
        <f t="shared" si="20"/>
        <v>3257948197.4538512</v>
      </c>
      <c r="Y237" s="25">
        <f>W237/((1+'How much will I make'!$C$5/12)^(Calculations!$B$1*12-Calculations!$A237))</f>
        <v>201524.85864868382</v>
      </c>
      <c r="Z237" s="25">
        <f t="shared" si="21"/>
        <v>548098808.29013252</v>
      </c>
      <c r="AA237" s="25">
        <f t="shared" si="6"/>
        <v>1532983.3538963364</v>
      </c>
      <c r="AB237" s="25">
        <f t="shared" si="22"/>
        <v>19144146609.899067</v>
      </c>
      <c r="AC237" s="25">
        <f>AA237/((1+'How much will I make'!$C$5/12)^(Calculations!$B$1*12-Calculations!$A237))</f>
        <v>548914.40223920206</v>
      </c>
      <c r="AD237" s="25">
        <f t="shared" si="23"/>
        <v>3118291172.873661</v>
      </c>
      <c r="AE237" s="25">
        <f t="shared" si="7"/>
        <v>4158676.592910354</v>
      </c>
      <c r="AF237" s="25">
        <f t="shared" si="24"/>
        <v>114423279447.35548</v>
      </c>
      <c r="AG237" s="25">
        <f>AE237/((1+'How much will I make'!$C$5/12)^(Calculations!$B$1*12-Calculations!$A237))</f>
        <v>1489094.7578142541</v>
      </c>
      <c r="AH237" s="25">
        <f t="shared" si="25"/>
        <v>18179404630.747086</v>
      </c>
    </row>
    <row r="238" spans="1:34" ht="15.75" customHeight="1">
      <c r="A238" s="22">
        <f t="shared" si="8"/>
        <v>234</v>
      </c>
      <c r="B238" s="22">
        <f t="shared" si="44"/>
        <v>1263.4750976878202</v>
      </c>
      <c r="C238" s="25">
        <f t="shared" si="0"/>
        <v>3513.934799971104</v>
      </c>
      <c r="D238" s="25">
        <f t="shared" si="10"/>
        <v>829807.13389574364</v>
      </c>
      <c r="E238" s="25">
        <f>$C238/((1+'How much will I make'!$C$5/12)^(Calculations!$B$1*12-Calculations!$A238))</f>
        <v>1263.4750976878202</v>
      </c>
      <c r="F238" s="25">
        <f t="shared" si="11"/>
        <v>190814.87403120409</v>
      </c>
      <c r="G238" s="25">
        <f t="shared" si="1"/>
        <v>9731.532935088926</v>
      </c>
      <c r="H238" s="25">
        <f t="shared" si="12"/>
        <v>3877071.3844499057</v>
      </c>
      <c r="I238" s="25">
        <f>G238/((1+'How much will I make'!$C$5/12)^(Calculations!$B$1*12-Calculations!$A238))</f>
        <v>3499.0830011743046</v>
      </c>
      <c r="J238" s="25">
        <f t="shared" si="13"/>
        <v>824638.57142831571</v>
      </c>
      <c r="K238" s="25">
        <f t="shared" si="2"/>
        <v>26837.652842665932</v>
      </c>
      <c r="L238" s="25">
        <f t="shared" si="14"/>
        <v>19375883.18166548</v>
      </c>
      <c r="M238" s="25">
        <f>K238/((1+'How much will I make'!$C$5/12)^(Calculations!$B$1*12-Calculations!$A238))</f>
        <v>9649.7823600420761</v>
      </c>
      <c r="N238" s="25">
        <f t="shared" si="15"/>
        <v>3826684.8366477517</v>
      </c>
      <c r="O238" s="25">
        <f t="shared" si="3"/>
        <v>73705.263802298505</v>
      </c>
      <c r="P238" s="25">
        <f t="shared" si="16"/>
        <v>102571434.67606962</v>
      </c>
      <c r="Q238" s="25">
        <f>O238/((1+'How much will I make'!$C$5/12)^(Calculations!$B$1*12-Calculations!$A238))</f>
        <v>26501.563257087597</v>
      </c>
      <c r="R238" s="25">
        <f t="shared" si="17"/>
        <v>18984503.120997388</v>
      </c>
      <c r="S238" s="25">
        <f t="shared" si="4"/>
        <v>201584.89152010073</v>
      </c>
      <c r="T238" s="25">
        <f t="shared" si="18"/>
        <v>568341001.27114117</v>
      </c>
      <c r="U238" s="25">
        <f>S238/((1+'How much will I make'!$C$5/12)^(Calculations!$B$1*12-Calculations!$A238))</f>
        <v>72482.133279149726</v>
      </c>
      <c r="V238" s="25">
        <f t="shared" si="19"/>
        <v>99732663.641663626</v>
      </c>
      <c r="W238" s="25">
        <f t="shared" si="5"/>
        <v>549082.4629078072</v>
      </c>
      <c r="X238" s="25">
        <f t="shared" si="20"/>
        <v>3258497279.916759</v>
      </c>
      <c r="Y238" s="25">
        <f>W238/((1+'How much will I make'!$C$5/12)^(Calculations!$B$1*12-Calculations!$A238))</f>
        <v>197428.82493631227</v>
      </c>
      <c r="Z238" s="25">
        <f t="shared" si="21"/>
        <v>548296237.11506879</v>
      </c>
      <c r="AA238" s="25">
        <f t="shared" si="6"/>
        <v>1489538.4815187075</v>
      </c>
      <c r="AB238" s="25">
        <f t="shared" si="22"/>
        <v>19145636148.380585</v>
      </c>
      <c r="AC238" s="25">
        <f>AA238/((1+'How much will I make'!$C$5/12)^(Calculations!$B$1*12-Calculations!$A238))</f>
        <v>535580.44914837135</v>
      </c>
      <c r="AD238" s="25">
        <f t="shared" si="23"/>
        <v>3118826753.3228092</v>
      </c>
      <c r="AE238" s="25">
        <f t="shared" si="7"/>
        <v>4024525.7350745355</v>
      </c>
      <c r="AF238" s="25">
        <f t="shared" si="24"/>
        <v>114427303973.09056</v>
      </c>
      <c r="AG238" s="25">
        <f>AE238/((1+'How much will I make'!$C$5/12)^(Calculations!$B$1*12-Calculations!$A238))</f>
        <v>1447063.8573920778</v>
      </c>
      <c r="AH238" s="25">
        <f t="shared" si="25"/>
        <v>18180851694.604477</v>
      </c>
    </row>
    <row r="239" spans="1:34" ht="15.75" customHeight="1">
      <c r="A239" s="22">
        <f t="shared" si="8"/>
        <v>235</v>
      </c>
      <c r="B239" s="22">
        <f t="shared" si="44"/>
        <v>1263.4750976878202</v>
      </c>
      <c r="C239" s="25">
        <f t="shared" si="0"/>
        <v>3499.3541576475727</v>
      </c>
      <c r="D239" s="25">
        <f t="shared" si="10"/>
        <v>833306.48805339122</v>
      </c>
      <c r="E239" s="25">
        <f>$C239/((1+'How much will I make'!$C$5/12)^(Calculations!$B$1*12-Calculations!$A239))</f>
        <v>1263.4750976878202</v>
      </c>
      <c r="F239" s="25">
        <f t="shared" si="11"/>
        <v>192078.34912889192</v>
      </c>
      <c r="G239" s="25">
        <f t="shared" si="1"/>
        <v>9651.1070430633954</v>
      </c>
      <c r="H239" s="25">
        <f t="shared" si="12"/>
        <v>3886722.491492969</v>
      </c>
      <c r="I239" s="25">
        <f>G239/((1+'How much will I make'!$C$5/12)^(Calculations!$B$1*12-Calculations!$A239))</f>
        <v>3484.6239805082942</v>
      </c>
      <c r="J239" s="25">
        <f t="shared" si="13"/>
        <v>828123.19540882402</v>
      </c>
      <c r="K239" s="25">
        <f t="shared" si="2"/>
        <v>26506.323795225606</v>
      </c>
      <c r="L239" s="25">
        <f t="shared" si="14"/>
        <v>19402389.505460706</v>
      </c>
      <c r="M239" s="25">
        <f>K239/((1+'How much will I make'!$C$5/12)^(Calculations!$B$1*12-Calculations!$A239))</f>
        <v>9570.3602830046912</v>
      </c>
      <c r="N239" s="25">
        <f t="shared" si="15"/>
        <v>3836255.1969307563</v>
      </c>
      <c r="O239" s="25">
        <f t="shared" si="3"/>
        <v>72496.980789146066</v>
      </c>
      <c r="P239" s="25">
        <f t="shared" si="16"/>
        <v>102643931.65685876</v>
      </c>
      <c r="Q239" s="25">
        <f>O239/((1+'How much will I make'!$C$5/12)^(Calculations!$B$1*12-Calculations!$A239))</f>
        <v>26175.724364582416</v>
      </c>
      <c r="R239" s="25">
        <f t="shared" si="17"/>
        <v>19010678.84536197</v>
      </c>
      <c r="S239" s="25">
        <f t="shared" si="4"/>
        <v>197470.91414213949</v>
      </c>
      <c r="T239" s="25">
        <f t="shared" si="18"/>
        <v>568538472.1852833</v>
      </c>
      <c r="U239" s="25">
        <f>S239/((1+'How much will I make'!$C$5/12)^(Calculations!$B$1*12-Calculations!$A239))</f>
        <v>71298.751511326875</v>
      </c>
      <c r="V239" s="25">
        <f t="shared" si="19"/>
        <v>99803962.393174946</v>
      </c>
      <c r="W239" s="25">
        <f t="shared" si="5"/>
        <v>535690.2077149339</v>
      </c>
      <c r="X239" s="25">
        <f t="shared" si="20"/>
        <v>3259032970.124474</v>
      </c>
      <c r="Y239" s="25">
        <f>W239/((1+'How much will I make'!$C$5/12)^(Calculations!$B$1*12-Calculations!$A239))</f>
        <v>193416.04394167179</v>
      </c>
      <c r="Z239" s="25">
        <f t="shared" si="21"/>
        <v>548489653.15901041</v>
      </c>
      <c r="AA239" s="25">
        <f t="shared" si="6"/>
        <v>1447324.8403420639</v>
      </c>
      <c r="AB239" s="25">
        <f t="shared" si="22"/>
        <v>19147083473.220928</v>
      </c>
      <c r="AC239" s="25">
        <f>AA239/((1+'How much will I make'!$C$5/12)^(Calculations!$B$1*12-Calculations!$A239))</f>
        <v>522570.39775205456</v>
      </c>
      <c r="AD239" s="25">
        <f t="shared" si="23"/>
        <v>3119349323.7205615</v>
      </c>
      <c r="AE239" s="25">
        <f t="shared" si="7"/>
        <v>3894702.3242656793</v>
      </c>
      <c r="AF239" s="25">
        <f t="shared" si="24"/>
        <v>114431198675.41483</v>
      </c>
      <c r="AG239" s="25">
        <f>AE239/((1+'How much will I make'!$C$5/12)^(Calculations!$B$1*12-Calculations!$A239))</f>
        <v>1406219.3130302045</v>
      </c>
      <c r="AH239" s="25">
        <f t="shared" si="25"/>
        <v>18182257913.917507</v>
      </c>
    </row>
    <row r="240" spans="1:34" ht="15.75" customHeight="1">
      <c r="A240" s="22">
        <f t="shared" si="8"/>
        <v>236</v>
      </c>
      <c r="B240" s="22">
        <f t="shared" si="44"/>
        <v>1263.4750976878202</v>
      </c>
      <c r="C240" s="25">
        <f t="shared" si="0"/>
        <v>3484.8340159145951</v>
      </c>
      <c r="D240" s="25">
        <f t="shared" si="10"/>
        <v>836791.32206930581</v>
      </c>
      <c r="E240" s="25">
        <f>$C240/((1+'How much will I make'!$C$5/12)^(Calculations!$B$1*12-Calculations!$A240))</f>
        <v>1263.4750976878202</v>
      </c>
      <c r="F240" s="25">
        <f t="shared" si="11"/>
        <v>193341.82422657975</v>
      </c>
      <c r="G240" s="25">
        <f t="shared" si="1"/>
        <v>9571.3458278314683</v>
      </c>
      <c r="H240" s="25">
        <f t="shared" si="12"/>
        <v>3896293.8373208004</v>
      </c>
      <c r="I240" s="25">
        <f>G240/((1+'How much will I make'!$C$5/12)^(Calculations!$B$1*12-Calculations!$A240))</f>
        <v>3470.2247078615665</v>
      </c>
      <c r="J240" s="25">
        <f t="shared" si="13"/>
        <v>831593.42011668556</v>
      </c>
      <c r="K240" s="25">
        <f t="shared" si="2"/>
        <v>26179.085229852455</v>
      </c>
      <c r="L240" s="25">
        <f t="shared" si="14"/>
        <v>19428568.590690557</v>
      </c>
      <c r="M240" s="25">
        <f>K240/((1+'How much will I make'!$C$5/12)^(Calculations!$B$1*12-Calculations!$A240))</f>
        <v>9491.5918856137087</v>
      </c>
      <c r="N240" s="25">
        <f t="shared" si="15"/>
        <v>3845746.7888163701</v>
      </c>
      <c r="O240" s="25">
        <f t="shared" si="3"/>
        <v>71308.505694242034</v>
      </c>
      <c r="P240" s="25">
        <f t="shared" si="16"/>
        <v>102715240.162553</v>
      </c>
      <c r="Q240" s="25">
        <f>O240/((1+'How much will I make'!$C$5/12)^(Calculations!$B$1*12-Calculations!$A240))</f>
        <v>25853.891687968702</v>
      </c>
      <c r="R240" s="25">
        <f t="shared" si="17"/>
        <v>19036532.737049937</v>
      </c>
      <c r="S240" s="25">
        <f t="shared" si="4"/>
        <v>193440.89548617744</v>
      </c>
      <c r="T240" s="25">
        <f t="shared" si="18"/>
        <v>568731913.08076954</v>
      </c>
      <c r="U240" s="25">
        <f>S240/((1+'How much will I make'!$C$5/12)^(Calculations!$B$1*12-Calculations!$A240))</f>
        <v>70134.690262162345</v>
      </c>
      <c r="V240" s="25">
        <f t="shared" si="19"/>
        <v>99874097.083437115</v>
      </c>
      <c r="W240" s="25">
        <f t="shared" si="5"/>
        <v>522624.59289261844</v>
      </c>
      <c r="X240" s="25">
        <f t="shared" si="20"/>
        <v>3259555594.7173667</v>
      </c>
      <c r="Y240" s="25">
        <f>W240/((1+'How much will I make'!$C$5/12)^(Calculations!$B$1*12-Calculations!$A240))</f>
        <v>189484.82353635327</v>
      </c>
      <c r="Z240" s="25">
        <f t="shared" si="21"/>
        <v>548679137.98254681</v>
      </c>
      <c r="AA240" s="25">
        <f t="shared" si="6"/>
        <v>1406307.5371744754</v>
      </c>
      <c r="AB240" s="25">
        <f t="shared" si="22"/>
        <v>19148489780.758102</v>
      </c>
      <c r="AC240" s="25">
        <f>AA240/((1+'How much will I make'!$C$5/12)^(Calculations!$B$1*12-Calculations!$A240))</f>
        <v>509876.37999289547</v>
      </c>
      <c r="AD240" s="25">
        <f t="shared" si="23"/>
        <v>3119859200.1005545</v>
      </c>
      <c r="AE240" s="25">
        <f t="shared" si="7"/>
        <v>3769066.7654183987</v>
      </c>
      <c r="AF240" s="25">
        <f t="shared" si="24"/>
        <v>114434967742.18024</v>
      </c>
      <c r="AG240" s="25">
        <f>AE240/((1+'How much will I make'!$C$5/12)^(Calculations!$B$1*12-Calculations!$A240))</f>
        <v>1366527.6388720938</v>
      </c>
      <c r="AH240" s="25">
        <f t="shared" si="25"/>
        <v>18183624441.556377</v>
      </c>
    </row>
    <row r="241" spans="1:34" ht="15.75" customHeight="1">
      <c r="A241" s="22">
        <f t="shared" si="8"/>
        <v>237</v>
      </c>
      <c r="B241" s="22">
        <f t="shared" si="44"/>
        <v>1263.4750976878202</v>
      </c>
      <c r="C241" s="25">
        <f t="shared" si="0"/>
        <v>3470.3741237323761</v>
      </c>
      <c r="D241" s="25">
        <f t="shared" si="10"/>
        <v>840261.69619303814</v>
      </c>
      <c r="E241" s="25">
        <f>$C241/((1+'How much will I make'!$C$5/12)^(Calculations!$B$1*12-Calculations!$A241))</f>
        <v>1263.4750976878202</v>
      </c>
      <c r="F241" s="25">
        <f t="shared" si="11"/>
        <v>194605.29932426757</v>
      </c>
      <c r="G241" s="25">
        <f t="shared" si="1"/>
        <v>9492.2437961964988</v>
      </c>
      <c r="H241" s="25">
        <f t="shared" si="12"/>
        <v>3905786.0811169967</v>
      </c>
      <c r="I241" s="25">
        <f>G241/((1+'How much will I make'!$C$5/12)^(Calculations!$B$1*12-Calculations!$A241))</f>
        <v>3455.8849363414784</v>
      </c>
      <c r="J241" s="25">
        <f t="shared" si="13"/>
        <v>835049.305053027</v>
      </c>
      <c r="K241" s="25">
        <f t="shared" si="2"/>
        <v>25855.886646767856</v>
      </c>
      <c r="L241" s="25">
        <f t="shared" si="14"/>
        <v>19454424.477337323</v>
      </c>
      <c r="M241" s="25">
        <f>K241/((1+'How much will I make'!$C$5/12)^(Calculations!$B$1*12-Calculations!$A241))</f>
        <v>9413.4717877897274</v>
      </c>
      <c r="N241" s="25">
        <f t="shared" si="15"/>
        <v>3855160.2606041599</v>
      </c>
      <c r="O241" s="25">
        <f t="shared" si="3"/>
        <v>70139.513797615087</v>
      </c>
      <c r="P241" s="25">
        <f t="shared" si="16"/>
        <v>102785379.67635061</v>
      </c>
      <c r="Q241" s="25">
        <f>O241/((1+'How much will I make'!$C$5/12)^(Calculations!$B$1*12-Calculations!$A241))</f>
        <v>25536.01597049367</v>
      </c>
      <c r="R241" s="25">
        <f t="shared" si="17"/>
        <v>19062068.753020432</v>
      </c>
      <c r="S241" s="25">
        <f t="shared" si="4"/>
        <v>189493.12210890854</v>
      </c>
      <c r="T241" s="25">
        <f t="shared" si="18"/>
        <v>568921406.20287848</v>
      </c>
      <c r="U241" s="25">
        <f>S241/((1+'How much will I make'!$C$5/12)^(Calculations!$B$1*12-Calculations!$A241))</f>
        <v>68989.634094616864</v>
      </c>
      <c r="V241" s="25">
        <f t="shared" si="19"/>
        <v>99943086.717531726</v>
      </c>
      <c r="W241" s="25">
        <f t="shared" si="5"/>
        <v>509877.65160255466</v>
      </c>
      <c r="X241" s="25">
        <f t="shared" si="20"/>
        <v>3260065472.3689694</v>
      </c>
      <c r="Y241" s="25">
        <f>W241/((1+'How much will I make'!$C$5/12)^(Calculations!$B$1*12-Calculations!$A241))</f>
        <v>185633.50598480142</v>
      </c>
      <c r="Z241" s="25">
        <f t="shared" si="21"/>
        <v>548864771.48853159</v>
      </c>
      <c r="AA241" s="25">
        <f t="shared" si="6"/>
        <v>1366452.6676998953</v>
      </c>
      <c r="AB241" s="25">
        <f t="shared" si="22"/>
        <v>19149856233.425804</v>
      </c>
      <c r="AC241" s="25">
        <f>AA241/((1+'How much will I make'!$C$5/12)^(Calculations!$B$1*12-Calculations!$A241))</f>
        <v>497490.71894043667</v>
      </c>
      <c r="AD241" s="25">
        <f t="shared" si="23"/>
        <v>3120356690.8194947</v>
      </c>
      <c r="AE241" s="25">
        <f t="shared" si="7"/>
        <v>3647483.9665339338</v>
      </c>
      <c r="AF241" s="25">
        <f t="shared" si="24"/>
        <v>114438615226.14677</v>
      </c>
      <c r="AG241" s="25">
        <f>AE241/((1+'How much will I make'!$C$5/12)^(Calculations!$B$1*12-Calculations!$A241))</f>
        <v>1327956.2942265105</v>
      </c>
      <c r="AH241" s="25">
        <f t="shared" si="25"/>
        <v>18184952397.850605</v>
      </c>
    </row>
    <row r="242" spans="1:34" ht="15.75" customHeight="1">
      <c r="A242" s="22">
        <f t="shared" si="8"/>
        <v>238</v>
      </c>
      <c r="B242" s="22">
        <f t="shared" si="44"/>
        <v>1263.4750976878202</v>
      </c>
      <c r="C242" s="25">
        <f t="shared" si="0"/>
        <v>3455.9742311027808</v>
      </c>
      <c r="D242" s="25">
        <f t="shared" si="10"/>
        <v>843717.67042414087</v>
      </c>
      <c r="E242" s="25">
        <f>$C242/((1+'How much will I make'!$C$5/12)^(Calculations!$B$1*12-Calculations!$A242))</f>
        <v>1263.4750976878202</v>
      </c>
      <c r="F242" s="25">
        <f t="shared" si="11"/>
        <v>195868.7744219554</v>
      </c>
      <c r="G242" s="25">
        <f t="shared" si="1"/>
        <v>9413.7955003601655</v>
      </c>
      <c r="H242" s="25">
        <f t="shared" si="12"/>
        <v>3915199.8766173567</v>
      </c>
      <c r="I242" s="25">
        <f>G242/((1+'How much will I make'!$C$5/12)^(Calculations!$B$1*12-Calculations!$A242))</f>
        <v>3441.604420075605</v>
      </c>
      <c r="J242" s="25">
        <f t="shared" si="13"/>
        <v>838490.90947310266</v>
      </c>
      <c r="K242" s="25">
        <f t="shared" si="2"/>
        <v>25536.678169647268</v>
      </c>
      <c r="L242" s="25">
        <f t="shared" si="14"/>
        <v>19479961.155506972</v>
      </c>
      <c r="M242" s="25">
        <f>K242/((1+'How much will I make'!$C$5/12)^(Calculations!$B$1*12-Calculations!$A242))</f>
        <v>9335.9946537338474</v>
      </c>
      <c r="N242" s="25">
        <f t="shared" si="15"/>
        <v>3864496.2552578938</v>
      </c>
      <c r="O242" s="25">
        <f t="shared" si="3"/>
        <v>68989.685702572242</v>
      </c>
      <c r="P242" s="25">
        <f t="shared" si="16"/>
        <v>102854369.36205319</v>
      </c>
      <c r="Q242" s="25">
        <f>O242/((1+'How much will I make'!$C$5/12)^(Calculations!$B$1*12-Calculations!$A242))</f>
        <v>25222.048561020398</v>
      </c>
      <c r="R242" s="25">
        <f t="shared" si="17"/>
        <v>19087290.801581454</v>
      </c>
      <c r="S242" s="25">
        <f t="shared" si="4"/>
        <v>185625.91553525737</v>
      </c>
      <c r="T242" s="25">
        <f t="shared" si="18"/>
        <v>569107032.11841369</v>
      </c>
      <c r="U242" s="25">
        <f>S242/((1+'How much will I make'!$C$5/12)^(Calculations!$B$1*12-Calculations!$A242))</f>
        <v>67863.272721643545</v>
      </c>
      <c r="V242" s="25">
        <f t="shared" si="19"/>
        <v>100010949.99025337</v>
      </c>
      <c r="W242" s="25">
        <f t="shared" si="5"/>
        <v>497441.61131956545</v>
      </c>
      <c r="X242" s="25">
        <f t="shared" si="20"/>
        <v>3260562913.980289</v>
      </c>
      <c r="Y242" s="25">
        <f>W242/((1+'How much will I make'!$C$5/12)^(Calculations!$B$1*12-Calculations!$A242))</f>
        <v>181860.46724527294</v>
      </c>
      <c r="Z242" s="25">
        <f t="shared" si="21"/>
        <v>549046631.95577681</v>
      </c>
      <c r="AA242" s="25">
        <f t="shared" si="6"/>
        <v>1327727.2884533396</v>
      </c>
      <c r="AB242" s="25">
        <f t="shared" si="22"/>
        <v>19151183960.714256</v>
      </c>
      <c r="AC242" s="25">
        <f>AA242/((1+'How much will I make'!$C$5/12)^(Calculations!$B$1*12-Calculations!$A242))</f>
        <v>485405.92414836132</v>
      </c>
      <c r="AD242" s="25">
        <f t="shared" si="23"/>
        <v>3120842096.7436433</v>
      </c>
      <c r="AE242" s="25">
        <f t="shared" si="7"/>
        <v>3529823.1934199366</v>
      </c>
      <c r="AF242" s="25">
        <f t="shared" si="24"/>
        <v>114442145049.34019</v>
      </c>
      <c r="AG242" s="25">
        <f>AE242/((1+'How much will I make'!$C$5/12)^(Calculations!$B$1*12-Calculations!$A242))</f>
        <v>1290473.6568894722</v>
      </c>
      <c r="AH242" s="25">
        <f t="shared" si="25"/>
        <v>18186242871.507496</v>
      </c>
    </row>
    <row r="243" spans="1:34" ht="15.75" customHeight="1">
      <c r="A243" s="22">
        <f t="shared" si="8"/>
        <v>239</v>
      </c>
      <c r="B243" s="22">
        <f t="shared" si="44"/>
        <v>1263.4750976878202</v>
      </c>
      <c r="C243" s="25">
        <f t="shared" si="0"/>
        <v>3441.6340890650104</v>
      </c>
      <c r="D243" s="25">
        <f t="shared" si="10"/>
        <v>847159.30451320589</v>
      </c>
      <c r="E243" s="25">
        <f>$C243/((1+'How much will I make'!$C$5/12)^(Calculations!$B$1*12-Calculations!$A243))</f>
        <v>1263.4750976878202</v>
      </c>
      <c r="F243" s="25">
        <f t="shared" si="11"/>
        <v>197132.24951964323</v>
      </c>
      <c r="G243" s="25">
        <f t="shared" si="1"/>
        <v>9335.9955375472691</v>
      </c>
      <c r="H243" s="25">
        <f t="shared" si="12"/>
        <v>3924535.8721549041</v>
      </c>
      <c r="I243" s="25">
        <f>G243/((1+'How much will I make'!$C$5/12)^(Calculations!$B$1*12-Calculations!$A243))</f>
        <v>3427.3829142075228</v>
      </c>
      <c r="J243" s="25">
        <f t="shared" si="13"/>
        <v>841918.29238731018</v>
      </c>
      <c r="K243" s="25">
        <f t="shared" si="2"/>
        <v>25221.410537923228</v>
      </c>
      <c r="L243" s="25">
        <f t="shared" si="14"/>
        <v>19505182.566044897</v>
      </c>
      <c r="M243" s="25">
        <f>K243/((1+'How much will I make'!$C$5/12)^(Calculations!$B$1*12-Calculations!$A243))</f>
        <v>9259.1551915631971</v>
      </c>
      <c r="N243" s="25">
        <f t="shared" si="15"/>
        <v>3873755.4104494569</v>
      </c>
      <c r="O243" s="25">
        <f t="shared" si="3"/>
        <v>67858.707248431718</v>
      </c>
      <c r="P243" s="25">
        <f t="shared" si="16"/>
        <v>102922228.06930162</v>
      </c>
      <c r="Q243" s="25">
        <f>O243/((1+'How much will I make'!$C$5/12)^(Calculations!$B$1*12-Calculations!$A243))</f>
        <v>24911.941406581624</v>
      </c>
      <c r="R243" s="25">
        <f t="shared" si="17"/>
        <v>19112202.742988035</v>
      </c>
      <c r="S243" s="25">
        <f t="shared" si="4"/>
        <v>181837.63154474195</v>
      </c>
      <c r="T243" s="25">
        <f t="shared" si="18"/>
        <v>569288869.7499584</v>
      </c>
      <c r="U243" s="25">
        <f>S243/((1+'How much will I make'!$C$5/12)^(Calculations!$B$1*12-Calculations!$A243))</f>
        <v>66755.300922106515</v>
      </c>
      <c r="V243" s="25">
        <f t="shared" si="19"/>
        <v>100077705.29117548</v>
      </c>
      <c r="W243" s="25">
        <f t="shared" si="5"/>
        <v>485308.88909225899</v>
      </c>
      <c r="X243" s="25">
        <f t="shared" si="20"/>
        <v>3261048222.8693814</v>
      </c>
      <c r="Y243" s="25">
        <f>W243/((1+'How much will I make'!$C$5/12)^(Calculations!$B$1*12-Calculations!$A243))</f>
        <v>178164.11628500317</v>
      </c>
      <c r="Z243" s="25">
        <f t="shared" si="21"/>
        <v>549224796.07206178</v>
      </c>
      <c r="AA243" s="25">
        <f t="shared" si="6"/>
        <v>1290099.3895902897</v>
      </c>
      <c r="AB243" s="25">
        <f t="shared" si="22"/>
        <v>19152474060.103848</v>
      </c>
      <c r="AC243" s="25">
        <f>AA243/((1+'How much will I make'!$C$5/12)^(Calculations!$B$1*12-Calculations!$A243))</f>
        <v>473614.68712451454</v>
      </c>
      <c r="AD243" s="25">
        <f t="shared" si="23"/>
        <v>3121315711.430768</v>
      </c>
      <c r="AE243" s="25">
        <f t="shared" si="7"/>
        <v>3415957.9291160665</v>
      </c>
      <c r="AF243" s="25">
        <f t="shared" si="24"/>
        <v>114445561007.26932</v>
      </c>
      <c r="AG243" s="25">
        <f>AE243/((1+'How much will I make'!$C$5/12)^(Calculations!$B$1*12-Calculations!$A243))</f>
        <v>1254048.9972192044</v>
      </c>
      <c r="AH243" s="25">
        <f t="shared" si="25"/>
        <v>18187496920.504715</v>
      </c>
    </row>
    <row r="244" spans="1:34" ht="15.75" customHeight="1">
      <c r="A244" s="22">
        <f t="shared" si="8"/>
        <v>240</v>
      </c>
      <c r="B244" s="22">
        <f t="shared" si="44"/>
        <v>1263.4750976878202</v>
      </c>
      <c r="C244" s="25">
        <f t="shared" si="0"/>
        <v>3427.3534496912966</v>
      </c>
      <c r="D244" s="25">
        <f t="shared" si="10"/>
        <v>850586.65796289721</v>
      </c>
      <c r="E244" s="25">
        <f>$C244/((1+'How much will I make'!$C$5/12)^(Calculations!$B$1*12-Calculations!$A244))</f>
        <v>1263.4750976878202</v>
      </c>
      <c r="F244" s="25">
        <f t="shared" si="11"/>
        <v>198395.72461733106</v>
      </c>
      <c r="G244" s="25">
        <f t="shared" si="1"/>
        <v>9258.8385496336577</v>
      </c>
      <c r="H244" s="25">
        <f t="shared" si="12"/>
        <v>3933794.7107045376</v>
      </c>
      <c r="I244" s="25">
        <f>G244/((1+'How much will I make'!$C$5/12)^(Calculations!$B$1*12-Calculations!$A244))</f>
        <v>3413.2201748926168</v>
      </c>
      <c r="J244" s="25">
        <f t="shared" si="13"/>
        <v>845331.51256220276</v>
      </c>
      <c r="K244" s="25">
        <f t="shared" si="2"/>
        <v>24910.035099183431</v>
      </c>
      <c r="L244" s="25">
        <f t="shared" si="14"/>
        <v>19530092.601144079</v>
      </c>
      <c r="M244" s="25">
        <f>K244/((1+'How much will I make'!$C$5/12)^(Calculations!$B$1*12-Calculations!$A244))</f>
        <v>9182.9481529495079</v>
      </c>
      <c r="N244" s="25">
        <f t="shared" si="15"/>
        <v>3882938.3586024065</v>
      </c>
      <c r="O244" s="25">
        <f t="shared" si="3"/>
        <v>66746.269424686936</v>
      </c>
      <c r="P244" s="25">
        <f t="shared" si="16"/>
        <v>102988974.33872631</v>
      </c>
      <c r="Q244" s="25">
        <f>O244/((1+'How much will I make'!$C$5/12)^(Calculations!$B$1*12-Calculations!$A244))</f>
        <v>24605.647045025289</v>
      </c>
      <c r="R244" s="25">
        <f t="shared" si="17"/>
        <v>19136808.390033059</v>
      </c>
      <c r="S244" s="25">
        <f t="shared" si="4"/>
        <v>178126.65947240026</v>
      </c>
      <c r="T244" s="25">
        <f t="shared" si="18"/>
        <v>569466996.40943074</v>
      </c>
      <c r="U244" s="25">
        <f>S244/((1+'How much will I make'!$C$5/12)^(Calculations!$B$1*12-Calculations!$A244))</f>
        <v>65665.418458072105</v>
      </c>
      <c r="V244" s="25">
        <f t="shared" si="19"/>
        <v>100143370.70963356</v>
      </c>
      <c r="W244" s="25">
        <f t="shared" si="5"/>
        <v>473472.08691927709</v>
      </c>
      <c r="X244" s="25">
        <f t="shared" si="20"/>
        <v>3261521694.9563007</v>
      </c>
      <c r="Y244" s="25">
        <f>W244/((1+'How much will I make'!$C$5/12)^(Calculations!$B$1*12-Calculations!$A244))</f>
        <v>174542.89440929171</v>
      </c>
      <c r="Z244" s="25">
        <f t="shared" si="21"/>
        <v>549399338.96647108</v>
      </c>
      <c r="AA244" s="25">
        <f t="shared" si="6"/>
        <v>1253537.8684278119</v>
      </c>
      <c r="AB244" s="25">
        <f t="shared" si="22"/>
        <v>19153727597.972275</v>
      </c>
      <c r="AC244" s="25">
        <f>AA244/((1+'How much will I make'!$C$5/12)^(Calculations!$B$1*12-Calculations!$A244))</f>
        <v>462109.87691096356</v>
      </c>
      <c r="AD244" s="25">
        <f t="shared" si="23"/>
        <v>3121777821.3076792</v>
      </c>
      <c r="AE244" s="25">
        <f t="shared" si="7"/>
        <v>3305765.7378542577</v>
      </c>
      <c r="AF244" s="25">
        <f t="shared" si="24"/>
        <v>114448866773.00717</v>
      </c>
      <c r="AG244" s="25">
        <f>AE244/((1+'How much will I make'!$C$5/12)^(Calculations!$B$1*12-Calculations!$A244))</f>
        <v>1218652.4529428557</v>
      </c>
      <c r="AH244" s="25">
        <f t="shared" si="25"/>
        <v>18188715572.957657</v>
      </c>
    </row>
    <row r="245" spans="1:34" ht="15.75" customHeight="1">
      <c r="A245" s="22">
        <f t="shared" si="8"/>
        <v>241</v>
      </c>
      <c r="B245" s="22">
        <f>B244*(1+'How much will I make'!$C$4)</f>
        <v>1326.6488525722111</v>
      </c>
      <c r="C245" s="25">
        <f t="shared" si="0"/>
        <v>3583.7886693867504</v>
      </c>
      <c r="D245" s="25">
        <f t="shared" si="10"/>
        <v>854170.44663228397</v>
      </c>
      <c r="E245" s="25">
        <f>$C245/((1+'How much will I make'!$C$5/12)^(Calculations!$B$1*12-Calculations!$A245))</f>
        <v>1326.6488525722111</v>
      </c>
      <c r="F245" s="25">
        <f t="shared" si="11"/>
        <v>199722.37346990328</v>
      </c>
      <c r="G245" s="25">
        <f t="shared" si="1"/>
        <v>9641.435183916039</v>
      </c>
      <c r="H245" s="25">
        <f t="shared" si="12"/>
        <v>3943436.1458884538</v>
      </c>
      <c r="I245" s="25">
        <f>G245/((1+'How much will I make'!$C$5/12)^(Calculations!$B$1*12-Calculations!$A245))</f>
        <v>3569.0717572585804</v>
      </c>
      <c r="J245" s="25">
        <f t="shared" si="13"/>
        <v>848900.58431946137</v>
      </c>
      <c r="K245" s="25">
        <f t="shared" si="2"/>
        <v>25832.628991745776</v>
      </c>
      <c r="L245" s="25">
        <f t="shared" si="14"/>
        <v>19555925.230135825</v>
      </c>
      <c r="M245" s="25">
        <f>K245/((1+'How much will I make'!$C$5/12)^(Calculations!$B$1*12-Calculations!$A245))</f>
        <v>9562.7367493986512</v>
      </c>
      <c r="N245" s="25">
        <f t="shared" si="15"/>
        <v>3892501.095351805</v>
      </c>
      <c r="O245" s="25">
        <f t="shared" si="3"/>
        <v>68934.671700906169</v>
      </c>
      <c r="P245" s="25">
        <f t="shared" si="16"/>
        <v>103057909.01042722</v>
      </c>
      <c r="Q245" s="25">
        <f>O245/((1+'How much will I make'!$C$5/12)^(Calculations!$B$1*12-Calculations!$A245))</f>
        <v>25518.274527637903</v>
      </c>
      <c r="R245" s="25">
        <f t="shared" si="17"/>
        <v>19162326.664560698</v>
      </c>
      <c r="S245" s="25">
        <f t="shared" si="4"/>
        <v>183215.99260018315</v>
      </c>
      <c r="T245" s="25">
        <f t="shared" si="18"/>
        <v>569650212.40203094</v>
      </c>
      <c r="U245" s="25">
        <f>S245/((1+'How much will I make'!$C$5/12)^(Calculations!$B$1*12-Calculations!$A245))</f>
        <v>67822.99649312305</v>
      </c>
      <c r="V245" s="25">
        <f t="shared" si="19"/>
        <v>100211193.70612668</v>
      </c>
      <c r="W245" s="25">
        <f t="shared" si="5"/>
        <v>485020.18660023512</v>
      </c>
      <c r="X245" s="25">
        <f t="shared" si="20"/>
        <v>3262006715.1429009</v>
      </c>
      <c r="Y245" s="25">
        <f>W245/((1+'How much will I make'!$C$5/12)^(Calculations!$B$1*12-Calculations!$A245))</f>
        <v>179545.03833443605</v>
      </c>
      <c r="Z245" s="25">
        <f t="shared" si="21"/>
        <v>549578884.00480556</v>
      </c>
      <c r="AA245" s="25">
        <f t="shared" si="6"/>
        <v>1278913.1289223023</v>
      </c>
      <c r="AB245" s="25">
        <f t="shared" si="22"/>
        <v>19155006511.101196</v>
      </c>
      <c r="AC245" s="25">
        <f>AA245/((1+'How much will I make'!$C$5/12)^(Calculations!$B$1*12-Calculations!$A245))</f>
        <v>473428.76255999733</v>
      </c>
      <c r="AD245" s="25">
        <f t="shared" si="23"/>
        <v>3122251250.0702391</v>
      </c>
      <c r="AE245" s="25">
        <f t="shared" si="7"/>
        <v>3359084.5400777124</v>
      </c>
      <c r="AF245" s="25">
        <f t="shared" si="24"/>
        <v>114452225857.54726</v>
      </c>
      <c r="AG245" s="25">
        <f>AE245/((1+'How much will I make'!$C$5/12)^(Calculations!$B$1*12-Calculations!$A245))</f>
        <v>1243467.7549080222</v>
      </c>
      <c r="AH245" s="25">
        <f t="shared" si="25"/>
        <v>18189959040.712566</v>
      </c>
    </row>
    <row r="246" spans="1:34" ht="15.75" customHeight="1">
      <c r="A246" s="22">
        <f t="shared" si="8"/>
        <v>242</v>
      </c>
      <c r="B246" s="22">
        <f t="shared" ref="B246:B256" si="45">B245</f>
        <v>1326.6488525722111</v>
      </c>
      <c r="C246" s="25">
        <f t="shared" si="0"/>
        <v>3568.918176982655</v>
      </c>
      <c r="D246" s="25">
        <f t="shared" si="10"/>
        <v>857739.36480926664</v>
      </c>
      <c r="E246" s="25">
        <f>$C246/((1+'How much will I make'!$C$5/12)^(Calculations!$B$1*12-Calculations!$A246))</f>
        <v>1326.6488525722111</v>
      </c>
      <c r="F246" s="25">
        <f t="shared" si="11"/>
        <v>201049.0223224755</v>
      </c>
      <c r="G246" s="25">
        <f t="shared" si="1"/>
        <v>9561.7539014043377</v>
      </c>
      <c r="H246" s="25">
        <f t="shared" si="12"/>
        <v>3952997.8997898581</v>
      </c>
      <c r="I246" s="25">
        <f>G246/((1+'How much will I make'!$C$5/12)^(Calculations!$B$1*12-Calculations!$A246))</f>
        <v>3554.3235268566868</v>
      </c>
      <c r="J246" s="25">
        <f t="shared" si="13"/>
        <v>852454.90784631809</v>
      </c>
      <c r="K246" s="25">
        <f t="shared" si="2"/>
        <v>25513.707646168677</v>
      </c>
      <c r="L246" s="25">
        <f t="shared" si="14"/>
        <v>19581438.937781993</v>
      </c>
      <c r="M246" s="25">
        <f>K246/((1+'How much will I make'!$C$5/12)^(Calculations!$B$1*12-Calculations!$A246))</f>
        <v>9484.0310971402323</v>
      </c>
      <c r="N246" s="25">
        <f t="shared" si="15"/>
        <v>3901985.1264489451</v>
      </c>
      <c r="O246" s="25">
        <f t="shared" si="3"/>
        <v>67804.595115645454</v>
      </c>
      <c r="P246" s="25">
        <f t="shared" si="16"/>
        <v>103125713.60554287</v>
      </c>
      <c r="Q246" s="25">
        <f>O246/((1+'How much will I make'!$C$5/12)^(Calculations!$B$1*12-Calculations!$A246))</f>
        <v>25204.525250658771</v>
      </c>
      <c r="R246" s="25">
        <f t="shared" si="17"/>
        <v>19187531.189811356</v>
      </c>
      <c r="S246" s="25">
        <f t="shared" si="4"/>
        <v>179476.89071038354</v>
      </c>
      <c r="T246" s="25">
        <f t="shared" si="18"/>
        <v>569829689.2927413</v>
      </c>
      <c r="U246" s="25">
        <f>S246/((1+'How much will I make'!$C$5/12)^(Calculations!$B$1*12-Calculations!$A246))</f>
        <v>66715.682264663934</v>
      </c>
      <c r="V246" s="25">
        <f t="shared" si="19"/>
        <v>100277909.38839135</v>
      </c>
      <c r="W246" s="25">
        <f t="shared" si="5"/>
        <v>473190.42595144873</v>
      </c>
      <c r="X246" s="25">
        <f t="shared" si="20"/>
        <v>3262479905.5688524</v>
      </c>
      <c r="Y246" s="25">
        <f>W246/((1+'How much will I make'!$C$5/12)^(Calculations!$B$1*12-Calculations!$A246))</f>
        <v>175895.74893739464</v>
      </c>
      <c r="Z246" s="25">
        <f t="shared" si="21"/>
        <v>549754779.75374293</v>
      </c>
      <c r="AA246" s="25">
        <f t="shared" si="6"/>
        <v>1242668.6272929255</v>
      </c>
      <c r="AB246" s="25">
        <f t="shared" si="22"/>
        <v>19156249179.728489</v>
      </c>
      <c r="AC246" s="25">
        <f>AA246/((1+'How much will I make'!$C$5/12)^(Calculations!$B$1*12-Calculations!$A246))</f>
        <v>461928.4687326292</v>
      </c>
      <c r="AD246" s="25">
        <f t="shared" si="23"/>
        <v>3122713178.5389719</v>
      </c>
      <c r="AE246" s="25">
        <f t="shared" si="7"/>
        <v>3250726.974268754</v>
      </c>
      <c r="AF246" s="25">
        <f t="shared" si="24"/>
        <v>114455476584.52153</v>
      </c>
      <c r="AG246" s="25">
        <f>AE246/((1+'How much will I make'!$C$5/12)^(Calculations!$B$1*12-Calculations!$A246))</f>
        <v>1208369.8747291672</v>
      </c>
      <c r="AH246" s="25">
        <f t="shared" si="25"/>
        <v>18191167410.587296</v>
      </c>
    </row>
    <row r="247" spans="1:34" ht="15.75" customHeight="1">
      <c r="A247" s="22">
        <f t="shared" si="8"/>
        <v>243</v>
      </c>
      <c r="B247" s="22">
        <f t="shared" si="45"/>
        <v>1326.6488525722111</v>
      </c>
      <c r="C247" s="25">
        <f t="shared" si="0"/>
        <v>3554.1093878665442</v>
      </c>
      <c r="D247" s="25">
        <f t="shared" si="10"/>
        <v>861293.47419713321</v>
      </c>
      <c r="E247" s="25">
        <f>$C247/((1+'How much will I make'!$C$5/12)^(Calculations!$B$1*12-Calculations!$A247))</f>
        <v>1326.6488525722111</v>
      </c>
      <c r="F247" s="25">
        <f t="shared" si="11"/>
        <v>202375.67117504773</v>
      </c>
      <c r="G247" s="25">
        <f t="shared" si="1"/>
        <v>9482.7311418885965</v>
      </c>
      <c r="H247" s="25">
        <f t="shared" si="12"/>
        <v>3962480.6309317467</v>
      </c>
      <c r="I247" s="25">
        <f>G247/((1+'How much will I make'!$C$5/12)^(Calculations!$B$1*12-Calculations!$A247))</f>
        <v>3539.6362395556253</v>
      </c>
      <c r="J247" s="25">
        <f t="shared" si="13"/>
        <v>855994.54408587376</v>
      </c>
      <c r="K247" s="25">
        <f t="shared" si="2"/>
        <v>25198.723601154248</v>
      </c>
      <c r="L247" s="25">
        <f t="shared" si="14"/>
        <v>19606637.661383148</v>
      </c>
      <c r="M247" s="25">
        <f>K247/((1+'How much will I make'!$C$5/12)^(Calculations!$B$1*12-Calculations!$A247))</f>
        <v>9405.9732280279659</v>
      </c>
      <c r="N247" s="25">
        <f t="shared" si="15"/>
        <v>3911391.0996769732</v>
      </c>
      <c r="O247" s="25">
        <f t="shared" si="3"/>
        <v>66693.044376044709</v>
      </c>
      <c r="P247" s="25">
        <f t="shared" si="16"/>
        <v>103192406.64991891</v>
      </c>
      <c r="Q247" s="25">
        <f>O247/((1+'How much will I make'!$C$5/12)^(Calculations!$B$1*12-Calculations!$A247))</f>
        <v>24894.633546757228</v>
      </c>
      <c r="R247" s="25">
        <f t="shared" si="17"/>
        <v>19212425.823358115</v>
      </c>
      <c r="S247" s="25">
        <f t="shared" si="4"/>
        <v>175814.09702241659</v>
      </c>
      <c r="T247" s="25">
        <f t="shared" si="18"/>
        <v>570005503.38976371</v>
      </c>
      <c r="U247" s="25">
        <f>S247/((1+'How much will I make'!$C$5/12)^(Calculations!$B$1*12-Calculations!$A247))</f>
        <v>65626.446635853121</v>
      </c>
      <c r="V247" s="25">
        <f t="shared" si="19"/>
        <v>100343535.8350272</v>
      </c>
      <c r="W247" s="25">
        <f t="shared" si="5"/>
        <v>461649.19605019409</v>
      </c>
      <c r="X247" s="25">
        <f t="shared" si="20"/>
        <v>3262941554.7649026</v>
      </c>
      <c r="Y247" s="25">
        <f>W247/((1+'How much will I make'!$C$5/12)^(Calculations!$B$1*12-Calculations!$A247))</f>
        <v>172320.63208907371</v>
      </c>
      <c r="Z247" s="25">
        <f t="shared" si="21"/>
        <v>549927100.38583195</v>
      </c>
      <c r="AA247" s="25">
        <f t="shared" si="6"/>
        <v>1207451.2977745021</v>
      </c>
      <c r="AB247" s="25">
        <f t="shared" si="22"/>
        <v>19157456631.026264</v>
      </c>
      <c r="AC247" s="25">
        <f>AA247/((1+'How much will I make'!$C$5/12)^(Calculations!$B$1*12-Calculations!$A247))</f>
        <v>450707.53426948824</v>
      </c>
      <c r="AD247" s="25">
        <f t="shared" si="23"/>
        <v>3123163886.0732412</v>
      </c>
      <c r="AE247" s="25">
        <f t="shared" si="7"/>
        <v>3145864.8138084714</v>
      </c>
      <c r="AF247" s="25">
        <f t="shared" si="24"/>
        <v>114458622449.33534</v>
      </c>
      <c r="AG247" s="25">
        <f>AE247/((1+'How much will I make'!$C$5/12)^(Calculations!$B$1*12-Calculations!$A247))</f>
        <v>1174262.6605231019</v>
      </c>
      <c r="AH247" s="25">
        <f t="shared" si="25"/>
        <v>18192341673.247818</v>
      </c>
    </row>
    <row r="248" spans="1:34" ht="15.75" customHeight="1">
      <c r="A248" s="22">
        <f t="shared" si="8"/>
        <v>244</v>
      </c>
      <c r="B248" s="22">
        <f t="shared" si="45"/>
        <v>1326.6488525722111</v>
      </c>
      <c r="C248" s="25">
        <f t="shared" si="0"/>
        <v>3539.3620460081775</v>
      </c>
      <c r="D248" s="25">
        <f t="shared" si="10"/>
        <v>864832.83624314144</v>
      </c>
      <c r="E248" s="25">
        <f>$C248/((1+'How much will I make'!$C$5/12)^(Calculations!$B$1*12-Calculations!$A248))</f>
        <v>1326.6488525722111</v>
      </c>
      <c r="F248" s="25">
        <f t="shared" si="11"/>
        <v>203702.32002761995</v>
      </c>
      <c r="G248" s="25">
        <f t="shared" si="1"/>
        <v>9404.3614630300162</v>
      </c>
      <c r="H248" s="25">
        <f t="shared" si="12"/>
        <v>3971884.9923947765</v>
      </c>
      <c r="I248" s="25">
        <f>G248/((1+'How much will I make'!$C$5/12)^(Calculations!$B$1*12-Calculations!$A248))</f>
        <v>3525.0096435244045</v>
      </c>
      <c r="J248" s="25">
        <f t="shared" si="13"/>
        <v>859519.55372939818</v>
      </c>
      <c r="K248" s="25">
        <f t="shared" si="2"/>
        <v>24887.628248053574</v>
      </c>
      <c r="L248" s="25">
        <f t="shared" si="14"/>
        <v>19631525.289631203</v>
      </c>
      <c r="M248" s="25">
        <f>K248/((1+'How much will I make'!$C$5/12)^(Calculations!$B$1*12-Calculations!$A248))</f>
        <v>9328.55781051333</v>
      </c>
      <c r="N248" s="25">
        <f t="shared" si="15"/>
        <v>3920719.6574874865</v>
      </c>
      <c r="O248" s="25">
        <f t="shared" si="3"/>
        <v>65599.715779716091</v>
      </c>
      <c r="P248" s="25">
        <f t="shared" si="16"/>
        <v>103258006.36569864</v>
      </c>
      <c r="Q248" s="25">
        <f>O248/((1+'How much will I make'!$C$5/12)^(Calculations!$B$1*12-Calculations!$A248))</f>
        <v>24588.551986756105</v>
      </c>
      <c r="R248" s="25">
        <f t="shared" si="17"/>
        <v>19237014.375344872</v>
      </c>
      <c r="S248" s="25">
        <f t="shared" si="4"/>
        <v>172226.05422604069</v>
      </c>
      <c r="T248" s="25">
        <f t="shared" si="18"/>
        <v>570177729.44398975</v>
      </c>
      <c r="U248" s="25">
        <f>S248/((1+'How much will I make'!$C$5/12)^(Calculations!$B$1*12-Calculations!$A248))</f>
        <v>64554.99444587998</v>
      </c>
      <c r="V248" s="25">
        <f t="shared" si="19"/>
        <v>100408090.82947308</v>
      </c>
      <c r="W248" s="25">
        <f t="shared" si="5"/>
        <v>450389.4595611649</v>
      </c>
      <c r="X248" s="25">
        <f t="shared" si="20"/>
        <v>3263391944.2244639</v>
      </c>
      <c r="Y248" s="25">
        <f>W248/((1+'How much will I make'!$C$5/12)^(Calculations!$B$1*12-Calculations!$A248))</f>
        <v>168818.18021734452</v>
      </c>
      <c r="Z248" s="25">
        <f t="shared" si="21"/>
        <v>550095918.56604934</v>
      </c>
      <c r="AA248" s="25">
        <f t="shared" si="6"/>
        <v>1173232.0302262374</v>
      </c>
      <c r="AB248" s="25">
        <f t="shared" si="22"/>
        <v>19158629863.056492</v>
      </c>
      <c r="AC248" s="25">
        <f>AA248/((1+'How much will I make'!$C$5/12)^(Calculations!$B$1*12-Calculations!$A248))</f>
        <v>439759.17311314453</v>
      </c>
      <c r="AD248" s="25">
        <f t="shared" si="23"/>
        <v>3123603645.2463546</v>
      </c>
      <c r="AE248" s="25">
        <f t="shared" si="7"/>
        <v>3044385.3036856176</v>
      </c>
      <c r="AF248" s="25">
        <f t="shared" si="24"/>
        <v>114461666834.63902</v>
      </c>
      <c r="AG248" s="25">
        <f>AE248/((1+'How much will I make'!$C$5/12)^(Calculations!$B$1*12-Calculations!$A248))</f>
        <v>1141118.1499438207</v>
      </c>
      <c r="AH248" s="25">
        <f t="shared" si="25"/>
        <v>18193482791.397762</v>
      </c>
    </row>
    <row r="249" spans="1:34" ht="15.75" customHeight="1">
      <c r="A249" s="22">
        <f t="shared" si="8"/>
        <v>245</v>
      </c>
      <c r="B249" s="22">
        <f t="shared" si="45"/>
        <v>1326.6488525722111</v>
      </c>
      <c r="C249" s="25">
        <f t="shared" si="0"/>
        <v>3524.6758964396786</v>
      </c>
      <c r="D249" s="25">
        <f t="shared" si="10"/>
        <v>868357.51213958114</v>
      </c>
      <c r="E249" s="25">
        <f>$C249/((1+'How much will I make'!$C$5/12)^(Calculations!$B$1*12-Calculations!$A249))</f>
        <v>1326.6488525722111</v>
      </c>
      <c r="F249" s="25">
        <f t="shared" si="11"/>
        <v>205028.96888019217</v>
      </c>
      <c r="G249" s="25">
        <f t="shared" si="1"/>
        <v>9326.6394674677831</v>
      </c>
      <c r="H249" s="25">
        <f t="shared" si="12"/>
        <v>3981211.6318622441</v>
      </c>
      <c r="I249" s="25">
        <f>G249/((1+'How much will I make'!$C$5/12)^(Calculations!$B$1*12-Calculations!$A249))</f>
        <v>3510.44348797265</v>
      </c>
      <c r="J249" s="25">
        <f t="shared" si="13"/>
        <v>863029.99721737078</v>
      </c>
      <c r="K249" s="25">
        <f t="shared" si="2"/>
        <v>24580.373578324517</v>
      </c>
      <c r="L249" s="25">
        <f t="shared" si="14"/>
        <v>19656105.663209528</v>
      </c>
      <c r="M249" s="25">
        <f>K249/((1+'How much will I make'!$C$5/12)^(Calculations!$B$1*12-Calculations!$A249))</f>
        <v>9251.7795569288573</v>
      </c>
      <c r="N249" s="25">
        <f t="shared" si="15"/>
        <v>3929971.4370444152</v>
      </c>
      <c r="O249" s="25">
        <f t="shared" si="3"/>
        <v>64524.310602999423</v>
      </c>
      <c r="P249" s="25">
        <f t="shared" si="16"/>
        <v>103322530.67630163</v>
      </c>
      <c r="Q249" s="25">
        <f>O249/((1+'How much will I make'!$C$5/12)^(Calculations!$B$1*12-Calculations!$A249))</f>
        <v>24286.233724623853</v>
      </c>
      <c r="R249" s="25">
        <f t="shared" si="17"/>
        <v>19261300.609069496</v>
      </c>
      <c r="S249" s="25">
        <f t="shared" si="4"/>
        <v>168711.23679285622</v>
      </c>
      <c r="T249" s="25">
        <f t="shared" si="18"/>
        <v>570346440.68078256</v>
      </c>
      <c r="U249" s="25">
        <f>S249/((1+'How much will I make'!$C$5/12)^(Calculations!$B$1*12-Calculations!$A249))</f>
        <v>63501.035352886029</v>
      </c>
      <c r="V249" s="25">
        <f t="shared" si="19"/>
        <v>100471591.86482596</v>
      </c>
      <c r="W249" s="25">
        <f t="shared" si="5"/>
        <v>439404.35079138045</v>
      </c>
      <c r="X249" s="25">
        <f t="shared" si="20"/>
        <v>3263831348.5752554</v>
      </c>
      <c r="Y249" s="25">
        <f>W249/((1+'How much will I make'!$C$5/12)^(Calculations!$B$1*12-Calculations!$A249))</f>
        <v>165386.91639178875</v>
      </c>
      <c r="Z249" s="25">
        <f t="shared" si="21"/>
        <v>550261305.48244107</v>
      </c>
      <c r="AA249" s="25">
        <f t="shared" si="6"/>
        <v>1139982.5394910814</v>
      </c>
      <c r="AB249" s="25">
        <f t="shared" si="22"/>
        <v>19159769845.595982</v>
      </c>
      <c r="AC249" s="25">
        <f>AA249/((1+'How much will I make'!$C$5/12)^(Calculations!$B$1*12-Calculations!$A249))</f>
        <v>429076.76404966752</v>
      </c>
      <c r="AD249" s="25">
        <f t="shared" si="23"/>
        <v>3124032722.0104041</v>
      </c>
      <c r="AE249" s="25">
        <f t="shared" si="7"/>
        <v>2946179.326147371</v>
      </c>
      <c r="AF249" s="25">
        <f t="shared" si="24"/>
        <v>114464613013.96516</v>
      </c>
      <c r="AG249" s="25">
        <f>AE249/((1+'How much will I make'!$C$5/12)^(Calculations!$B$1*12-Calculations!$A249))</f>
        <v>1108909.1699050835</v>
      </c>
      <c r="AH249" s="25">
        <f t="shared" si="25"/>
        <v>18194591700.567669</v>
      </c>
    </row>
    <row r="250" spans="1:34" ht="15.75" customHeight="1">
      <c r="A250" s="22">
        <f t="shared" si="8"/>
        <v>246</v>
      </c>
      <c r="B250" s="22">
        <f t="shared" si="45"/>
        <v>1326.6488525722111</v>
      </c>
      <c r="C250" s="25">
        <f t="shared" si="0"/>
        <v>3510.050685251133</v>
      </c>
      <c r="D250" s="25">
        <f t="shared" si="10"/>
        <v>871867.56282483228</v>
      </c>
      <c r="E250" s="25">
        <f>$C250/((1+'How much will I make'!$C$5/12)^(Calculations!$B$1*12-Calculations!$A250))</f>
        <v>1326.6488525722111</v>
      </c>
      <c r="F250" s="25">
        <f t="shared" si="11"/>
        <v>206355.6177327644</v>
      </c>
      <c r="G250" s="25">
        <f t="shared" si="1"/>
        <v>9249.5598024473911</v>
      </c>
      <c r="H250" s="25">
        <f t="shared" si="12"/>
        <v>3990461.1916646915</v>
      </c>
      <c r="I250" s="25">
        <f>G250/((1+'How much will I make'!$C$5/12)^(Calculations!$B$1*12-Calculations!$A250))</f>
        <v>3495.9375231463173</v>
      </c>
      <c r="J250" s="25">
        <f t="shared" si="13"/>
        <v>866525.93474051706</v>
      </c>
      <c r="K250" s="25">
        <f t="shared" si="2"/>
        <v>24276.912176122984</v>
      </c>
      <c r="L250" s="25">
        <f t="shared" si="14"/>
        <v>19680382.575385652</v>
      </c>
      <c r="M250" s="25">
        <f>K250/((1+'How much will I make'!$C$5/12)^(Calculations!$B$1*12-Calculations!$A250))</f>
        <v>9175.6332231269735</v>
      </c>
      <c r="N250" s="25">
        <f t="shared" si="15"/>
        <v>3939147.0702675423</v>
      </c>
      <c r="O250" s="25">
        <f t="shared" si="3"/>
        <v>63466.535019343712</v>
      </c>
      <c r="P250" s="25">
        <f t="shared" si="16"/>
        <v>103385997.21132097</v>
      </c>
      <c r="Q250" s="25">
        <f>O250/((1+'How much will I make'!$C$5/12)^(Calculations!$B$1*12-Calculations!$A250))</f>
        <v>23987.63249030471</v>
      </c>
      <c r="R250" s="25">
        <f t="shared" si="17"/>
        <v>19285288.2415598</v>
      </c>
      <c r="S250" s="25">
        <f t="shared" si="4"/>
        <v>165268.15032769594</v>
      </c>
      <c r="T250" s="25">
        <f t="shared" si="18"/>
        <v>570511708.83111024</v>
      </c>
      <c r="U250" s="25">
        <f>S250/((1+'How much will I make'!$C$5/12)^(Calculations!$B$1*12-Calculations!$A250))</f>
        <v>62464.283755287899</v>
      </c>
      <c r="V250" s="25">
        <f t="shared" si="19"/>
        <v>100534056.14858125</v>
      </c>
      <c r="W250" s="25">
        <f t="shared" si="5"/>
        <v>428687.17150378582</v>
      </c>
      <c r="X250" s="25">
        <f t="shared" si="20"/>
        <v>3264260035.7467594</v>
      </c>
      <c r="Y250" s="25">
        <f>W250/((1+'How much will I make'!$C$5/12)^(Calculations!$B$1*12-Calculations!$A250))</f>
        <v>162025.39370089871</v>
      </c>
      <c r="Z250" s="25">
        <f t="shared" si="21"/>
        <v>550423330.87614202</v>
      </c>
      <c r="AA250" s="25">
        <f t="shared" si="6"/>
        <v>1107675.3420156254</v>
      </c>
      <c r="AB250" s="25">
        <f t="shared" si="22"/>
        <v>19160877520.937996</v>
      </c>
      <c r="AC250" s="25">
        <f>AA250/((1+'How much will I make'!$C$5/12)^(Calculations!$B$1*12-Calculations!$A250))</f>
        <v>418653.84670433134</v>
      </c>
      <c r="AD250" s="25">
        <f t="shared" si="23"/>
        <v>3124451375.8571086</v>
      </c>
      <c r="AE250" s="25">
        <f t="shared" si="7"/>
        <v>2851141.2833684231</v>
      </c>
      <c r="AF250" s="25">
        <f t="shared" si="24"/>
        <v>114467464155.24854</v>
      </c>
      <c r="AG250" s="25">
        <f>AE250/((1+'How much will I make'!$C$5/12)^(Calculations!$B$1*12-Calculations!$A250))</f>
        <v>1077609.3143029234</v>
      </c>
      <c r="AH250" s="25">
        <f t="shared" si="25"/>
        <v>18195669309.881973</v>
      </c>
    </row>
    <row r="251" spans="1:34" ht="15.75" customHeight="1">
      <c r="A251" s="22">
        <f t="shared" si="8"/>
        <v>247</v>
      </c>
      <c r="B251" s="22">
        <f t="shared" si="45"/>
        <v>1326.6488525722111</v>
      </c>
      <c r="C251" s="25">
        <f t="shared" si="0"/>
        <v>3495.4861595861889</v>
      </c>
      <c r="D251" s="25">
        <f t="shared" si="10"/>
        <v>875363.04898441851</v>
      </c>
      <c r="E251" s="25">
        <f>$C251/((1+'How much will I make'!$C$5/12)^(Calculations!$B$1*12-Calculations!$A251))</f>
        <v>1326.6488525722111</v>
      </c>
      <c r="F251" s="25">
        <f t="shared" si="11"/>
        <v>207682.26658533662</v>
      </c>
      <c r="G251" s="25">
        <f t="shared" si="1"/>
        <v>9173.1171594519565</v>
      </c>
      <c r="H251" s="25">
        <f t="shared" si="12"/>
        <v>3999634.3088241434</v>
      </c>
      <c r="I251" s="25">
        <f>G251/((1+'How much will I make'!$C$5/12)^(Calculations!$B$1*12-Calculations!$A251))</f>
        <v>3481.4915003233996</v>
      </c>
      <c r="J251" s="25">
        <f t="shared" si="13"/>
        <v>870007.42624084046</v>
      </c>
      <c r="K251" s="25">
        <f t="shared" si="2"/>
        <v>23977.197210985665</v>
      </c>
      <c r="L251" s="25">
        <f t="shared" si="14"/>
        <v>19704359.772596639</v>
      </c>
      <c r="M251" s="25">
        <f>K251/((1+'How much will I make'!$C$5/12)^(Calculations!$B$1*12-Calculations!$A251))</f>
        <v>9100.1136081218192</v>
      </c>
      <c r="N251" s="25">
        <f t="shared" si="15"/>
        <v>3948247.1838756641</v>
      </c>
      <c r="O251" s="25">
        <f t="shared" si="3"/>
        <v>62426.100019026613</v>
      </c>
      <c r="P251" s="25">
        <f t="shared" si="16"/>
        <v>103448423.31133999</v>
      </c>
      <c r="Q251" s="25">
        <f>O251/((1+'How much will I make'!$C$5/12)^(Calculations!$B$1*12-Calculations!$A251))</f>
        <v>23692.702582637045</v>
      </c>
      <c r="R251" s="25">
        <f t="shared" si="17"/>
        <v>19308980.944142438</v>
      </c>
      <c r="S251" s="25">
        <f t="shared" si="4"/>
        <v>161895.33093325316</v>
      </c>
      <c r="T251" s="25">
        <f t="shared" si="18"/>
        <v>570673604.16204345</v>
      </c>
      <c r="U251" s="25">
        <f>S251/((1+'How much will I make'!$C$5/12)^(Calculations!$B$1*12-Calculations!$A251))</f>
        <v>61444.45871438527</v>
      </c>
      <c r="V251" s="25">
        <f t="shared" si="19"/>
        <v>100595500.60729563</v>
      </c>
      <c r="W251" s="25">
        <f t="shared" si="5"/>
        <v>418231.38683296181</v>
      </c>
      <c r="X251" s="25">
        <f t="shared" si="20"/>
        <v>3264678267.1335926</v>
      </c>
      <c r="Y251" s="25">
        <f>W251/((1+'How much will I make'!$C$5/12)^(Calculations!$B$1*12-Calculations!$A251))</f>
        <v>158732.19464193744</v>
      </c>
      <c r="Z251" s="25">
        <f t="shared" si="21"/>
        <v>550582063.07078397</v>
      </c>
      <c r="AA251" s="25">
        <f t="shared" si="6"/>
        <v>1076283.7331325917</v>
      </c>
      <c r="AB251" s="25">
        <f t="shared" si="22"/>
        <v>19161953804.671127</v>
      </c>
      <c r="AC251" s="25">
        <f>AA251/((1+'How much will I make'!$C$5/12)^(Calculations!$B$1*12-Calculations!$A251))</f>
        <v>408484.11763459077</v>
      </c>
      <c r="AD251" s="25">
        <f t="shared" si="23"/>
        <v>3124859859.9747434</v>
      </c>
      <c r="AE251" s="25">
        <f t="shared" si="7"/>
        <v>2759168.9839049256</v>
      </c>
      <c r="AF251" s="25">
        <f t="shared" si="24"/>
        <v>114470223324.23244</v>
      </c>
      <c r="AG251" s="25">
        <f>AE251/((1+'How much will I make'!$C$5/12)^(Calculations!$B$1*12-Calculations!$A251))</f>
        <v>1047192.9223669543</v>
      </c>
      <c r="AH251" s="25">
        <f t="shared" si="25"/>
        <v>18196716502.80434</v>
      </c>
    </row>
    <row r="252" spans="1:34" ht="15.75" customHeight="1">
      <c r="A252" s="22">
        <f t="shared" si="8"/>
        <v>248</v>
      </c>
      <c r="B252" s="22">
        <f t="shared" si="45"/>
        <v>1326.6488525722111</v>
      </c>
      <c r="C252" s="25">
        <f t="shared" si="0"/>
        <v>3480.9820676376994</v>
      </c>
      <c r="D252" s="25">
        <f t="shared" si="10"/>
        <v>878844.03105205623</v>
      </c>
      <c r="E252" s="25">
        <f>$C252/((1+'How much will I make'!$C$5/12)^(Calculations!$B$1*12-Calculations!$A252))</f>
        <v>1326.6488525722111</v>
      </c>
      <c r="F252" s="25">
        <f t="shared" si="11"/>
        <v>209008.91543790884</v>
      </c>
      <c r="G252" s="25">
        <f t="shared" si="1"/>
        <v>9097.3062738366516</v>
      </c>
      <c r="H252" s="25">
        <f t="shared" si="12"/>
        <v>4008731.61509798</v>
      </c>
      <c r="I252" s="25">
        <f>G252/((1+'How much will I make'!$C$5/12)^(Calculations!$B$1*12-Calculations!$A252))</f>
        <v>3467.105171809666</v>
      </c>
      <c r="J252" s="25">
        <f t="shared" si="13"/>
        <v>873474.53141265013</v>
      </c>
      <c r="K252" s="25">
        <f t="shared" si="2"/>
        <v>23681.182430603119</v>
      </c>
      <c r="L252" s="25">
        <f t="shared" si="14"/>
        <v>19728040.955027241</v>
      </c>
      <c r="M252" s="25">
        <f>K252/((1+'How much will I make'!$C$5/12)^(Calculations!$B$1*12-Calculations!$A252))</f>
        <v>9025.2155537339804</v>
      </c>
      <c r="N252" s="25">
        <f t="shared" si="15"/>
        <v>3957272.3994293981</v>
      </c>
      <c r="O252" s="25">
        <f t="shared" si="3"/>
        <v>61402.721330190099</v>
      </c>
      <c r="P252" s="25">
        <f t="shared" si="16"/>
        <v>103509826.03267018</v>
      </c>
      <c r="Q252" s="25">
        <f>O252/((1+'How much will I make'!$C$5/12)^(Calculations!$B$1*12-Calculations!$A252))</f>
        <v>23401.39886235871</v>
      </c>
      <c r="R252" s="25">
        <f t="shared" si="17"/>
        <v>19332382.343004797</v>
      </c>
      <c r="S252" s="25">
        <f t="shared" si="4"/>
        <v>158591.34458767658</v>
      </c>
      <c r="T252" s="25">
        <f t="shared" si="18"/>
        <v>570832195.50663114</v>
      </c>
      <c r="U252" s="25">
        <f>S252/((1+'How much will I make'!$C$5/12)^(Calculations!$B$1*12-Calculations!$A252))</f>
        <v>60441.283878232032</v>
      </c>
      <c r="V252" s="25">
        <f t="shared" si="19"/>
        <v>100655941.89117387</v>
      </c>
      <c r="W252" s="25">
        <f t="shared" si="5"/>
        <v>408030.62130045053</v>
      </c>
      <c r="X252" s="25">
        <f t="shared" si="20"/>
        <v>3265086297.7548928</v>
      </c>
      <c r="Y252" s="25">
        <f>W252/((1+'How much will I make'!$C$5/12)^(Calculations!$B$1*12-Calculations!$A252))</f>
        <v>155505.93052319883</v>
      </c>
      <c r="Z252" s="25">
        <f t="shared" si="21"/>
        <v>550737569.00130713</v>
      </c>
      <c r="AA252" s="25">
        <f t="shared" si="6"/>
        <v>1045781.7649871336</v>
      </c>
      <c r="AB252" s="25">
        <f t="shared" si="22"/>
        <v>19162999586.436115</v>
      </c>
      <c r="AC252" s="25">
        <f>AA252/((1+'How much will I make'!$C$5/12)^(Calculations!$B$1*12-Calculations!$A252))</f>
        <v>398561.42651796091</v>
      </c>
      <c r="AD252" s="25">
        <f t="shared" si="23"/>
        <v>3125258421.4012613</v>
      </c>
      <c r="AE252" s="25">
        <f t="shared" si="7"/>
        <v>2670163.5328112184</v>
      </c>
      <c r="AF252" s="25">
        <f t="shared" si="24"/>
        <v>114472893487.76524</v>
      </c>
      <c r="AG252" s="25">
        <f>AE252/((1+'How much will I make'!$C$5/12)^(Calculations!$B$1*12-Calculations!$A252))</f>
        <v>1017635.0576227256</v>
      </c>
      <c r="AH252" s="25">
        <f t="shared" si="25"/>
        <v>18197734137.861961</v>
      </c>
    </row>
    <row r="253" spans="1:34" ht="15.75" customHeight="1">
      <c r="A253" s="22">
        <f t="shared" si="8"/>
        <v>249</v>
      </c>
      <c r="B253" s="22">
        <f t="shared" si="45"/>
        <v>1326.6488525722111</v>
      </c>
      <c r="C253" s="25">
        <f t="shared" si="0"/>
        <v>3466.5381586433527</v>
      </c>
      <c r="D253" s="25">
        <f t="shared" si="10"/>
        <v>882310.56921069964</v>
      </c>
      <c r="E253" s="25">
        <f>$C253/((1+'How much will I make'!$C$5/12)^(Calculations!$B$1*12-Calculations!$A253))</f>
        <v>1326.6488525722111</v>
      </c>
      <c r="F253" s="25">
        <f t="shared" si="11"/>
        <v>210335.56429048107</v>
      </c>
      <c r="G253" s="25">
        <f t="shared" si="1"/>
        <v>9022.1219244660988</v>
      </c>
      <c r="H253" s="25">
        <f t="shared" si="12"/>
        <v>4017753.737022446</v>
      </c>
      <c r="I253" s="25">
        <f>G253/((1+'How much will I make'!$C$5/12)^(Calculations!$B$1*12-Calculations!$A253))</f>
        <v>3452.7782909344178</v>
      </c>
      <c r="J253" s="25">
        <f t="shared" si="13"/>
        <v>876927.30970358453</v>
      </c>
      <c r="K253" s="25">
        <f t="shared" si="2"/>
        <v>23388.8221536821</v>
      </c>
      <c r="L253" s="25">
        <f t="shared" si="14"/>
        <v>19751429.777180925</v>
      </c>
      <c r="M253" s="25">
        <f>K253/((1+'How much will I make'!$C$5/12)^(Calculations!$B$1*12-Calculations!$A253))</f>
        <v>8950.9339442382279</v>
      </c>
      <c r="N253" s="25">
        <f t="shared" si="15"/>
        <v>3966223.3333736365</v>
      </c>
      <c r="O253" s="25">
        <f t="shared" si="3"/>
        <v>60396.119341170597</v>
      </c>
      <c r="P253" s="25">
        <f t="shared" si="16"/>
        <v>103570222.15201135</v>
      </c>
      <c r="Q253" s="25">
        <f>O253/((1+'How much will I make'!$C$5/12)^(Calculations!$B$1*12-Calculations!$A253))</f>
        <v>23113.676745198562</v>
      </c>
      <c r="R253" s="25">
        <f t="shared" si="17"/>
        <v>19355496.019749995</v>
      </c>
      <c r="S253" s="25">
        <f t="shared" si="4"/>
        <v>155354.78653486684</v>
      </c>
      <c r="T253" s="25">
        <f t="shared" si="18"/>
        <v>570987550.29316604</v>
      </c>
      <c r="U253" s="25">
        <f>S253/((1+'How much will I make'!$C$5/12)^(Calculations!$B$1*12-Calculations!$A253))</f>
        <v>59454.487406750675</v>
      </c>
      <c r="V253" s="25">
        <f t="shared" si="19"/>
        <v>100715396.37858061</v>
      </c>
      <c r="W253" s="25">
        <f t="shared" si="5"/>
        <v>398078.65492726892</v>
      </c>
      <c r="X253" s="25">
        <f t="shared" si="20"/>
        <v>3265484376.4098201</v>
      </c>
      <c r="Y253" s="25">
        <f>W253/((1+'How much will I make'!$C$5/12)^(Calculations!$B$1*12-Calculations!$A253))</f>
        <v>152345.24087841838</v>
      </c>
      <c r="Z253" s="25">
        <f t="shared" si="21"/>
        <v>550889914.24218559</v>
      </c>
      <c r="AA253" s="25">
        <f t="shared" si="6"/>
        <v>1016144.2250887132</v>
      </c>
      <c r="AB253" s="25">
        <f t="shared" si="22"/>
        <v>19164015730.661205</v>
      </c>
      <c r="AC253" s="25">
        <f>AA253/((1+'How much will I make'!$C$5/12)^(Calculations!$B$1*12-Calculations!$A253))</f>
        <v>388879.77243250445</v>
      </c>
      <c r="AD253" s="25">
        <f t="shared" si="23"/>
        <v>3125647301.1736937</v>
      </c>
      <c r="AE253" s="25">
        <f t="shared" si="7"/>
        <v>2584029.2253011786</v>
      </c>
      <c r="AF253" s="25">
        <f t="shared" si="24"/>
        <v>114475477516.99054</v>
      </c>
      <c r="AG253" s="25">
        <f>AE253/((1+'How much will I make'!$C$5/12)^(Calculations!$B$1*12-Calculations!$A253))</f>
        <v>988911.48744789022</v>
      </c>
      <c r="AH253" s="25">
        <f t="shared" si="25"/>
        <v>18198723049.349411</v>
      </c>
    </row>
    <row r="254" spans="1:34" ht="15.75" customHeight="1">
      <c r="A254" s="22">
        <f t="shared" si="8"/>
        <v>250</v>
      </c>
      <c r="B254" s="22">
        <f t="shared" si="45"/>
        <v>1326.6488525722111</v>
      </c>
      <c r="C254" s="25">
        <f t="shared" si="0"/>
        <v>3452.1541828813461</v>
      </c>
      <c r="D254" s="25">
        <f t="shared" si="10"/>
        <v>885762.72339358099</v>
      </c>
      <c r="E254" s="25">
        <f>$C254/((1+'How much will I make'!$C$5/12)^(Calculations!$B$1*12-Calculations!$A254))</f>
        <v>1326.6488525722111</v>
      </c>
      <c r="F254" s="25">
        <f t="shared" si="11"/>
        <v>211662.21314305329</v>
      </c>
      <c r="G254" s="25">
        <f t="shared" si="1"/>
        <v>8947.5589333548123</v>
      </c>
      <c r="H254" s="25">
        <f t="shared" si="12"/>
        <v>4026701.2959558009</v>
      </c>
      <c r="I254" s="25">
        <f>G254/((1+'How much will I make'!$C$5/12)^(Calculations!$B$1*12-Calculations!$A254))</f>
        <v>3438.5106120462615</v>
      </c>
      <c r="J254" s="25">
        <f t="shared" si="13"/>
        <v>880365.82031563076</v>
      </c>
      <c r="K254" s="25">
        <f t="shared" si="2"/>
        <v>23100.071262895901</v>
      </c>
      <c r="L254" s="25">
        <f t="shared" si="14"/>
        <v>19774529.848443821</v>
      </c>
      <c r="M254" s="25">
        <f>K254/((1+'How much will I make'!$C$5/12)^(Calculations!$B$1*12-Calculations!$A254))</f>
        <v>8877.2637060140478</v>
      </c>
      <c r="N254" s="25">
        <f t="shared" si="15"/>
        <v>3975100.5970796505</v>
      </c>
      <c r="O254" s="25">
        <f t="shared" si="3"/>
        <v>59406.019024102243</v>
      </c>
      <c r="P254" s="25">
        <f t="shared" si="16"/>
        <v>103629628.17103545</v>
      </c>
      <c r="Q254" s="25">
        <f>O254/((1+'How much will I make'!$C$5/12)^(Calculations!$B$1*12-Calculations!$A254))</f>
        <v>22829.492195052691</v>
      </c>
      <c r="R254" s="25">
        <f t="shared" si="17"/>
        <v>19378325.511945046</v>
      </c>
      <c r="S254" s="25">
        <f t="shared" si="4"/>
        <v>152184.28068721658</v>
      </c>
      <c r="T254" s="25">
        <f t="shared" si="18"/>
        <v>571139734.57385325</v>
      </c>
      <c r="U254" s="25">
        <f>S254/((1+'How much will I make'!$C$5/12)^(Calculations!$B$1*12-Calculations!$A254))</f>
        <v>58483.801898069083</v>
      </c>
      <c r="V254" s="25">
        <f t="shared" si="19"/>
        <v>100773880.18047868</v>
      </c>
      <c r="W254" s="25">
        <f t="shared" si="5"/>
        <v>388369.41944123787</v>
      </c>
      <c r="X254" s="25">
        <f t="shared" si="20"/>
        <v>3265872745.8292613</v>
      </c>
      <c r="Y254" s="25">
        <f>W254/((1+'How much will I make'!$C$5/12)^(Calculations!$B$1*12-Calculations!$A254))</f>
        <v>149248.7928930847</v>
      </c>
      <c r="Z254" s="25">
        <f t="shared" si="21"/>
        <v>551039163.03507864</v>
      </c>
      <c r="AA254" s="25">
        <f t="shared" si="6"/>
        <v>987346.61547081417</v>
      </c>
      <c r="AB254" s="25">
        <f t="shared" si="22"/>
        <v>19165003077.276676</v>
      </c>
      <c r="AC254" s="25">
        <f>AA254/((1+'How much will I make'!$C$5/12)^(Calculations!$B$1*12-Calculations!$A254))</f>
        <v>379433.30022766627</v>
      </c>
      <c r="AD254" s="25">
        <f t="shared" si="23"/>
        <v>3126026734.4739213</v>
      </c>
      <c r="AE254" s="25">
        <f t="shared" si="7"/>
        <v>2500673.4438398504</v>
      </c>
      <c r="AF254" s="25">
        <f t="shared" si="24"/>
        <v>114477978190.43437</v>
      </c>
      <c r="AG254" s="25">
        <f>AE254/((1+'How much will I make'!$C$5/12)^(Calculations!$B$1*12-Calculations!$A254))</f>
        <v>960998.66320540977</v>
      </c>
      <c r="AH254" s="25">
        <f t="shared" si="25"/>
        <v>18199684048.012615</v>
      </c>
    </row>
    <row r="255" spans="1:34" ht="15.75" customHeight="1">
      <c r="A255" s="22">
        <f t="shared" si="8"/>
        <v>251</v>
      </c>
      <c r="B255" s="22">
        <f t="shared" si="45"/>
        <v>1326.6488525722111</v>
      </c>
      <c r="C255" s="25">
        <f t="shared" si="0"/>
        <v>3437.8298916660706</v>
      </c>
      <c r="D255" s="25">
        <f t="shared" si="10"/>
        <v>889200.55328524706</v>
      </c>
      <c r="E255" s="25">
        <f>$C255/((1+'How much will I make'!$C$5/12)^(Calculations!$B$1*12-Calculations!$A255))</f>
        <v>1326.6488525722111</v>
      </c>
      <c r="F255" s="25">
        <f t="shared" si="11"/>
        <v>212988.86199562551</v>
      </c>
      <c r="G255" s="25">
        <f t="shared" si="1"/>
        <v>8873.6121653105583</v>
      </c>
      <c r="H255" s="25">
        <f t="shared" si="12"/>
        <v>4035574.9081211113</v>
      </c>
      <c r="I255" s="25">
        <f>G255/((1+'How much will I make'!$C$5/12)^(Calculations!$B$1*12-Calculations!$A255))</f>
        <v>3424.3018905088807</v>
      </c>
      <c r="J255" s="25">
        <f t="shared" si="13"/>
        <v>883790.12220613961</v>
      </c>
      <c r="K255" s="25">
        <f t="shared" si="2"/>
        <v>22814.885197921878</v>
      </c>
      <c r="L255" s="25">
        <f t="shared" si="14"/>
        <v>19797344.733641744</v>
      </c>
      <c r="M255" s="25">
        <f>K255/((1+'How much will I make'!$C$5/12)^(Calculations!$B$1*12-Calculations!$A255))</f>
        <v>8804.1998071991184</v>
      </c>
      <c r="N255" s="25">
        <f t="shared" si="15"/>
        <v>3983904.7968868497</v>
      </c>
      <c r="O255" s="25">
        <f t="shared" si="3"/>
        <v>58432.149859772697</v>
      </c>
      <c r="P255" s="25">
        <f t="shared" si="16"/>
        <v>103688060.32089522</v>
      </c>
      <c r="Q255" s="25">
        <f>O255/((1+'How much will I make'!$C$5/12)^(Calculations!$B$1*12-Calculations!$A255))</f>
        <v>22548.801717244667</v>
      </c>
      <c r="R255" s="25">
        <f t="shared" si="17"/>
        <v>19400874.313662291</v>
      </c>
      <c r="S255" s="25">
        <f t="shared" si="4"/>
        <v>149078.47904053869</v>
      </c>
      <c r="T255" s="25">
        <f t="shared" si="18"/>
        <v>571288813.05289376</v>
      </c>
      <c r="U255" s="25">
        <f>S255/((1+'How much will I make'!$C$5/12)^(Calculations!$B$1*12-Calculations!$A255))</f>
        <v>57528.964316059792</v>
      </c>
      <c r="V255" s="25">
        <f t="shared" si="19"/>
        <v>100831409.14479473</v>
      </c>
      <c r="W255" s="25">
        <f t="shared" si="5"/>
        <v>378896.99457681755</v>
      </c>
      <c r="X255" s="25">
        <f t="shared" si="20"/>
        <v>3266251642.8238382</v>
      </c>
      <c r="Y255" s="25">
        <f>W255/((1+'How much will I make'!$C$5/12)^(Calculations!$B$1*12-Calculations!$A255))</f>
        <v>146215.28084241229</v>
      </c>
      <c r="Z255" s="25">
        <f t="shared" si="21"/>
        <v>551185378.31592107</v>
      </c>
      <c r="AA255" s="25">
        <f t="shared" si="6"/>
        <v>959365.13244127727</v>
      </c>
      <c r="AB255" s="25">
        <f t="shared" si="22"/>
        <v>19165962442.409119</v>
      </c>
      <c r="AC255" s="25">
        <f>AA255/((1+'How much will I make'!$C$5/12)^(Calculations!$B$1*12-Calculations!$A255))</f>
        <v>370216.29698326968</v>
      </c>
      <c r="AD255" s="25">
        <f t="shared" si="23"/>
        <v>3126396950.7709045</v>
      </c>
      <c r="AE255" s="25">
        <f t="shared" si="7"/>
        <v>2420006.5585546936</v>
      </c>
      <c r="AF255" s="25">
        <f t="shared" si="24"/>
        <v>114480398196.99292</v>
      </c>
      <c r="AG255" s="25">
        <f>AE255/((1+'How much will I make'!$C$5/12)^(Calculations!$B$1*12-Calculations!$A255))</f>
        <v>933873.70093751501</v>
      </c>
      <c r="AH255" s="25">
        <f t="shared" si="25"/>
        <v>18200617921.713554</v>
      </c>
    </row>
    <row r="256" spans="1:34" ht="15.75" customHeight="1">
      <c r="A256" s="22">
        <f t="shared" si="8"/>
        <v>252</v>
      </c>
      <c r="B256" s="22">
        <f t="shared" si="45"/>
        <v>1326.6488525722111</v>
      </c>
      <c r="C256" s="25">
        <f t="shared" si="0"/>
        <v>3423.5650373438048</v>
      </c>
      <c r="D256" s="25">
        <f t="shared" si="10"/>
        <v>892624.11832259083</v>
      </c>
      <c r="E256" s="25">
        <f>$C256/((1+'How much will I make'!$C$5/12)^(Calculations!$B$1*12-Calculations!$A256))</f>
        <v>1326.6488525722111</v>
      </c>
      <c r="F256" s="25">
        <f t="shared" si="11"/>
        <v>214315.51084819774</v>
      </c>
      <c r="G256" s="25">
        <f t="shared" si="1"/>
        <v>8800.2765275807178</v>
      </c>
      <c r="H256" s="25">
        <f t="shared" si="12"/>
        <v>4044375.1846486921</v>
      </c>
      <c r="I256" s="25">
        <f>G256/((1+'How much will I make'!$C$5/12)^(Calculations!$B$1*12-Calculations!$A256))</f>
        <v>3410.15188269686</v>
      </c>
      <c r="J256" s="25">
        <f t="shared" si="13"/>
        <v>887200.27408883651</v>
      </c>
      <c r="K256" s="25">
        <f t="shared" si="2"/>
        <v>22533.21994856482</v>
      </c>
      <c r="L256" s="25">
        <f t="shared" si="14"/>
        <v>19819877.953590307</v>
      </c>
      <c r="M256" s="25">
        <f>K256/((1+'How much will I make'!$C$5/12)^(Calculations!$B$1*12-Calculations!$A256))</f>
        <v>8731.7372573456287</v>
      </c>
      <c r="N256" s="25">
        <f t="shared" si="15"/>
        <v>3992636.5341441953</v>
      </c>
      <c r="O256" s="25">
        <f t="shared" si="3"/>
        <v>57474.245763710845</v>
      </c>
      <c r="P256" s="25">
        <f t="shared" si="16"/>
        <v>103745534.56665893</v>
      </c>
      <c r="Q256" s="25">
        <f>O256/((1+'How much will I make'!$C$5/12)^(Calculations!$B$1*12-Calculations!$A256))</f>
        <v>22271.562351868706</v>
      </c>
      <c r="R256" s="25">
        <f t="shared" si="17"/>
        <v>19423145.876014158</v>
      </c>
      <c r="S256" s="25">
        <f t="shared" si="4"/>
        <v>146036.06110093588</v>
      </c>
      <c r="T256" s="25">
        <f t="shared" si="18"/>
        <v>571434849.11399472</v>
      </c>
      <c r="U256" s="25">
        <f>S256/((1+'How much will I make'!$C$5/12)^(Calculations!$B$1*12-Calculations!$A256))</f>
        <v>56589.71591906291</v>
      </c>
      <c r="V256" s="25">
        <f t="shared" si="19"/>
        <v>100887998.86071379</v>
      </c>
      <c r="W256" s="25">
        <f t="shared" si="5"/>
        <v>369655.60446518788</v>
      </c>
      <c r="X256" s="25">
        <f t="shared" si="20"/>
        <v>3266621298.4283032</v>
      </c>
      <c r="Y256" s="25">
        <f>W256/((1+'How much will I make'!$C$5/12)^(Calculations!$B$1*12-Calculations!$A256))</f>
        <v>143243.42554073725</v>
      </c>
      <c r="Z256" s="25">
        <f t="shared" si="21"/>
        <v>551328621.74146175</v>
      </c>
      <c r="AA256" s="25">
        <f t="shared" si="6"/>
        <v>932176.64690650429</v>
      </c>
      <c r="AB256" s="25">
        <f t="shared" si="22"/>
        <v>19166894619.056026</v>
      </c>
      <c r="AC256" s="25">
        <f>AA256/((1+'How much will I make'!$C$5/12)^(Calculations!$B$1*12-Calculations!$A256))</f>
        <v>361223.18855452631</v>
      </c>
      <c r="AD256" s="25">
        <f t="shared" si="23"/>
        <v>3126758173.9594593</v>
      </c>
      <c r="AE256" s="25">
        <f t="shared" si="7"/>
        <v>2341941.8308593808</v>
      </c>
      <c r="AF256" s="25">
        <f t="shared" si="24"/>
        <v>114482740138.82378</v>
      </c>
      <c r="AG256" s="25">
        <f>AE256/((1+'How much will I make'!$C$5/12)^(Calculations!$B$1*12-Calculations!$A256))</f>
        <v>907514.36260460119</v>
      </c>
      <c r="AH256" s="25">
        <f t="shared" si="25"/>
        <v>18201525436.07616</v>
      </c>
    </row>
    <row r="257" spans="1:34" ht="15.75" customHeight="1">
      <c r="A257" s="22">
        <f t="shared" si="8"/>
        <v>253</v>
      </c>
      <c r="B257" s="22">
        <f>B256*(1+'How much will I make'!$C$4)</f>
        <v>1392.9812952008217</v>
      </c>
      <c r="C257" s="25">
        <f t="shared" si="0"/>
        <v>3579.8273419528587</v>
      </c>
      <c r="D257" s="25">
        <f t="shared" si="10"/>
        <v>896203.94566454366</v>
      </c>
      <c r="E257" s="25">
        <f>$C257/((1+'How much will I make'!$C$5/12)^(Calculations!$B$1*12-Calculations!$A257))</f>
        <v>1392.9812952008217</v>
      </c>
      <c r="F257" s="25">
        <f t="shared" si="11"/>
        <v>215708.49214339856</v>
      </c>
      <c r="G257" s="25">
        <f t="shared" si="1"/>
        <v>9163.9243179766163</v>
      </c>
      <c r="H257" s="25">
        <f t="shared" si="12"/>
        <v>4053539.1089666686</v>
      </c>
      <c r="I257" s="25">
        <f>G257/((1+'How much will I make'!$C$5/12)^(Calculations!$B$1*12-Calculations!$A257))</f>
        <v>3565.863363291076</v>
      </c>
      <c r="J257" s="25">
        <f t="shared" si="13"/>
        <v>890766.13745212753</v>
      </c>
      <c r="K257" s="25">
        <f t="shared" si="2"/>
        <v>23367.783650363515</v>
      </c>
      <c r="L257" s="25">
        <f t="shared" si="14"/>
        <v>19843245.737240672</v>
      </c>
      <c r="M257" s="25">
        <f>K257/((1+'How much will I make'!$C$5/12)^(Calculations!$B$1*12-Calculations!$A257))</f>
        <v>9092.8646624333778</v>
      </c>
      <c r="N257" s="25">
        <f t="shared" si="15"/>
        <v>4001729.3988066288</v>
      </c>
      <c r="O257" s="25">
        <f t="shared" si="3"/>
        <v>59358.647264160383</v>
      </c>
      <c r="P257" s="25">
        <f t="shared" si="16"/>
        <v>103804893.2139231</v>
      </c>
      <c r="Q257" s="25">
        <f>O257/((1+'How much will I make'!$C$5/12)^(Calculations!$B$1*12-Calculations!$A257))</f>
        <v>23097.61825057531</v>
      </c>
      <c r="R257" s="25">
        <f t="shared" si="17"/>
        <v>19446243.494264733</v>
      </c>
      <c r="S257" s="25">
        <f t="shared" si="4"/>
        <v>150208.51998953405</v>
      </c>
      <c r="T257" s="25">
        <f t="shared" si="18"/>
        <v>571585057.63398421</v>
      </c>
      <c r="U257" s="25">
        <f>S257/((1+'How much will I make'!$C$5/12)^(Calculations!$B$1*12-Calculations!$A257))</f>
        <v>58449.092299260679</v>
      </c>
      <c r="V257" s="25">
        <f t="shared" si="19"/>
        <v>100946447.95301306</v>
      </c>
      <c r="W257" s="25">
        <f t="shared" si="5"/>
        <v>378671.59481799731</v>
      </c>
      <c r="X257" s="25">
        <f t="shared" si="20"/>
        <v>3266999970.0231214</v>
      </c>
      <c r="Y257" s="25">
        <f>W257/((1+'How much will I make'!$C$5/12)^(Calculations!$B$1*12-Calculations!$A257))</f>
        <v>147348.57249220955</v>
      </c>
      <c r="Z257" s="25">
        <f t="shared" si="21"/>
        <v>551475970.313954</v>
      </c>
      <c r="AA257" s="25">
        <f t="shared" si="6"/>
        <v>951046.619515948</v>
      </c>
      <c r="AB257" s="25">
        <f t="shared" si="22"/>
        <v>19167845665.675541</v>
      </c>
      <c r="AC257" s="25">
        <f>AA257/((1+'How much will I make'!$C$5/12)^(Calculations!$B$1*12-Calculations!$A257))</f>
        <v>370070.96301102388</v>
      </c>
      <c r="AD257" s="25">
        <f t="shared" si="23"/>
        <v>3127128244.9224701</v>
      </c>
      <c r="AE257" s="25">
        <f t="shared" si="7"/>
        <v>2379715.0861958219</v>
      </c>
      <c r="AF257" s="25">
        <f t="shared" si="24"/>
        <v>114485119853.90997</v>
      </c>
      <c r="AG257" s="25">
        <f>AE257/((1+'How much will I make'!$C$5/12)^(Calculations!$B$1*12-Calculations!$A257))</f>
        <v>925993.98974634788</v>
      </c>
      <c r="AH257" s="25">
        <f t="shared" si="25"/>
        <v>18202451430.065907</v>
      </c>
    </row>
    <row r="258" spans="1:34" ht="15.75" customHeight="1">
      <c r="A258" s="22">
        <f t="shared" si="8"/>
        <v>254</v>
      </c>
      <c r="B258" s="22">
        <f t="shared" ref="B258:B268" si="46">B257</f>
        <v>1392.9812952008217</v>
      </c>
      <c r="C258" s="25">
        <f t="shared" si="0"/>
        <v>3564.9732865920578</v>
      </c>
      <c r="D258" s="25">
        <f t="shared" si="10"/>
        <v>899768.91895113571</v>
      </c>
      <c r="E258" s="25">
        <f>$C258/((1+'How much will I make'!$C$5/12)^(Calculations!$B$1*12-Calculations!$A258))</f>
        <v>1392.9812952008217</v>
      </c>
      <c r="F258" s="25">
        <f t="shared" si="11"/>
        <v>217101.47343859938</v>
      </c>
      <c r="G258" s="25">
        <f t="shared" si="1"/>
        <v>9088.1894062578031</v>
      </c>
      <c r="H258" s="25">
        <f t="shared" si="12"/>
        <v>4062627.2983729262</v>
      </c>
      <c r="I258" s="25">
        <f>G258/((1+'How much will I make'!$C$5/12)^(Calculations!$B$1*12-Calculations!$A258))</f>
        <v>3551.1283907154943</v>
      </c>
      <c r="J258" s="25">
        <f t="shared" si="13"/>
        <v>894317.26584284299</v>
      </c>
      <c r="K258" s="25">
        <f t="shared" si="2"/>
        <v>23079.292494186189</v>
      </c>
      <c r="L258" s="25">
        <f t="shared" si="14"/>
        <v>19866325.029734857</v>
      </c>
      <c r="M258" s="25">
        <f>K258/((1+'How much will I make'!$C$5/12)^(Calculations!$B$1*12-Calculations!$A258))</f>
        <v>9018.0262701499778</v>
      </c>
      <c r="N258" s="25">
        <f t="shared" si="15"/>
        <v>4010747.425076779</v>
      </c>
      <c r="O258" s="25">
        <f t="shared" si="3"/>
        <v>58385.554686059397</v>
      </c>
      <c r="P258" s="25">
        <f t="shared" si="16"/>
        <v>103863278.76860915</v>
      </c>
      <c r="Q258" s="25">
        <f>O258/((1+'How much will I make'!$C$5/12)^(Calculations!$B$1*12-Calculations!$A258))</f>
        <v>22813.631140937094</v>
      </c>
      <c r="R258" s="25">
        <f t="shared" si="17"/>
        <v>19469057.125405669</v>
      </c>
      <c r="S258" s="25">
        <f t="shared" si="4"/>
        <v>147143.03998974763</v>
      </c>
      <c r="T258" s="25">
        <f t="shared" si="18"/>
        <v>571732200.67397392</v>
      </c>
      <c r="U258" s="25">
        <f>S258/((1+'How much will I make'!$C$5/12)^(Calculations!$B$1*12-Calculations!$A258))</f>
        <v>57494.821404578877</v>
      </c>
      <c r="V258" s="25">
        <f t="shared" si="19"/>
        <v>101003942.77441764</v>
      </c>
      <c r="W258" s="25">
        <f t="shared" si="5"/>
        <v>369435.70226146083</v>
      </c>
      <c r="X258" s="25">
        <f t="shared" si="20"/>
        <v>3267369405.7253828</v>
      </c>
      <c r="Y258" s="25">
        <f>W258/((1+'How much will I make'!$C$5/12)^(Calculations!$B$1*12-Calculations!$A258))</f>
        <v>144353.68280740859</v>
      </c>
      <c r="Z258" s="25">
        <f t="shared" si="21"/>
        <v>551620323.99676144</v>
      </c>
      <c r="AA258" s="25">
        <f t="shared" si="6"/>
        <v>924093.8813110427</v>
      </c>
      <c r="AB258" s="25">
        <f t="shared" si="22"/>
        <v>19168769759.55685</v>
      </c>
      <c r="AC258" s="25">
        <f>AA258/((1+'How much will I make'!$C$5/12)^(Calculations!$B$1*12-Calculations!$A258))</f>
        <v>361081.38496217324</v>
      </c>
      <c r="AD258" s="25">
        <f t="shared" si="23"/>
        <v>3127489326.3074322</v>
      </c>
      <c r="AE258" s="25">
        <f t="shared" si="7"/>
        <v>2302950.0834153113</v>
      </c>
      <c r="AF258" s="25">
        <f t="shared" si="24"/>
        <v>114487422803.99339</v>
      </c>
      <c r="AG258" s="25">
        <f>AE258/((1+'How much will I make'!$C$5/12)^(Calculations!$B$1*12-Calculations!$A258))</f>
        <v>899857.06261641067</v>
      </c>
      <c r="AH258" s="25">
        <f t="shared" si="25"/>
        <v>18203351287.128525</v>
      </c>
    </row>
    <row r="259" spans="1:34" ht="15.75" customHeight="1">
      <c r="A259" s="22">
        <f t="shared" si="8"/>
        <v>255</v>
      </c>
      <c r="B259" s="22">
        <f t="shared" si="46"/>
        <v>1392.9812952008217</v>
      </c>
      <c r="C259" s="25">
        <f t="shared" si="0"/>
        <v>3550.1808663157422</v>
      </c>
      <c r="D259" s="25">
        <f t="shared" si="10"/>
        <v>903319.09981745144</v>
      </c>
      <c r="E259" s="25">
        <f>$C259/((1+'How much will I make'!$C$5/12)^(Calculations!$B$1*12-Calculations!$A259))</f>
        <v>1392.9812952008217</v>
      </c>
      <c r="F259" s="25">
        <f t="shared" si="11"/>
        <v>218494.4547338002</v>
      </c>
      <c r="G259" s="25">
        <f t="shared" si="1"/>
        <v>9013.0804029002993</v>
      </c>
      <c r="H259" s="25">
        <f t="shared" si="12"/>
        <v>4071640.3787758267</v>
      </c>
      <c r="I259" s="25">
        <f>G259/((1+'How much will I make'!$C$5/12)^(Calculations!$B$1*12-Calculations!$A259))</f>
        <v>3536.4543064563391</v>
      </c>
      <c r="J259" s="25">
        <f t="shared" si="13"/>
        <v>897853.72014929936</v>
      </c>
      <c r="K259" s="25">
        <f t="shared" si="2"/>
        <v>22794.362957220925</v>
      </c>
      <c r="L259" s="25">
        <f t="shared" si="14"/>
        <v>19889119.392692078</v>
      </c>
      <c r="M259" s="25">
        <f>K259/((1+'How much will I make'!$C$5/12)^(Calculations!$B$1*12-Calculations!$A259))</f>
        <v>8943.8038317125283</v>
      </c>
      <c r="N259" s="25">
        <f t="shared" si="15"/>
        <v>4019691.2289084913</v>
      </c>
      <c r="O259" s="25">
        <f t="shared" si="3"/>
        <v>57428.414445304326</v>
      </c>
      <c r="P259" s="25">
        <f t="shared" si="16"/>
        <v>103920707.18305446</v>
      </c>
      <c r="Q259" s="25">
        <f>O259/((1+'How much will I make'!$C$5/12)^(Calculations!$B$1*12-Calculations!$A259))</f>
        <v>22533.135676089507</v>
      </c>
      <c r="R259" s="25">
        <f t="shared" si="17"/>
        <v>19491590.261081759</v>
      </c>
      <c r="S259" s="25">
        <f t="shared" si="4"/>
        <v>144140.12080628343</v>
      </c>
      <c r="T259" s="25">
        <f t="shared" si="18"/>
        <v>571876340.79478025</v>
      </c>
      <c r="U259" s="25">
        <f>S259/((1+'How much will I make'!$C$5/12)^(Calculations!$B$1*12-Calculations!$A259))</f>
        <v>56556.130442871479</v>
      </c>
      <c r="V259" s="25">
        <f t="shared" si="19"/>
        <v>101060498.90486051</v>
      </c>
      <c r="W259" s="25">
        <f t="shared" si="5"/>
        <v>360425.07537703495</v>
      </c>
      <c r="X259" s="25">
        <f t="shared" si="20"/>
        <v>3267729830.8007598</v>
      </c>
      <c r="Y259" s="25">
        <f>W259/((1+'How much will I make'!$C$5/12)^(Calculations!$B$1*12-Calculations!$A259))</f>
        <v>141419.66486416859</v>
      </c>
      <c r="Z259" s="25">
        <f t="shared" si="21"/>
        <v>551761743.66162562</v>
      </c>
      <c r="AA259" s="25">
        <f t="shared" si="6"/>
        <v>897904.9858892723</v>
      </c>
      <c r="AB259" s="25">
        <f t="shared" si="22"/>
        <v>19169667664.54274</v>
      </c>
      <c r="AC259" s="25">
        <f>AA259/((1+'How much will I make'!$C$5/12)^(Calculations!$B$1*12-Calculations!$A259))</f>
        <v>352310.17723029858</v>
      </c>
      <c r="AD259" s="25">
        <f t="shared" si="23"/>
        <v>3127841636.4846625</v>
      </c>
      <c r="AE259" s="25">
        <f t="shared" si="7"/>
        <v>2228661.3710470754</v>
      </c>
      <c r="AF259" s="25">
        <f t="shared" si="24"/>
        <v>114489651465.36444</v>
      </c>
      <c r="AG259" s="25">
        <f>AE259/((1+'How much will I make'!$C$5/12)^(Calculations!$B$1*12-Calculations!$A259))</f>
        <v>874457.8713328829</v>
      </c>
      <c r="AH259" s="25">
        <f t="shared" si="25"/>
        <v>18204225744.999859</v>
      </c>
    </row>
    <row r="260" spans="1:34" ht="15.75" customHeight="1">
      <c r="A260" s="22">
        <f t="shared" si="8"/>
        <v>256</v>
      </c>
      <c r="B260" s="22">
        <f t="shared" si="46"/>
        <v>1392.9812952008217</v>
      </c>
      <c r="C260" s="25">
        <f t="shared" ref="C260:C514" si="47">$B260*(1+$C$3/12)^($B$1*12-$A260)</f>
        <v>3535.4498253766728</v>
      </c>
      <c r="D260" s="25">
        <f t="shared" si="10"/>
        <v>906854.54964282806</v>
      </c>
      <c r="E260" s="25">
        <f>$C260/((1+'How much will I make'!$C$5/12)^(Calculations!$B$1*12-Calculations!$A260))</f>
        <v>1392.9812952008217</v>
      </c>
      <c r="F260" s="25">
        <f t="shared" si="11"/>
        <v>219887.43602900102</v>
      </c>
      <c r="G260" s="25">
        <f t="shared" ref="G260:G514" si="48">$B260*(1+G$3/12)^($B$1*12-$A260)</f>
        <v>8938.5921351077359</v>
      </c>
      <c r="H260" s="25">
        <f t="shared" si="12"/>
        <v>4080578.9709109343</v>
      </c>
      <c r="I260" s="25">
        <f>G260/((1+'How much will I make'!$C$5/12)^(Calculations!$B$1*12-Calculations!$A260))</f>
        <v>3521.8408589089991</v>
      </c>
      <c r="J260" s="25">
        <f t="shared" si="13"/>
        <v>901375.56100820831</v>
      </c>
      <c r="K260" s="25">
        <f t="shared" ref="K260:K514" si="49">$B260*(1+K$3/12)^($B$1*12-$A260)</f>
        <v>22512.951068860173</v>
      </c>
      <c r="L260" s="25">
        <f t="shared" si="14"/>
        <v>19911632.343760937</v>
      </c>
      <c r="M260" s="25">
        <f>K260/((1+'How much will I make'!$C$5/12)^(Calculations!$B$1*12-Calculations!$A260))</f>
        <v>8870.1922775420535</v>
      </c>
      <c r="N260" s="25">
        <f t="shared" si="15"/>
        <v>4028561.4211860332</v>
      </c>
      <c r="O260" s="25">
        <f t="shared" ref="O260:O514" si="50">$B260*(1+O$3/12)^($B$1*12-$A260)</f>
        <v>56486.96502816819</v>
      </c>
      <c r="P260" s="25">
        <f t="shared" si="16"/>
        <v>103977194.14808263</v>
      </c>
      <c r="Q260" s="25">
        <f>O260/((1+'How much will I make'!$C$5/12)^(Calculations!$B$1*12-Calculations!$A260))</f>
        <v>22256.08892597365</v>
      </c>
      <c r="R260" s="25">
        <f t="shared" si="17"/>
        <v>19513846.350007731</v>
      </c>
      <c r="S260" s="25">
        <f t="shared" ref="S260:S514" si="51">$B260*(1+S$3/12)^($B$1*12-$A260)</f>
        <v>141198.48568778788</v>
      </c>
      <c r="T260" s="25">
        <f t="shared" si="18"/>
        <v>572017539.28046799</v>
      </c>
      <c r="U260" s="25">
        <f>S260/((1+'How much will I make'!$C$5/12)^(Calculations!$B$1*12-Calculations!$A260))</f>
        <v>55632.765047885834</v>
      </c>
      <c r="V260" s="25">
        <f t="shared" si="19"/>
        <v>101116131.6699084</v>
      </c>
      <c r="W260" s="25">
        <f t="shared" ref="W260:W514" si="52">$B260*(1+W$3/12)^($B$1*12-$A260)</f>
        <v>351634.21988003416</v>
      </c>
      <c r="X260" s="25">
        <f t="shared" si="20"/>
        <v>3268081465.0206399</v>
      </c>
      <c r="Y260" s="25">
        <f>W260/((1+'How much will I make'!$C$5/12)^(Calculations!$B$1*12-Calculations!$A260))</f>
        <v>138545.28143197004</v>
      </c>
      <c r="Z260" s="25">
        <f t="shared" si="21"/>
        <v>551900288.94305754</v>
      </c>
      <c r="AA260" s="25">
        <f t="shared" ref="AA260:AA514" si="53">$B260*(1+AA$3/12)^($B$1*12-$A260)</f>
        <v>872458.28588431305</v>
      </c>
      <c r="AB260" s="25">
        <f t="shared" si="22"/>
        <v>19170540122.828625</v>
      </c>
      <c r="AC260" s="25">
        <f>AA260/((1+'How much will I make'!$C$5/12)^(Calculations!$B$1*12-Calculations!$A260))</f>
        <v>343752.03527328721</v>
      </c>
      <c r="AD260" s="25">
        <f t="shared" si="23"/>
        <v>3128185388.5199356</v>
      </c>
      <c r="AE260" s="25">
        <f t="shared" ref="AE260:AE514" si="54">$B260*(1+AE$3/12)^($B$1*12-$A260)</f>
        <v>2156769.0687552337</v>
      </c>
      <c r="AF260" s="25">
        <f t="shared" si="24"/>
        <v>114491808234.4332</v>
      </c>
      <c r="AG260" s="25">
        <f>AE260/((1+'How much will I make'!$C$5/12)^(Calculations!$B$1*12-Calculations!$A260))</f>
        <v>849775.59270655131</v>
      </c>
      <c r="AH260" s="25">
        <f t="shared" si="25"/>
        <v>18205075520.592564</v>
      </c>
    </row>
    <row r="261" spans="1:34" ht="15.75" customHeight="1">
      <c r="A261" s="22">
        <f t="shared" ref="A261:A515" si="55">A260+1</f>
        <v>257</v>
      </c>
      <c r="B261" s="22">
        <f t="shared" si="46"/>
        <v>1392.9812952008217</v>
      </c>
      <c r="C261" s="25">
        <f t="shared" si="47"/>
        <v>3520.7799090888043</v>
      </c>
      <c r="D261" s="25">
        <f t="shared" ref="D261:D515" si="56">C261+D260</f>
        <v>910375.32955191692</v>
      </c>
      <c r="E261" s="25">
        <f>$C261/((1+'How much will I make'!$C$5/12)^(Calculations!$B$1*12-Calculations!$A261))</f>
        <v>1392.9812952008217</v>
      </c>
      <c r="F261" s="25">
        <f t="shared" ref="F261:F515" si="57">E261+F260</f>
        <v>221280.41732420184</v>
      </c>
      <c r="G261" s="25">
        <f t="shared" si="48"/>
        <v>8864.7194728341183</v>
      </c>
      <c r="H261" s="25">
        <f t="shared" ref="H261:H515" si="58">G261+H260</f>
        <v>4089443.6903837682</v>
      </c>
      <c r="I261" s="25">
        <f>G261/((1+'How much will I make'!$C$5/12)^(Calculations!$B$1*12-Calculations!$A261))</f>
        <v>3507.2877975085471</v>
      </c>
      <c r="J261" s="25">
        <f t="shared" ref="J261:J515" si="59">I261+J260</f>
        <v>904882.84880571684</v>
      </c>
      <c r="K261" s="25">
        <f t="shared" si="49"/>
        <v>22235.013401343382</v>
      </c>
      <c r="L261" s="25">
        <f t="shared" ref="L261:L515" si="60">K261+L260</f>
        <v>19933867.357162282</v>
      </c>
      <c r="M261" s="25">
        <f>K261/((1+'How much will I make'!$C$5/12)^(Calculations!$B$1*12-Calculations!$A261))</f>
        <v>8797.1865797845039</v>
      </c>
      <c r="N261" s="25">
        <f t="shared" ref="N261:N515" si="61">M261+N260</f>
        <v>4037358.6077658175</v>
      </c>
      <c r="O261" s="25">
        <f t="shared" si="50"/>
        <v>55560.94920803429</v>
      </c>
      <c r="P261" s="25">
        <f t="shared" ref="P261:P515" si="62">O261+P260</f>
        <v>104032755.09729066</v>
      </c>
      <c r="Q261" s="25">
        <f>O261/((1+'How much will I make'!$C$5/12)^(Calculations!$B$1*12-Calculations!$A261))</f>
        <v>21982.448488359212</v>
      </c>
      <c r="R261" s="25">
        <f t="shared" ref="R261:R515" si="63">Q261+R260</f>
        <v>19535828.79849609</v>
      </c>
      <c r="S261" s="25">
        <f t="shared" si="51"/>
        <v>138316.88393905753</v>
      </c>
      <c r="T261" s="25">
        <f t="shared" ref="T261:T515" si="64">S261+T260</f>
        <v>572155856.16440701</v>
      </c>
      <c r="U261" s="25">
        <f>S261/((1+'How much will I make'!$C$5/12)^(Calculations!$B$1*12-Calculations!$A261))</f>
        <v>54724.475006287685</v>
      </c>
      <c r="V261" s="25">
        <f t="shared" ref="V261:V515" si="65">U261+V260</f>
        <v>101170856.14491469</v>
      </c>
      <c r="W261" s="25">
        <f t="shared" si="52"/>
        <v>343057.77549271629</v>
      </c>
      <c r="X261" s="25">
        <f t="shared" ref="X261:X515" si="66">W261+X260</f>
        <v>3268424522.7961326</v>
      </c>
      <c r="Y261" s="25">
        <f>W261/((1+'How much will I make'!$C$5/12)^(Calculations!$B$1*12-Calculations!$A261))</f>
        <v>135729.32042725518</v>
      </c>
      <c r="Z261" s="25">
        <f t="shared" ref="Z261:Z515" si="67">Y261+Z260</f>
        <v>552036018.26348484</v>
      </c>
      <c r="AA261" s="25">
        <f t="shared" si="53"/>
        <v>847732.74741795612</v>
      </c>
      <c r="AB261" s="25">
        <f t="shared" ref="AB261:AB515" si="68">AA261+AB260</f>
        <v>19171387855.576042</v>
      </c>
      <c r="AC261" s="25">
        <f>AA261/((1+'How much will I make'!$C$5/12)^(Calculations!$B$1*12-Calculations!$A261))</f>
        <v>335401.7834043004</v>
      </c>
      <c r="AD261" s="25">
        <f t="shared" ref="AD261:AD515" si="69">AC261+AD260</f>
        <v>3128520790.30334</v>
      </c>
      <c r="AE261" s="25">
        <f t="shared" si="54"/>
        <v>2087195.8729889358</v>
      </c>
      <c r="AF261" s="25">
        <f t="shared" ref="AF261:AF515" si="70">AE261+AF260</f>
        <v>114493895430.30618</v>
      </c>
      <c r="AG261" s="25">
        <f>AE261/((1+'How much will I make'!$C$5/12)^(Calculations!$B$1*12-Calculations!$A261))</f>
        <v>825789.99129951117</v>
      </c>
      <c r="AH261" s="25">
        <f t="shared" ref="AH261:AH515" si="71">AG261+AH260</f>
        <v>18205901310.583862</v>
      </c>
    </row>
    <row r="262" spans="1:34" ht="15.75" customHeight="1">
      <c r="A262" s="22">
        <f t="shared" si="55"/>
        <v>258</v>
      </c>
      <c r="B262" s="22">
        <f t="shared" si="46"/>
        <v>1392.9812952008217</v>
      </c>
      <c r="C262" s="25">
        <f t="shared" si="47"/>
        <v>3506.1708638228733</v>
      </c>
      <c r="D262" s="25">
        <f t="shared" si="56"/>
        <v>913881.50041573984</v>
      </c>
      <c r="E262" s="25">
        <f>$C262/((1+'How much will I make'!$C$5/12)^(Calculations!$B$1*12-Calculations!$A262))</f>
        <v>1392.9812952008217</v>
      </c>
      <c r="F262" s="25">
        <f t="shared" si="57"/>
        <v>222673.39861940267</v>
      </c>
      <c r="G262" s="25">
        <f t="shared" si="48"/>
        <v>8791.4573284305316</v>
      </c>
      <c r="H262" s="25">
        <f t="shared" si="58"/>
        <v>4098235.1477121986</v>
      </c>
      <c r="I262" s="25">
        <f>G262/((1+'How much will I make'!$C$5/12)^(Calculations!$B$1*12-Calculations!$A262))</f>
        <v>3492.794872725457</v>
      </c>
      <c r="J262" s="25">
        <f t="shared" si="59"/>
        <v>908375.64367844234</v>
      </c>
      <c r="K262" s="25">
        <f t="shared" si="49"/>
        <v>21960.507063055196</v>
      </c>
      <c r="L262" s="25">
        <f t="shared" si="60"/>
        <v>19955827.864225335</v>
      </c>
      <c r="M262" s="25">
        <f>K262/((1+'How much will I make'!$C$5/12)^(Calculations!$B$1*12-Calculations!$A262))</f>
        <v>8724.7817519673554</v>
      </c>
      <c r="N262" s="25">
        <f t="shared" si="61"/>
        <v>4046083.389517785</v>
      </c>
      <c r="O262" s="25">
        <f t="shared" si="50"/>
        <v>54650.113975115717</v>
      </c>
      <c r="P262" s="25">
        <f t="shared" si="62"/>
        <v>104087405.21126579</v>
      </c>
      <c r="Q262" s="25">
        <f>O262/((1+'How much will I make'!$C$5/12)^(Calculations!$B$1*12-Calculations!$A262))</f>
        <v>21712.172482354821</v>
      </c>
      <c r="R262" s="25">
        <f t="shared" si="63"/>
        <v>19557540.970978446</v>
      </c>
      <c r="S262" s="25">
        <f t="shared" si="51"/>
        <v>135494.09038928084</v>
      </c>
      <c r="T262" s="25">
        <f t="shared" si="64"/>
        <v>572291350.25479627</v>
      </c>
      <c r="U262" s="25">
        <f>S262/((1+'How much will I make'!$C$5/12)^(Calculations!$B$1*12-Calculations!$A262))</f>
        <v>53831.014189858535</v>
      </c>
      <c r="V262" s="25">
        <f t="shared" si="65"/>
        <v>101224687.15910454</v>
      </c>
      <c r="W262" s="25">
        <f t="shared" si="52"/>
        <v>334690.51267582073</v>
      </c>
      <c r="X262" s="25">
        <f t="shared" si="66"/>
        <v>3268759213.3088083</v>
      </c>
      <c r="Y262" s="25">
        <f>W262/((1+'How much will I make'!$C$5/12)^(Calculations!$B$1*12-Calculations!$A262))</f>
        <v>132970.59440231105</v>
      </c>
      <c r="Z262" s="25">
        <f t="shared" si="67"/>
        <v>552168988.85788715</v>
      </c>
      <c r="AA262" s="25">
        <f t="shared" si="53"/>
        <v>823707.93271380384</v>
      </c>
      <c r="AB262" s="25">
        <f t="shared" si="68"/>
        <v>19172211563.508755</v>
      </c>
      <c r="AC262" s="25">
        <f>AA262/((1+'How much will I make'!$C$5/12)^(Calculations!$B$1*12-Calculations!$A262))</f>
        <v>327254.37166168616</v>
      </c>
      <c r="AD262" s="25">
        <f t="shared" si="69"/>
        <v>3128848044.6750016</v>
      </c>
      <c r="AE262" s="25">
        <f t="shared" si="54"/>
        <v>2019866.9738602601</v>
      </c>
      <c r="AF262" s="25">
        <f t="shared" si="70"/>
        <v>114495915297.28004</v>
      </c>
      <c r="AG262" s="25">
        <f>AE262/((1+'How much will I make'!$C$5/12)^(Calculations!$B$1*12-Calculations!$A262))</f>
        <v>802481.40283541253</v>
      </c>
      <c r="AH262" s="25">
        <f t="shared" si="71"/>
        <v>18206703791.986698</v>
      </c>
    </row>
    <row r="263" spans="1:34" ht="15.75" customHeight="1">
      <c r="A263" s="22">
        <f t="shared" si="55"/>
        <v>259</v>
      </c>
      <c r="B263" s="22">
        <f t="shared" si="46"/>
        <v>1392.9812952008217</v>
      </c>
      <c r="C263" s="25">
        <f t="shared" si="47"/>
        <v>3491.6224370020318</v>
      </c>
      <c r="D263" s="25">
        <f t="shared" si="56"/>
        <v>917373.12285274186</v>
      </c>
      <c r="E263" s="25">
        <f>$C263/((1+'How much will I make'!$C$5/12)^(Calculations!$B$1*12-Calculations!$A263))</f>
        <v>1392.9812952008217</v>
      </c>
      <c r="F263" s="25">
        <f t="shared" si="57"/>
        <v>224066.37991460349</v>
      </c>
      <c r="G263" s="25">
        <f t="shared" si="48"/>
        <v>8718.8006562947412</v>
      </c>
      <c r="H263" s="25">
        <f t="shared" si="58"/>
        <v>4106953.9483684935</v>
      </c>
      <c r="I263" s="25">
        <f>G263/((1+'How much will I make'!$C$5/12)^(Calculations!$B$1*12-Calculations!$A263))</f>
        <v>3478.3618360613013</v>
      </c>
      <c r="J263" s="25">
        <f t="shared" si="59"/>
        <v>911854.00551450369</v>
      </c>
      <c r="K263" s="25">
        <f t="shared" si="49"/>
        <v>21689.389691906363</v>
      </c>
      <c r="L263" s="25">
        <f t="shared" si="60"/>
        <v>19977517.253917243</v>
      </c>
      <c r="M263" s="25">
        <f>K263/((1+'How much will I make'!$C$5/12)^(Calculations!$B$1*12-Calculations!$A263))</f>
        <v>8652.9728486589793</v>
      </c>
      <c r="N263" s="25">
        <f t="shared" si="61"/>
        <v>4054736.362366444</v>
      </c>
      <c r="O263" s="25">
        <f t="shared" si="50"/>
        <v>53754.210467326935</v>
      </c>
      <c r="P263" s="25">
        <f t="shared" si="62"/>
        <v>104141159.42173311</v>
      </c>
      <c r="Q263" s="25">
        <f>O263/((1+'How much will I make'!$C$5/12)^(Calculations!$B$1*12-Calculations!$A263))</f>
        <v>21445.219541997998</v>
      </c>
      <c r="R263" s="25">
        <f t="shared" si="63"/>
        <v>19578986.190520443</v>
      </c>
      <c r="S263" s="25">
        <f t="shared" si="51"/>
        <v>132728.90487113231</v>
      </c>
      <c r="T263" s="25">
        <f t="shared" si="64"/>
        <v>572424079.15966737</v>
      </c>
      <c r="U263" s="25">
        <f>S263/((1+'How much will I make'!$C$5/12)^(Calculations!$B$1*12-Calculations!$A263))</f>
        <v>52952.14048879964</v>
      </c>
      <c r="V263" s="25">
        <f t="shared" si="65"/>
        <v>101277639.29959334</v>
      </c>
      <c r="W263" s="25">
        <f t="shared" si="52"/>
        <v>326527.32943982515</v>
      </c>
      <c r="X263" s="25">
        <f t="shared" si="66"/>
        <v>3269085740.638248</v>
      </c>
      <c r="Y263" s="25">
        <f>W263/((1+'How much will I make'!$C$5/12)^(Calculations!$B$1*12-Calculations!$A263))</f>
        <v>130267.94004454049</v>
      </c>
      <c r="Z263" s="25">
        <f t="shared" si="67"/>
        <v>552299256.79793167</v>
      </c>
      <c r="AA263" s="25">
        <f t="shared" si="53"/>
        <v>800363.98320369597</v>
      </c>
      <c r="AB263" s="25">
        <f t="shared" si="68"/>
        <v>19173011927.491959</v>
      </c>
      <c r="AC263" s="25">
        <f>AA263/((1+'How much will I make'!$C$5/12)^(Calculations!$B$1*12-Calculations!$A263))</f>
        <v>319304.87275492452</v>
      </c>
      <c r="AD263" s="25">
        <f t="shared" si="69"/>
        <v>3129167349.5477567</v>
      </c>
      <c r="AE263" s="25">
        <f t="shared" si="54"/>
        <v>1954709.9747034777</v>
      </c>
      <c r="AF263" s="25">
        <f t="shared" si="70"/>
        <v>114497870007.25475</v>
      </c>
      <c r="AG263" s="25">
        <f>AE263/((1+'How much will I make'!$C$5/12)^(Calculations!$B$1*12-Calculations!$A263))</f>
        <v>779830.71807796136</v>
      </c>
      <c r="AH263" s="25">
        <f t="shared" si="71"/>
        <v>18207483622.704777</v>
      </c>
    </row>
    <row r="264" spans="1:34" ht="15.75" customHeight="1">
      <c r="A264" s="22">
        <f t="shared" si="55"/>
        <v>260</v>
      </c>
      <c r="B264" s="22">
        <f t="shared" si="46"/>
        <v>1392.9812952008217</v>
      </c>
      <c r="C264" s="25">
        <f t="shared" si="47"/>
        <v>3477.134377097459</v>
      </c>
      <c r="D264" s="25">
        <f t="shared" si="56"/>
        <v>920850.25722983934</v>
      </c>
      <c r="E264" s="25">
        <f>$C264/((1+'How much will I make'!$C$5/12)^(Calculations!$B$1*12-Calculations!$A264))</f>
        <v>1392.9812952008217</v>
      </c>
      <c r="F264" s="25">
        <f t="shared" si="57"/>
        <v>225459.36120980431</v>
      </c>
      <c r="G264" s="25">
        <f t="shared" si="48"/>
        <v>8646.7444525237115</v>
      </c>
      <c r="H264" s="25">
        <f t="shared" si="58"/>
        <v>4115600.692821017</v>
      </c>
      <c r="I264" s="25">
        <f>G264/((1+'How much will I make'!$C$5/12)^(Calculations!$B$1*12-Calculations!$A264))</f>
        <v>3463.9884400445198</v>
      </c>
      <c r="J264" s="25">
        <f t="shared" si="59"/>
        <v>915317.99395454826</v>
      </c>
      <c r="K264" s="25">
        <f t="shared" si="49"/>
        <v>21421.619448796409</v>
      </c>
      <c r="L264" s="25">
        <f t="shared" si="60"/>
        <v>19998938.873366039</v>
      </c>
      <c r="M264" s="25">
        <f>K264/((1+'How much will I make'!$C$5/12)^(Calculations!$B$1*12-Calculations!$A264))</f>
        <v>8581.7549651309218</v>
      </c>
      <c r="N264" s="25">
        <f t="shared" si="61"/>
        <v>4063318.1173315747</v>
      </c>
      <c r="O264" s="25">
        <f t="shared" si="50"/>
        <v>52872.993902288785</v>
      </c>
      <c r="P264" s="25">
        <f t="shared" si="62"/>
        <v>104194032.41563541</v>
      </c>
      <c r="Q264" s="25">
        <f>O264/((1+'How much will I make'!$C$5/12)^(Calculations!$B$1*12-Calculations!$A264))</f>
        <v>21181.54880992425</v>
      </c>
      <c r="R264" s="25">
        <f t="shared" si="63"/>
        <v>19600167.739330366</v>
      </c>
      <c r="S264" s="25">
        <f t="shared" si="51"/>
        <v>130020.15171049694</v>
      </c>
      <c r="T264" s="25">
        <f t="shared" si="64"/>
        <v>572554099.31137788</v>
      </c>
      <c r="U264" s="25">
        <f>S264/((1+'How much will I make'!$C$5/12)^(Calculations!$B$1*12-Calculations!$A264))</f>
        <v>52087.615746125346</v>
      </c>
      <c r="V264" s="25">
        <f t="shared" si="65"/>
        <v>101329726.91533947</v>
      </c>
      <c r="W264" s="25">
        <f t="shared" si="52"/>
        <v>318563.24823397573</v>
      </c>
      <c r="X264" s="25">
        <f t="shared" si="66"/>
        <v>3269404303.8864818</v>
      </c>
      <c r="Y264" s="25">
        <f>W264/((1+'How much will I make'!$C$5/12)^(Calculations!$B$1*12-Calculations!$A264))</f>
        <v>127620.21768591162</v>
      </c>
      <c r="Z264" s="25">
        <f t="shared" si="67"/>
        <v>552426877.01561761</v>
      </c>
      <c r="AA264" s="25">
        <f t="shared" si="53"/>
        <v>777681.60311290296</v>
      </c>
      <c r="AB264" s="25">
        <f t="shared" si="68"/>
        <v>19173789609.09507</v>
      </c>
      <c r="AC264" s="25">
        <f>AA264/((1+'How much will I make'!$C$5/12)^(Calculations!$B$1*12-Calculations!$A264))</f>
        <v>311548.47908476437</v>
      </c>
      <c r="AD264" s="25">
        <f t="shared" si="69"/>
        <v>3129478898.0268416</v>
      </c>
      <c r="AE264" s="25">
        <f t="shared" si="54"/>
        <v>1891654.8142291717</v>
      </c>
      <c r="AF264" s="25">
        <f t="shared" si="70"/>
        <v>114499761662.06897</v>
      </c>
      <c r="AG264" s="25">
        <f>AE264/((1+'How much will I make'!$C$5/12)^(Calculations!$B$1*12-Calculations!$A264))</f>
        <v>757819.36716447049</v>
      </c>
      <c r="AH264" s="25">
        <f t="shared" si="71"/>
        <v>18208241442.071941</v>
      </c>
    </row>
    <row r="265" spans="1:34" ht="15.75" customHeight="1">
      <c r="A265" s="22">
        <f t="shared" si="55"/>
        <v>261</v>
      </c>
      <c r="B265" s="22">
        <f t="shared" si="46"/>
        <v>1392.9812952008217</v>
      </c>
      <c r="C265" s="25">
        <f t="shared" si="47"/>
        <v>3462.7064336240255</v>
      </c>
      <c r="D265" s="25">
        <f t="shared" si="56"/>
        <v>924312.96366346336</v>
      </c>
      <c r="E265" s="25">
        <f>$C265/((1+'How much will I make'!$C$5/12)^(Calculations!$B$1*12-Calculations!$A265))</f>
        <v>1392.9812952008217</v>
      </c>
      <c r="F265" s="25">
        <f t="shared" si="57"/>
        <v>226852.34250500513</v>
      </c>
      <c r="G265" s="25">
        <f t="shared" si="48"/>
        <v>8575.2837545689708</v>
      </c>
      <c r="H265" s="25">
        <f t="shared" si="58"/>
        <v>4124175.976575586</v>
      </c>
      <c r="I265" s="25">
        <f>G265/((1+'How much will I make'!$C$5/12)^(Calculations!$B$1*12-Calculations!$A265))</f>
        <v>3449.6744382261541</v>
      </c>
      <c r="J265" s="25">
        <f t="shared" si="59"/>
        <v>918767.66839277442</v>
      </c>
      <c r="K265" s="25">
        <f t="shared" si="49"/>
        <v>21157.155011156945</v>
      </c>
      <c r="L265" s="25">
        <f t="shared" si="60"/>
        <v>20020096.028377198</v>
      </c>
      <c r="M265" s="25">
        <f>K265/((1+'How much will I make'!$C$5/12)^(Calculations!$B$1*12-Calculations!$A265))</f>
        <v>8511.1232370228481</v>
      </c>
      <c r="N265" s="25">
        <f t="shared" si="61"/>
        <v>4071829.2405685973</v>
      </c>
      <c r="O265" s="25">
        <f t="shared" si="50"/>
        <v>52006.223510447977</v>
      </c>
      <c r="P265" s="25">
        <f t="shared" si="62"/>
        <v>104246038.63914585</v>
      </c>
      <c r="Q265" s="25">
        <f>O265/((1+'How much will I make'!$C$5/12)^(Calculations!$B$1*12-Calculations!$A265))</f>
        <v>20921.119931113702</v>
      </c>
      <c r="R265" s="25">
        <f t="shared" si="63"/>
        <v>19621088.859261479</v>
      </c>
      <c r="S265" s="25">
        <f t="shared" si="51"/>
        <v>127366.67922660927</v>
      </c>
      <c r="T265" s="25">
        <f t="shared" si="64"/>
        <v>572681465.99060452</v>
      </c>
      <c r="U265" s="25">
        <f>S265/((1+'How much will I make'!$C$5/12)^(Calculations!$B$1*12-Calculations!$A265))</f>
        <v>51237.205693127391</v>
      </c>
      <c r="V265" s="25">
        <f t="shared" si="65"/>
        <v>101380964.1210326</v>
      </c>
      <c r="W265" s="25">
        <f t="shared" si="52"/>
        <v>310793.41291119589</v>
      </c>
      <c r="X265" s="25">
        <f t="shared" si="66"/>
        <v>3269715097.2993932</v>
      </c>
      <c r="Y265" s="25">
        <f>W265/((1+'How much will I make'!$C$5/12)^(Calculations!$B$1*12-Calculations!$A265))</f>
        <v>125026.31082237684</v>
      </c>
      <c r="Z265" s="25">
        <f t="shared" si="67"/>
        <v>552551903.32643998</v>
      </c>
      <c r="AA265" s="25">
        <f t="shared" si="53"/>
        <v>755642.04351051326</v>
      </c>
      <c r="AB265" s="25">
        <f t="shared" si="68"/>
        <v>19174545251.13858</v>
      </c>
      <c r="AC265" s="25">
        <f>AA265/((1+'How much will I make'!$C$5/12)^(Calculations!$B$1*12-Calculations!$A265))</f>
        <v>303980.49983574188</v>
      </c>
      <c r="AD265" s="25">
        <f t="shared" si="69"/>
        <v>3129782878.5266776</v>
      </c>
      <c r="AE265" s="25">
        <f t="shared" si="54"/>
        <v>1830633.6911895203</v>
      </c>
      <c r="AF265" s="25">
        <f t="shared" si="70"/>
        <v>114501592295.76016</v>
      </c>
      <c r="AG265" s="25">
        <f>AE265/((1+'How much will I make'!$C$5/12)^(Calculations!$B$1*12-Calculations!$A265))</f>
        <v>736429.30438160198</v>
      </c>
      <c r="AH265" s="25">
        <f t="shared" si="71"/>
        <v>18208977871.376324</v>
      </c>
    </row>
    <row r="266" spans="1:34" ht="15.75" customHeight="1">
      <c r="A266" s="22">
        <f t="shared" si="55"/>
        <v>262</v>
      </c>
      <c r="B266" s="22">
        <f t="shared" si="46"/>
        <v>1392.9812952008217</v>
      </c>
      <c r="C266" s="25">
        <f t="shared" si="47"/>
        <v>3448.33835713596</v>
      </c>
      <c r="D266" s="25">
        <f t="shared" si="56"/>
        <v>927761.30202059937</v>
      </c>
      <c r="E266" s="25">
        <f>$C266/((1+'How much will I make'!$C$5/12)^(Calculations!$B$1*12-Calculations!$A266))</f>
        <v>1392.9812952008217</v>
      </c>
      <c r="F266" s="25">
        <f t="shared" si="57"/>
        <v>228245.32380020595</v>
      </c>
      <c r="G266" s="25">
        <f t="shared" si="48"/>
        <v>8504.4136408948452</v>
      </c>
      <c r="H266" s="25">
        <f t="shared" si="58"/>
        <v>4132680.3902164809</v>
      </c>
      <c r="I266" s="25">
        <f>G266/((1+'How much will I make'!$C$5/12)^(Calculations!$B$1*12-Calculations!$A266))</f>
        <v>3435.4195851756313</v>
      </c>
      <c r="J266" s="25">
        <f t="shared" si="59"/>
        <v>922203.08797795</v>
      </c>
      <c r="K266" s="25">
        <f t="shared" si="49"/>
        <v>20895.955566574765</v>
      </c>
      <c r="L266" s="25">
        <f t="shared" si="60"/>
        <v>20040991.983943772</v>
      </c>
      <c r="M266" s="25">
        <f>K266/((1+'How much will I make'!$C$5/12)^(Calculations!$B$1*12-Calculations!$A266))</f>
        <v>8441.0728400103126</v>
      </c>
      <c r="N266" s="25">
        <f t="shared" si="61"/>
        <v>4080270.3134086076</v>
      </c>
      <c r="O266" s="25">
        <f t="shared" si="50"/>
        <v>51153.6624692931</v>
      </c>
      <c r="P266" s="25">
        <f t="shared" si="62"/>
        <v>104297192.30161515</v>
      </c>
      <c r="Q266" s="25">
        <f>O266/((1+'How much will I make'!$C$5/12)^(Calculations!$B$1*12-Calculations!$A266))</f>
        <v>20663.893046714762</v>
      </c>
      <c r="R266" s="25">
        <f t="shared" si="63"/>
        <v>19641752.752308194</v>
      </c>
      <c r="S266" s="25">
        <f t="shared" si="51"/>
        <v>124767.35924239278</v>
      </c>
      <c r="T266" s="25">
        <f t="shared" si="64"/>
        <v>572806233.34984696</v>
      </c>
      <c r="U266" s="25">
        <f>S266/((1+'How much will I make'!$C$5/12)^(Calculations!$B$1*12-Calculations!$A266))</f>
        <v>50400.679885892656</v>
      </c>
      <c r="V266" s="25">
        <f t="shared" si="65"/>
        <v>101431364.80091849</v>
      </c>
      <c r="W266" s="25">
        <f t="shared" si="52"/>
        <v>303213.08576702035</v>
      </c>
      <c r="X266" s="25">
        <f t="shared" si="66"/>
        <v>3270018310.38516</v>
      </c>
      <c r="Y266" s="25">
        <f>W266/((1+'How much will I make'!$C$5/12)^(Calculations!$B$1*12-Calculations!$A266))</f>
        <v>122485.12564306019</v>
      </c>
      <c r="Z266" s="25">
        <f t="shared" si="67"/>
        <v>552674388.45208299</v>
      </c>
      <c r="AA266" s="25">
        <f t="shared" si="53"/>
        <v>734227.08681183495</v>
      </c>
      <c r="AB266" s="25">
        <f t="shared" si="68"/>
        <v>19175279478.225391</v>
      </c>
      <c r="AC266" s="25">
        <f>AA266/((1+'How much will I make'!$C$5/12)^(Calculations!$B$1*12-Calculations!$A266))</f>
        <v>296596.35813932709</v>
      </c>
      <c r="AD266" s="25">
        <f t="shared" si="69"/>
        <v>3130079474.8848171</v>
      </c>
      <c r="AE266" s="25">
        <f t="shared" si="54"/>
        <v>1771580.9914737293</v>
      </c>
      <c r="AF266" s="25">
        <f t="shared" si="70"/>
        <v>114503363876.75163</v>
      </c>
      <c r="AG266" s="25">
        <f>AE266/((1+'How much will I make'!$C$5/12)^(Calculations!$B$1*12-Calculations!$A266))</f>
        <v>715642.99337083078</v>
      </c>
      <c r="AH266" s="25">
        <f t="shared" si="71"/>
        <v>18209693514.369694</v>
      </c>
    </row>
    <row r="267" spans="1:34" ht="15.75" customHeight="1">
      <c r="A267" s="22">
        <f t="shared" si="55"/>
        <v>263</v>
      </c>
      <c r="B267" s="22">
        <f t="shared" si="46"/>
        <v>1392.9812952008217</v>
      </c>
      <c r="C267" s="25">
        <f t="shared" si="47"/>
        <v>3434.0298992225316</v>
      </c>
      <c r="D267" s="25">
        <f t="shared" si="56"/>
        <v>931195.33191982191</v>
      </c>
      <c r="E267" s="25">
        <f>$C267/((1+'How much will I make'!$C$5/12)^(Calculations!$B$1*12-Calculations!$A267))</f>
        <v>1392.9812952008217</v>
      </c>
      <c r="F267" s="25">
        <f t="shared" si="57"/>
        <v>229638.30509540677</v>
      </c>
      <c r="G267" s="25">
        <f t="shared" si="48"/>
        <v>8434.1292306395171</v>
      </c>
      <c r="H267" s="25">
        <f t="shared" si="58"/>
        <v>4141114.5194471204</v>
      </c>
      <c r="I267" s="25">
        <f>G267/((1+'How much will I make'!$C$5/12)^(Calculations!$B$1*12-Calculations!$A267))</f>
        <v>3421.2236364765599</v>
      </c>
      <c r="J267" s="25">
        <f t="shared" si="59"/>
        <v>925624.31161442655</v>
      </c>
      <c r="K267" s="25">
        <f t="shared" si="49"/>
        <v>20637.980806493593</v>
      </c>
      <c r="L267" s="25">
        <f t="shared" si="60"/>
        <v>20061629.964750264</v>
      </c>
      <c r="M267" s="25">
        <f>K267/((1+'How much will I make'!$C$5/12)^(Calculations!$B$1*12-Calculations!$A267))</f>
        <v>8371.5989894752511</v>
      </c>
      <c r="N267" s="25">
        <f t="shared" si="61"/>
        <v>4088641.9123980827</v>
      </c>
      <c r="O267" s="25">
        <f t="shared" si="50"/>
        <v>50315.077838648947</v>
      </c>
      <c r="P267" s="25">
        <f t="shared" si="62"/>
        <v>104347507.37945379</v>
      </c>
      <c r="Q267" s="25">
        <f>O267/((1+'How much will I make'!$C$5/12)^(Calculations!$B$1*12-Calculations!$A267))</f>
        <v>20409.828787943683</v>
      </c>
      <c r="R267" s="25">
        <f t="shared" si="63"/>
        <v>19662162.581096139</v>
      </c>
      <c r="S267" s="25">
        <f t="shared" si="51"/>
        <v>122221.08660479294</v>
      </c>
      <c r="T267" s="25">
        <f t="shared" si="64"/>
        <v>572928454.43645179</v>
      </c>
      <c r="U267" s="25">
        <f>S267/((1+'How much will I make'!$C$5/12)^(Calculations!$B$1*12-Calculations!$A267))</f>
        <v>49577.811642857698</v>
      </c>
      <c r="V267" s="25">
        <f t="shared" si="65"/>
        <v>101480942.61256135</v>
      </c>
      <c r="W267" s="25">
        <f t="shared" si="52"/>
        <v>295817.64465075161</v>
      </c>
      <c r="X267" s="25">
        <f t="shared" si="66"/>
        <v>3270314128.0298109</v>
      </c>
      <c r="Y267" s="25">
        <f>W267/((1+'How much will I make'!$C$5/12)^(Calculations!$B$1*12-Calculations!$A267))</f>
        <v>119995.59056901431</v>
      </c>
      <c r="Z267" s="25">
        <f t="shared" si="67"/>
        <v>552794384.04265201</v>
      </c>
      <c r="AA267" s="25">
        <f t="shared" si="53"/>
        <v>713419.0317200016</v>
      </c>
      <c r="AB267" s="25">
        <f t="shared" si="68"/>
        <v>19175992897.257111</v>
      </c>
      <c r="AC267" s="25">
        <f>AA267/((1+'How much will I make'!$C$5/12)^(Calculations!$B$1*12-Calculations!$A267))</f>
        <v>289391.58830598323</v>
      </c>
      <c r="AD267" s="25">
        <f t="shared" si="69"/>
        <v>3130368866.4731231</v>
      </c>
      <c r="AE267" s="25">
        <f t="shared" si="54"/>
        <v>1714433.2175552223</v>
      </c>
      <c r="AF267" s="25">
        <f t="shared" si="70"/>
        <v>114505078309.96919</v>
      </c>
      <c r="AG267" s="25">
        <f>AE267/((1+'How much will I make'!$C$5/12)^(Calculations!$B$1*12-Calculations!$A267))</f>
        <v>695443.39275149326</v>
      </c>
      <c r="AH267" s="25">
        <f t="shared" si="71"/>
        <v>18210388957.762444</v>
      </c>
    </row>
    <row r="268" spans="1:34" ht="15.75" customHeight="1">
      <c r="A268" s="22">
        <f t="shared" si="55"/>
        <v>264</v>
      </c>
      <c r="B268" s="22">
        <f t="shared" si="46"/>
        <v>1392.9812952008217</v>
      </c>
      <c r="C268" s="25">
        <f t="shared" si="47"/>
        <v>3419.7808125037668</v>
      </c>
      <c r="D268" s="25">
        <f t="shared" si="56"/>
        <v>934615.11273232568</v>
      </c>
      <c r="E268" s="25">
        <f>$C268/((1+'How much will I make'!$C$5/12)^(Calculations!$B$1*12-Calculations!$A268))</f>
        <v>1392.9812952008217</v>
      </c>
      <c r="F268" s="25">
        <f t="shared" si="57"/>
        <v>231031.28639060759</v>
      </c>
      <c r="G268" s="25">
        <f t="shared" si="48"/>
        <v>8364.4256832788597</v>
      </c>
      <c r="H268" s="25">
        <f t="shared" si="58"/>
        <v>4149478.9451303994</v>
      </c>
      <c r="I268" s="25">
        <f>G268/((1+'How much will I make'!$C$5/12)^(Calculations!$B$1*12-Calculations!$A268))</f>
        <v>3407.0863487225233</v>
      </c>
      <c r="J268" s="25">
        <f t="shared" si="59"/>
        <v>929031.39796314912</v>
      </c>
      <c r="K268" s="25">
        <f t="shared" si="49"/>
        <v>20383.190919993674</v>
      </c>
      <c r="L268" s="25">
        <f t="shared" si="60"/>
        <v>20082013.155670259</v>
      </c>
      <c r="M268" s="25">
        <f>K268/((1+'How much will I make'!$C$5/12)^(Calculations!$B$1*12-Calculations!$A268))</f>
        <v>8302.6969401791575</v>
      </c>
      <c r="N268" s="25">
        <f t="shared" si="61"/>
        <v>4096944.6093382617</v>
      </c>
      <c r="O268" s="25">
        <f t="shared" si="50"/>
        <v>49490.240497031758</v>
      </c>
      <c r="P268" s="25">
        <f t="shared" si="62"/>
        <v>104396997.61995083</v>
      </c>
      <c r="Q268" s="25">
        <f>O268/((1+'How much will I make'!$C$5/12)^(Calculations!$B$1*12-Calculations!$A268))</f>
        <v>20158.888270059128</v>
      </c>
      <c r="R268" s="25">
        <f t="shared" si="63"/>
        <v>19682321.469366197</v>
      </c>
      <c r="S268" s="25">
        <f t="shared" si="51"/>
        <v>119726.77871489921</v>
      </c>
      <c r="T268" s="25">
        <f t="shared" si="64"/>
        <v>573048181.21516669</v>
      </c>
      <c r="U268" s="25">
        <f>S268/((1+'How much will I make'!$C$5/12)^(Calculations!$B$1*12-Calculations!$A268))</f>
        <v>48768.377983382452</v>
      </c>
      <c r="V268" s="25">
        <f t="shared" si="65"/>
        <v>101529710.99054472</v>
      </c>
      <c r="W268" s="25">
        <f t="shared" si="52"/>
        <v>288602.58014707477</v>
      </c>
      <c r="X268" s="25">
        <f t="shared" si="66"/>
        <v>3270602730.6099582</v>
      </c>
      <c r="Y268" s="25">
        <f>W268/((1+'How much will I make'!$C$5/12)^(Calculations!$B$1*12-Calculations!$A268))</f>
        <v>117556.6558013514</v>
      </c>
      <c r="Z268" s="25">
        <f t="shared" si="67"/>
        <v>552911940.69845331</v>
      </c>
      <c r="AA268" s="25">
        <f t="shared" si="53"/>
        <v>693200.67859433347</v>
      </c>
      <c r="AB268" s="25">
        <f t="shared" si="68"/>
        <v>19176686097.935703</v>
      </c>
      <c r="AC268" s="25">
        <f>AA268/((1+'How much will I make'!$C$5/12)^(Calculations!$B$1*12-Calculations!$A268))</f>
        <v>282361.83312446123</v>
      </c>
      <c r="AD268" s="25">
        <f t="shared" si="69"/>
        <v>3130651228.3062477</v>
      </c>
      <c r="AE268" s="25">
        <f t="shared" si="54"/>
        <v>1659128.9202147308</v>
      </c>
      <c r="AF268" s="25">
        <f t="shared" si="70"/>
        <v>114506737438.8894</v>
      </c>
      <c r="AG268" s="25">
        <f>AE268/((1+'How much will I make'!$C$5/12)^(Calculations!$B$1*12-Calculations!$A268))</f>
        <v>675813.9421496361</v>
      </c>
      <c r="AH268" s="25">
        <f t="shared" si="71"/>
        <v>18211064771.704594</v>
      </c>
    </row>
    <row r="269" spans="1:34" ht="15.75" customHeight="1">
      <c r="A269" s="22">
        <f t="shared" si="55"/>
        <v>265</v>
      </c>
      <c r="B269" s="22">
        <f>B268*(1+'How much will I make'!$C$4)</f>
        <v>1462.630359960863</v>
      </c>
      <c r="C269" s="25">
        <f t="shared" si="47"/>
        <v>3575.8703931574664</v>
      </c>
      <c r="D269" s="25">
        <f t="shared" si="56"/>
        <v>938190.98312548315</v>
      </c>
      <c r="E269" s="25">
        <f>$C269/((1+'How much will I make'!$C$5/12)^(Calculations!$B$1*12-Calculations!$A269))</f>
        <v>1462.630359960863</v>
      </c>
      <c r="F269" s="25">
        <f t="shared" si="57"/>
        <v>232493.91675056846</v>
      </c>
      <c r="G269" s="25">
        <f t="shared" si="48"/>
        <v>8710.0631082077398</v>
      </c>
      <c r="H269" s="25">
        <f t="shared" si="58"/>
        <v>4158189.0082386071</v>
      </c>
      <c r="I269" s="25">
        <f>G269/((1+'How much will I make'!$C$5/12)^(Calculations!$B$1*12-Calculations!$A269))</f>
        <v>3562.657853488573</v>
      </c>
      <c r="J269" s="25">
        <f t="shared" si="59"/>
        <v>932594.0558166377</v>
      </c>
      <c r="K269" s="25">
        <f t="shared" si="49"/>
        <v>21138.123917030476</v>
      </c>
      <c r="L269" s="25">
        <f t="shared" si="60"/>
        <v>20103151.279587291</v>
      </c>
      <c r="M269" s="25">
        <f>K269/((1+'How much will I make'!$C$5/12)^(Calculations!$B$1*12-Calculations!$A269))</f>
        <v>8646.080085235948</v>
      </c>
      <c r="N269" s="25">
        <f t="shared" si="61"/>
        <v>4105590.6894234978</v>
      </c>
      <c r="O269" s="25">
        <f t="shared" si="50"/>
        <v>51112.871333000017</v>
      </c>
      <c r="P269" s="25">
        <f t="shared" si="62"/>
        <v>104448110.49128383</v>
      </c>
      <c r="Q269" s="25">
        <f>O269/((1+'How much will I make'!$C$5/12)^(Calculations!$B$1*12-Calculations!$A269))</f>
        <v>20906.584740731403</v>
      </c>
      <c r="R269" s="25">
        <f t="shared" si="63"/>
        <v>19703228.054106928</v>
      </c>
      <c r="S269" s="25">
        <f t="shared" si="51"/>
        <v>123147.5438210392</v>
      </c>
      <c r="T269" s="25">
        <f t="shared" si="64"/>
        <v>573171328.75898778</v>
      </c>
      <c r="U269" s="25">
        <f>S269/((1+'How much will I make'!$C$5/12)^(Calculations!$B$1*12-Calculations!$A269))</f>
        <v>50370.767545693598</v>
      </c>
      <c r="V269" s="25">
        <f t="shared" si="65"/>
        <v>101580081.75809042</v>
      </c>
      <c r="W269" s="25">
        <f t="shared" si="52"/>
        <v>295641.66746773518</v>
      </c>
      <c r="X269" s="25">
        <f t="shared" si="66"/>
        <v>3270898372.2774258</v>
      </c>
      <c r="Y269" s="25">
        <f>W269/((1+'How much will I make'!$C$5/12)^(Calculations!$B$1*12-Calculations!$A269))</f>
        <v>120925.6575224877</v>
      </c>
      <c r="Z269" s="25">
        <f t="shared" si="67"/>
        <v>553032866.35597575</v>
      </c>
      <c r="AA269" s="25">
        <f t="shared" si="53"/>
        <v>707233.08099502884</v>
      </c>
      <c r="AB269" s="25">
        <f t="shared" si="68"/>
        <v>19177393331.016697</v>
      </c>
      <c r="AC269" s="25">
        <f>AA269/((1+'How much will I make'!$C$5/12)^(Calculations!$B$1*12-Calculations!$A269))</f>
        <v>289277.98328803625</v>
      </c>
      <c r="AD269" s="25">
        <f t="shared" si="69"/>
        <v>3130940506.2895355</v>
      </c>
      <c r="AE269" s="25">
        <f t="shared" si="54"/>
        <v>1685889.064089162</v>
      </c>
      <c r="AF269" s="25">
        <f t="shared" si="70"/>
        <v>114508423327.95349</v>
      </c>
      <c r="AG269" s="25">
        <f>AE269/((1+'How much will I make'!$C$5/12)^(Calculations!$B$1*12-Calculations!$A269))</f>
        <v>689575.47605227993</v>
      </c>
      <c r="AH269" s="25">
        <f t="shared" si="71"/>
        <v>18211754347.180645</v>
      </c>
    </row>
    <row r="270" spans="1:34" ht="15.75" customHeight="1">
      <c r="A270" s="22">
        <f t="shared" si="55"/>
        <v>266</v>
      </c>
      <c r="B270" s="22">
        <f t="shared" ref="B270:B280" si="72">B269</f>
        <v>1462.630359960863</v>
      </c>
      <c r="C270" s="25">
        <f t="shared" si="47"/>
        <v>3561.0327566713345</v>
      </c>
      <c r="D270" s="25">
        <f t="shared" si="56"/>
        <v>941752.01588215446</v>
      </c>
      <c r="E270" s="25">
        <f>$C270/((1+'How much will I make'!$C$5/12)^(Calculations!$B$1*12-Calculations!$A270))</f>
        <v>1462.630359960863</v>
      </c>
      <c r="F270" s="25">
        <f t="shared" si="57"/>
        <v>233956.54711052933</v>
      </c>
      <c r="G270" s="25">
        <f t="shared" si="48"/>
        <v>8638.0791155779261</v>
      </c>
      <c r="H270" s="25">
        <f t="shared" si="58"/>
        <v>4166827.0873541851</v>
      </c>
      <c r="I270" s="25">
        <f>G270/((1+'How much will I make'!$C$5/12)^(Calculations!$B$1*12-Calculations!$A270))</f>
        <v>3547.9361268212674</v>
      </c>
      <c r="J270" s="25">
        <f t="shared" si="59"/>
        <v>936141.99194345903</v>
      </c>
      <c r="K270" s="25">
        <f t="shared" si="49"/>
        <v>20877.159424227633</v>
      </c>
      <c r="L270" s="25">
        <f t="shared" si="60"/>
        <v>20124028.439011518</v>
      </c>
      <c r="M270" s="25">
        <f>K270/((1+'How much will I make'!$C$5/12)^(Calculations!$B$1*12-Calculations!$A270))</f>
        <v>8574.9189322710481</v>
      </c>
      <c r="N270" s="25">
        <f t="shared" si="61"/>
        <v>4114165.608355769</v>
      </c>
      <c r="O270" s="25">
        <f t="shared" si="50"/>
        <v>50274.95540950822</v>
      </c>
      <c r="P270" s="25">
        <f t="shared" si="62"/>
        <v>104498385.44669335</v>
      </c>
      <c r="Q270" s="25">
        <f>O270/((1+'How much will I make'!$C$5/12)^(Calculations!$B$1*12-Calculations!$A270))</f>
        <v>20649.536567689633</v>
      </c>
      <c r="R270" s="25">
        <f t="shared" si="63"/>
        <v>19723877.590674616</v>
      </c>
      <c r="S270" s="25">
        <f t="shared" si="51"/>
        <v>120634.32864101803</v>
      </c>
      <c r="T270" s="25">
        <f t="shared" si="64"/>
        <v>573291963.08762884</v>
      </c>
      <c r="U270" s="25">
        <f>S270/((1+'How much will I make'!$C$5/12)^(Calculations!$B$1*12-Calculations!$A270))</f>
        <v>49548.387667396593</v>
      </c>
      <c r="V270" s="25">
        <f t="shared" si="65"/>
        <v>101629630.14575782</v>
      </c>
      <c r="W270" s="25">
        <f t="shared" si="52"/>
        <v>288430.89509047335</v>
      </c>
      <c r="X270" s="25">
        <f t="shared" si="66"/>
        <v>3271186803.1725163</v>
      </c>
      <c r="Y270" s="25">
        <f>W270/((1+'How much will I make'!$C$5/12)^(Calculations!$B$1*12-Calculations!$A270))</f>
        <v>118467.81895495752</v>
      </c>
      <c r="Z270" s="25">
        <f t="shared" si="67"/>
        <v>553151334.17493069</v>
      </c>
      <c r="AA270" s="25">
        <f t="shared" si="53"/>
        <v>687190.03821379319</v>
      </c>
      <c r="AB270" s="25">
        <f t="shared" si="68"/>
        <v>19178080521.054913</v>
      </c>
      <c r="AC270" s="25">
        <f>AA270/((1+'How much will I make'!$C$5/12)^(Calculations!$B$1*12-Calculations!$A270))</f>
        <v>282250.98774257797</v>
      </c>
      <c r="AD270" s="25">
        <f t="shared" si="69"/>
        <v>3131222757.2772779</v>
      </c>
      <c r="AE270" s="25">
        <f t="shared" si="54"/>
        <v>1631505.5458927371</v>
      </c>
      <c r="AF270" s="25">
        <f t="shared" si="70"/>
        <v>114510054833.49939</v>
      </c>
      <c r="AG270" s="25">
        <f>AE270/((1+'How much will I make'!$C$5/12)^(Calculations!$B$1*12-Calculations!$A270))</f>
        <v>670111.65213144955</v>
      </c>
      <c r="AH270" s="25">
        <f t="shared" si="71"/>
        <v>18212424458.832775</v>
      </c>
    </row>
    <row r="271" spans="1:34" ht="15.75" customHeight="1">
      <c r="A271" s="22">
        <f t="shared" si="55"/>
        <v>267</v>
      </c>
      <c r="B271" s="22">
        <f t="shared" si="72"/>
        <v>1462.630359960863</v>
      </c>
      <c r="C271" s="25">
        <f t="shared" si="47"/>
        <v>3546.2566871415784</v>
      </c>
      <c r="D271" s="25">
        <f t="shared" si="56"/>
        <v>945298.27256929607</v>
      </c>
      <c r="E271" s="25">
        <f>$C271/((1+'How much will I make'!$C$5/12)^(Calculations!$B$1*12-Calculations!$A271))</f>
        <v>1462.630359960863</v>
      </c>
      <c r="F271" s="25">
        <f t="shared" si="57"/>
        <v>235419.17747049019</v>
      </c>
      <c r="G271" s="25">
        <f t="shared" si="48"/>
        <v>8566.6900319781071</v>
      </c>
      <c r="H271" s="25">
        <f t="shared" si="58"/>
        <v>4175393.7773861634</v>
      </c>
      <c r="I271" s="25">
        <f>G271/((1+'How much will I make'!$C$5/12)^(Calculations!$B$1*12-Calculations!$A271))</f>
        <v>3533.2752337352276</v>
      </c>
      <c r="J271" s="25">
        <f t="shared" si="59"/>
        <v>939675.26717719424</v>
      </c>
      <c r="K271" s="25">
        <f t="shared" si="49"/>
        <v>20619.416715286548</v>
      </c>
      <c r="L271" s="25">
        <f t="shared" si="60"/>
        <v>20144647.855726805</v>
      </c>
      <c r="M271" s="25">
        <f>K271/((1+'How much will I make'!$C$5/12)^(Calculations!$B$1*12-Calculations!$A271))</f>
        <v>8504.3434678079084</v>
      </c>
      <c r="N271" s="25">
        <f t="shared" si="61"/>
        <v>4122669.9518235768</v>
      </c>
      <c r="O271" s="25">
        <f t="shared" si="50"/>
        <v>49450.775812631029</v>
      </c>
      <c r="P271" s="25">
        <f t="shared" si="62"/>
        <v>104547836.22250597</v>
      </c>
      <c r="Q271" s="25">
        <f>O271/((1+'How much will I make'!$C$5/12)^(Calculations!$B$1*12-Calculations!$A271))</f>
        <v>20395.648823004918</v>
      </c>
      <c r="R271" s="25">
        <f t="shared" si="63"/>
        <v>19744273.239497621</v>
      </c>
      <c r="S271" s="25">
        <f t="shared" si="51"/>
        <v>118172.40356671154</v>
      </c>
      <c r="T271" s="25">
        <f t="shared" si="64"/>
        <v>573410135.49119556</v>
      </c>
      <c r="U271" s="25">
        <f>S271/((1+'How much will I make'!$C$5/12)^(Calculations!$B$1*12-Calculations!$A271))</f>
        <v>48739.434399357458</v>
      </c>
      <c r="V271" s="25">
        <f t="shared" si="65"/>
        <v>101678369.58015718</v>
      </c>
      <c r="W271" s="25">
        <f t="shared" si="52"/>
        <v>281395.99521021795</v>
      </c>
      <c r="X271" s="25">
        <f t="shared" si="66"/>
        <v>3271468199.1677265</v>
      </c>
      <c r="Y271" s="25">
        <f>W271/((1+'How much will I make'!$C$5/12)^(Calculations!$B$1*12-Calculations!$A271))</f>
        <v>116059.93645587302</v>
      </c>
      <c r="Z271" s="25">
        <f t="shared" si="67"/>
        <v>553267394.11138654</v>
      </c>
      <c r="AA271" s="25">
        <f t="shared" si="53"/>
        <v>667715.01688789623</v>
      </c>
      <c r="AB271" s="25">
        <f t="shared" si="68"/>
        <v>19178748236.0718</v>
      </c>
      <c r="AC271" s="25">
        <f>AA271/((1+'How much will I make'!$C$5/12)^(Calculations!$B$1*12-Calculations!$A271))</f>
        <v>275394.68844518735</v>
      </c>
      <c r="AD271" s="25">
        <f t="shared" si="69"/>
        <v>3131498151.965723</v>
      </c>
      <c r="AE271" s="25">
        <f t="shared" si="54"/>
        <v>1578876.3347349069</v>
      </c>
      <c r="AF271" s="25">
        <f t="shared" si="70"/>
        <v>114511633709.83412</v>
      </c>
      <c r="AG271" s="25">
        <f>AE271/((1+'How much will I make'!$C$5/12)^(Calculations!$B$1*12-Calculations!$A271))</f>
        <v>651197.21033741662</v>
      </c>
      <c r="AH271" s="25">
        <f t="shared" si="71"/>
        <v>18213075656.043114</v>
      </c>
    </row>
    <row r="272" spans="1:34" ht="15.75" customHeight="1">
      <c r="A272" s="22">
        <f t="shared" si="55"/>
        <v>268</v>
      </c>
      <c r="B272" s="22">
        <f t="shared" si="72"/>
        <v>1462.630359960863</v>
      </c>
      <c r="C272" s="25">
        <f t="shared" si="47"/>
        <v>3531.5419291036469</v>
      </c>
      <c r="D272" s="25">
        <f t="shared" si="56"/>
        <v>948829.81449839973</v>
      </c>
      <c r="E272" s="25">
        <f>$C272/((1+'How much will I make'!$C$5/12)^(Calculations!$B$1*12-Calculations!$A272))</f>
        <v>1462.630359960863</v>
      </c>
      <c r="F272" s="25">
        <f t="shared" si="57"/>
        <v>236881.80783045106</v>
      </c>
      <c r="G272" s="25">
        <f t="shared" si="48"/>
        <v>8495.8909408047348</v>
      </c>
      <c r="H272" s="25">
        <f t="shared" si="58"/>
        <v>4183889.6683269683</v>
      </c>
      <c r="I272" s="25">
        <f>G272/((1+'How much will I make'!$C$5/12)^(Calculations!$B$1*12-Calculations!$A272))</f>
        <v>3518.6749228520243</v>
      </c>
      <c r="J272" s="25">
        <f t="shared" si="59"/>
        <v>943193.94210004632</v>
      </c>
      <c r="K272" s="25">
        <f t="shared" si="49"/>
        <v>20364.85601509783</v>
      </c>
      <c r="L272" s="25">
        <f t="shared" si="60"/>
        <v>20165012.711741902</v>
      </c>
      <c r="M272" s="25">
        <f>K272/((1+'How much will I make'!$C$5/12)^(Calculations!$B$1*12-Calculations!$A272))</f>
        <v>8434.3488713650477</v>
      </c>
      <c r="N272" s="25">
        <f t="shared" si="61"/>
        <v>4131104.300694942</v>
      </c>
      <c r="O272" s="25">
        <f t="shared" si="50"/>
        <v>48640.107356686269</v>
      </c>
      <c r="P272" s="25">
        <f t="shared" si="62"/>
        <v>104596476.32986265</v>
      </c>
      <c r="Q272" s="25">
        <f>O272/((1+'How much will I make'!$C$5/12)^(Calculations!$B$1*12-Calculations!$A272))</f>
        <v>20144.882648951581</v>
      </c>
      <c r="R272" s="25">
        <f t="shared" si="63"/>
        <v>19764418.122146573</v>
      </c>
      <c r="S272" s="25">
        <f t="shared" si="51"/>
        <v>115760.72186126845</v>
      </c>
      <c r="T272" s="25">
        <f t="shared" si="64"/>
        <v>573525896.2130568</v>
      </c>
      <c r="U272" s="25">
        <f>S272/((1+'How much will I make'!$C$5/12)^(Calculations!$B$1*12-Calculations!$A272))</f>
        <v>47943.688531612846</v>
      </c>
      <c r="V272" s="25">
        <f t="shared" si="65"/>
        <v>101726313.26868878</v>
      </c>
      <c r="W272" s="25">
        <f t="shared" si="52"/>
        <v>274532.67825387116</v>
      </c>
      <c r="X272" s="25">
        <f t="shared" si="66"/>
        <v>3271742731.8459802</v>
      </c>
      <c r="Y272" s="25">
        <f>W272/((1+'How much will I make'!$C$5/12)^(Calculations!$B$1*12-Calculations!$A272))</f>
        <v>113700.9946579894</v>
      </c>
      <c r="Z272" s="25">
        <f t="shared" si="67"/>
        <v>553381095.10604453</v>
      </c>
      <c r="AA272" s="25">
        <f t="shared" si="53"/>
        <v>648791.9192433001</v>
      </c>
      <c r="AB272" s="25">
        <f t="shared" si="68"/>
        <v>19179397027.991043</v>
      </c>
      <c r="AC272" s="25">
        <f>AA272/((1+'How much will I make'!$C$5/12)^(Calculations!$B$1*12-Calculations!$A272))</f>
        <v>268704.93892830028</v>
      </c>
      <c r="AD272" s="25">
        <f t="shared" si="69"/>
        <v>3131766856.9046512</v>
      </c>
      <c r="AE272" s="25">
        <f t="shared" si="54"/>
        <v>1527944.8400660385</v>
      </c>
      <c r="AF272" s="25">
        <f t="shared" si="70"/>
        <v>114513161654.67419</v>
      </c>
      <c r="AG272" s="25">
        <f>AE272/((1+'How much will I make'!$C$5/12)^(Calculations!$B$1*12-Calculations!$A272))</f>
        <v>632816.64391660225</v>
      </c>
      <c r="AH272" s="25">
        <f t="shared" si="71"/>
        <v>18213708472.687031</v>
      </c>
    </row>
    <row r="273" spans="1:34" ht="15.75" customHeight="1">
      <c r="A273" s="22">
        <f t="shared" si="55"/>
        <v>269</v>
      </c>
      <c r="B273" s="22">
        <f t="shared" si="72"/>
        <v>1462.630359960863</v>
      </c>
      <c r="C273" s="25">
        <f t="shared" si="47"/>
        <v>3516.8882281530091</v>
      </c>
      <c r="D273" s="25">
        <f t="shared" si="56"/>
        <v>952346.70272655273</v>
      </c>
      <c r="E273" s="25">
        <f>$C273/((1+'How much will I make'!$C$5/12)^(Calculations!$B$1*12-Calculations!$A273))</f>
        <v>1462.630359960863</v>
      </c>
      <c r="F273" s="25">
        <f t="shared" si="57"/>
        <v>238344.43819041192</v>
      </c>
      <c r="G273" s="25">
        <f t="shared" si="48"/>
        <v>8425.6769660873415</v>
      </c>
      <c r="H273" s="25">
        <f t="shared" si="58"/>
        <v>4192315.3452930558</v>
      </c>
      <c r="I273" s="25">
        <f>G273/((1+'How much will I make'!$C$5/12)^(Calculations!$B$1*12-Calculations!$A273))</f>
        <v>3504.1349438319753</v>
      </c>
      <c r="J273" s="25">
        <f t="shared" si="59"/>
        <v>946698.07704387826</v>
      </c>
      <c r="K273" s="25">
        <f t="shared" si="49"/>
        <v>20113.438039602795</v>
      </c>
      <c r="L273" s="25">
        <f t="shared" si="60"/>
        <v>20185126.149781507</v>
      </c>
      <c r="M273" s="25">
        <f>K273/((1+'How much will I make'!$C$5/12)^(Calculations!$B$1*12-Calculations!$A273))</f>
        <v>8364.9303621357049</v>
      </c>
      <c r="N273" s="25">
        <f t="shared" si="61"/>
        <v>4139469.2310570776</v>
      </c>
      <c r="O273" s="25">
        <f t="shared" si="50"/>
        <v>47842.728547560255</v>
      </c>
      <c r="P273" s="25">
        <f t="shared" si="62"/>
        <v>104644319.05841021</v>
      </c>
      <c r="Q273" s="25">
        <f>O273/((1+'How much will I make'!$C$5/12)^(Calculations!$B$1*12-Calculations!$A273))</f>
        <v>19897.199665562832</v>
      </c>
      <c r="R273" s="25">
        <f t="shared" si="63"/>
        <v>19784315.321812134</v>
      </c>
      <c r="S273" s="25">
        <f t="shared" si="51"/>
        <v>113398.25814981399</v>
      </c>
      <c r="T273" s="25">
        <f t="shared" si="64"/>
        <v>573639294.47120667</v>
      </c>
      <c r="U273" s="25">
        <f>S273/((1+'How much will I make'!$C$5/12)^(Calculations!$B$1*12-Calculations!$A273))</f>
        <v>47160.934433137532</v>
      </c>
      <c r="V273" s="25">
        <f t="shared" si="65"/>
        <v>101773474.20312192</v>
      </c>
      <c r="W273" s="25">
        <f t="shared" si="52"/>
        <v>267836.75927206944</v>
      </c>
      <c r="X273" s="25">
        <f t="shared" si="66"/>
        <v>3272010568.6052523</v>
      </c>
      <c r="Y273" s="25">
        <f>W273/((1+'How much will I make'!$C$5/12)^(Calculations!$B$1*12-Calculations!$A273))</f>
        <v>111389.99883160752</v>
      </c>
      <c r="Z273" s="25">
        <f t="shared" si="67"/>
        <v>553492485.10487616</v>
      </c>
      <c r="AA273" s="25">
        <f t="shared" si="53"/>
        <v>630405.10371818638</v>
      </c>
      <c r="AB273" s="25">
        <f t="shared" si="68"/>
        <v>19180027433.094761</v>
      </c>
      <c r="AC273" s="25">
        <f>AA273/((1+'How much will I make'!$C$5/12)^(Calculations!$B$1*12-Calculations!$A273))</f>
        <v>262177.6934482606</v>
      </c>
      <c r="AD273" s="25">
        <f t="shared" si="69"/>
        <v>3132029034.5980992</v>
      </c>
      <c r="AE273" s="25">
        <f t="shared" si="54"/>
        <v>1478656.2968381017</v>
      </c>
      <c r="AF273" s="25">
        <f t="shared" si="70"/>
        <v>114514640310.97104</v>
      </c>
      <c r="AG273" s="25">
        <f>AE273/((1+'How much will I make'!$C$5/12)^(Calculations!$B$1*12-Calculations!$A273))</f>
        <v>614954.88380605297</v>
      </c>
      <c r="AH273" s="25">
        <f t="shared" si="71"/>
        <v>18214323427.570835</v>
      </c>
    </row>
    <row r="274" spans="1:34" ht="15.75" customHeight="1">
      <c r="A274" s="22">
        <f t="shared" si="55"/>
        <v>270</v>
      </c>
      <c r="B274" s="22">
        <f t="shared" si="72"/>
        <v>1462.630359960863</v>
      </c>
      <c r="C274" s="25">
        <f t="shared" si="47"/>
        <v>3502.2953309407549</v>
      </c>
      <c r="D274" s="25">
        <f t="shared" si="56"/>
        <v>955848.99805749347</v>
      </c>
      <c r="E274" s="25">
        <f>$C274/((1+'How much will I make'!$C$5/12)^(Calculations!$B$1*12-Calculations!$A274))</f>
        <v>1462.630359960863</v>
      </c>
      <c r="F274" s="25">
        <f t="shared" si="57"/>
        <v>239807.06855037279</v>
      </c>
      <c r="G274" s="25">
        <f t="shared" si="48"/>
        <v>8356.0432721527359</v>
      </c>
      <c r="H274" s="25">
        <f t="shared" si="58"/>
        <v>4200671.3885652088</v>
      </c>
      <c r="I274" s="25">
        <f>G274/((1+'How much will I make'!$C$5/12)^(Calculations!$B$1*12-Calculations!$A274))</f>
        <v>3489.6550473698608</v>
      </c>
      <c r="J274" s="25">
        <f t="shared" si="59"/>
        <v>950187.73209124815</v>
      </c>
      <c r="K274" s="25">
        <f t="shared" si="49"/>
        <v>19865.123989731157</v>
      </c>
      <c r="L274" s="25">
        <f t="shared" si="60"/>
        <v>20204991.273771238</v>
      </c>
      <c r="M274" s="25">
        <f>K274/((1+'How much will I make'!$C$5/12)^(Calculations!$B$1*12-Calculations!$A274))</f>
        <v>8296.0831986613393</v>
      </c>
      <c r="N274" s="25">
        <f t="shared" si="61"/>
        <v>4147765.3142557391</v>
      </c>
      <c r="O274" s="25">
        <f t="shared" si="50"/>
        <v>47058.421522190423</v>
      </c>
      <c r="P274" s="25">
        <f t="shared" si="62"/>
        <v>104691377.4799324</v>
      </c>
      <c r="Q274" s="25">
        <f>O274/((1+'How much will I make'!$C$5/12)^(Calculations!$B$1*12-Calculations!$A274))</f>
        <v>19652.56196475674</v>
      </c>
      <c r="R274" s="25">
        <f t="shared" si="63"/>
        <v>19803967.883776892</v>
      </c>
      <c r="S274" s="25">
        <f t="shared" si="51"/>
        <v>111084.00798349128</v>
      </c>
      <c r="T274" s="25">
        <f t="shared" si="64"/>
        <v>573750378.47919011</v>
      </c>
      <c r="U274" s="25">
        <f>S274/((1+'How much will I make'!$C$5/12)^(Calculations!$B$1*12-Calculations!$A274))</f>
        <v>46390.959993412856</v>
      </c>
      <c r="V274" s="25">
        <f t="shared" si="65"/>
        <v>101819865.16311532</v>
      </c>
      <c r="W274" s="25">
        <f t="shared" si="52"/>
        <v>261304.15538738485</v>
      </c>
      <c r="X274" s="25">
        <f t="shared" si="66"/>
        <v>3272271872.7606397</v>
      </c>
      <c r="Y274" s="25">
        <f>W274/((1+'How much will I make'!$C$5/12)^(Calculations!$B$1*12-Calculations!$A274))</f>
        <v>109125.97446511147</v>
      </c>
      <c r="Z274" s="25">
        <f t="shared" si="67"/>
        <v>553601611.07934129</v>
      </c>
      <c r="AA274" s="25">
        <f t="shared" si="53"/>
        <v>612539.37203386542</v>
      </c>
      <c r="AB274" s="25">
        <f t="shared" si="68"/>
        <v>19180639972.466793</v>
      </c>
      <c r="AC274" s="25">
        <f>AA274/((1+'How much will I make'!$C$5/12)^(Calculations!$B$1*12-Calculations!$A274))</f>
        <v>255809.00453858639</v>
      </c>
      <c r="AD274" s="25">
        <f t="shared" si="69"/>
        <v>3132284843.6026378</v>
      </c>
      <c r="AE274" s="25">
        <f t="shared" si="54"/>
        <v>1430957.7066175179</v>
      </c>
      <c r="AF274" s="25">
        <f t="shared" si="70"/>
        <v>114516071268.67766</v>
      </c>
      <c r="AG274" s="25">
        <f>AE274/((1+'How much will I make'!$C$5/12)^(Calculations!$B$1*12-Calculations!$A274))</f>
        <v>597597.28627926938</v>
      </c>
      <c r="AH274" s="25">
        <f t="shared" si="71"/>
        <v>18214921024.857113</v>
      </c>
    </row>
    <row r="275" spans="1:34" ht="15.75" customHeight="1">
      <c r="A275" s="22">
        <f t="shared" si="55"/>
        <v>271</v>
      </c>
      <c r="B275" s="22">
        <f t="shared" si="72"/>
        <v>1462.630359960863</v>
      </c>
      <c r="C275" s="25">
        <f t="shared" si="47"/>
        <v>3487.7629851692172</v>
      </c>
      <c r="D275" s="25">
        <f t="shared" si="56"/>
        <v>959336.76104266266</v>
      </c>
      <c r="E275" s="25">
        <f>$C275/((1+'How much will I make'!$C$5/12)^(Calculations!$B$1*12-Calculations!$A275))</f>
        <v>1462.630359960863</v>
      </c>
      <c r="F275" s="25">
        <f t="shared" si="57"/>
        <v>241269.69891033365</v>
      </c>
      <c r="G275" s="25">
        <f t="shared" si="48"/>
        <v>8286.9850632919697</v>
      </c>
      <c r="H275" s="25">
        <f t="shared" si="58"/>
        <v>4208958.3736285008</v>
      </c>
      <c r="I275" s="25">
        <f>G275/((1+'How much will I make'!$C$5/12)^(Calculations!$B$1*12-Calculations!$A275))</f>
        <v>3475.2349851906461</v>
      </c>
      <c r="J275" s="25">
        <f t="shared" si="59"/>
        <v>953662.96707643883</v>
      </c>
      <c r="K275" s="25">
        <f t="shared" si="49"/>
        <v>19619.875545413488</v>
      </c>
      <c r="L275" s="25">
        <f t="shared" si="60"/>
        <v>20224611.14931665</v>
      </c>
      <c r="M275" s="25">
        <f>K275/((1+'How much will I make'!$C$5/12)^(Calculations!$B$1*12-Calculations!$A275))</f>
        <v>8227.8026785077473</v>
      </c>
      <c r="N275" s="25">
        <f t="shared" si="61"/>
        <v>4155993.1169342468</v>
      </c>
      <c r="O275" s="25">
        <f t="shared" si="50"/>
        <v>46286.971989039761</v>
      </c>
      <c r="P275" s="25">
        <f t="shared" si="62"/>
        <v>104737664.45192143</v>
      </c>
      <c r="Q275" s="25">
        <f>O275/((1+'How much will I make'!$C$5/12)^(Calculations!$B$1*12-Calculations!$A275))</f>
        <v>19410.932104534317</v>
      </c>
      <c r="R275" s="25">
        <f t="shared" si="63"/>
        <v>19823378.815881427</v>
      </c>
      <c r="S275" s="25">
        <f t="shared" si="51"/>
        <v>108816.98741239964</v>
      </c>
      <c r="T275" s="25">
        <f t="shared" si="64"/>
        <v>573859195.46660256</v>
      </c>
      <c r="U275" s="25">
        <f>S275/((1+'How much will I make'!$C$5/12)^(Calculations!$B$1*12-Calculations!$A275))</f>
        <v>45633.55656494898</v>
      </c>
      <c r="V275" s="25">
        <f t="shared" si="65"/>
        <v>101865498.71968026</v>
      </c>
      <c r="W275" s="25">
        <f t="shared" si="52"/>
        <v>254930.88330476568</v>
      </c>
      <c r="X275" s="25">
        <f t="shared" si="66"/>
        <v>3272526803.6439443</v>
      </c>
      <c r="Y275" s="25">
        <f>W275/((1+'How much will I make'!$C$5/12)^(Calculations!$B$1*12-Calculations!$A275))</f>
        <v>106907.96685403194</v>
      </c>
      <c r="Z275" s="25">
        <f t="shared" si="67"/>
        <v>553708519.04619527</v>
      </c>
      <c r="AA275" s="25">
        <f t="shared" si="53"/>
        <v>595179.95663209597</v>
      </c>
      <c r="AB275" s="25">
        <f t="shared" si="68"/>
        <v>19181235152.423424</v>
      </c>
      <c r="AC275" s="25">
        <f>AA275/((1+'How much will I make'!$C$5/12)^(Calculations!$B$1*12-Calculations!$A275))</f>
        <v>249595.02062266928</v>
      </c>
      <c r="AD275" s="25">
        <f t="shared" si="69"/>
        <v>3132534438.6232605</v>
      </c>
      <c r="AE275" s="25">
        <f t="shared" si="54"/>
        <v>1384797.7805975976</v>
      </c>
      <c r="AF275" s="25">
        <f t="shared" si="70"/>
        <v>114517456066.45825</v>
      </c>
      <c r="AG275" s="25">
        <f>AE275/((1+'How much will I make'!$C$5/12)^(Calculations!$B$1*12-Calculations!$A275))</f>
        <v>580729.62094074138</v>
      </c>
      <c r="AH275" s="25">
        <f t="shared" si="71"/>
        <v>18215501754.478054</v>
      </c>
    </row>
    <row r="276" spans="1:34" ht="15.75" customHeight="1">
      <c r="A276" s="22">
        <f t="shared" si="55"/>
        <v>272</v>
      </c>
      <c r="B276" s="22">
        <f t="shared" si="72"/>
        <v>1462.630359960863</v>
      </c>
      <c r="C276" s="25">
        <f t="shared" si="47"/>
        <v>3473.2909395876022</v>
      </c>
      <c r="D276" s="25">
        <f t="shared" si="56"/>
        <v>962810.0519822503</v>
      </c>
      <c r="E276" s="25">
        <f>$C276/((1+'How much will I make'!$C$5/12)^(Calculations!$B$1*12-Calculations!$A276))</f>
        <v>1462.630359960863</v>
      </c>
      <c r="F276" s="25">
        <f t="shared" si="57"/>
        <v>242732.32927029452</v>
      </c>
      <c r="G276" s="25">
        <f t="shared" si="48"/>
        <v>8218.4975834300512</v>
      </c>
      <c r="H276" s="25">
        <f t="shared" si="58"/>
        <v>4217176.8712119311</v>
      </c>
      <c r="I276" s="25">
        <f>G276/((1+'How much will I make'!$C$5/12)^(Calculations!$B$1*12-Calculations!$A276))</f>
        <v>3460.8745100452297</v>
      </c>
      <c r="J276" s="25">
        <f t="shared" si="59"/>
        <v>957123.84158648411</v>
      </c>
      <c r="K276" s="25">
        <f t="shared" si="49"/>
        <v>19377.654859667644</v>
      </c>
      <c r="L276" s="25">
        <f t="shared" si="60"/>
        <v>20243988.804176316</v>
      </c>
      <c r="M276" s="25">
        <f>K276/((1+'How much will I make'!$C$5/12)^(Calculations!$B$1*12-Calculations!$A276))</f>
        <v>8160.084137943898</v>
      </c>
      <c r="N276" s="25">
        <f t="shared" si="61"/>
        <v>4164153.2010721909</v>
      </c>
      <c r="O276" s="25">
        <f t="shared" si="50"/>
        <v>45528.169169547313</v>
      </c>
      <c r="P276" s="25">
        <f t="shared" si="62"/>
        <v>104783192.62109098</v>
      </c>
      <c r="Q276" s="25">
        <f>O276/((1+'How much will I make'!$C$5/12)^(Calculations!$B$1*12-Calculations!$A276))</f>
        <v>19172.273103249063</v>
      </c>
      <c r="R276" s="25">
        <f t="shared" si="63"/>
        <v>19842551.088984676</v>
      </c>
      <c r="S276" s="25">
        <f t="shared" si="51"/>
        <v>106596.23256724865</v>
      </c>
      <c r="T276" s="25">
        <f t="shared" si="64"/>
        <v>573965791.69916975</v>
      </c>
      <c r="U276" s="25">
        <f>S276/((1+'How much will I make'!$C$5/12)^(Calculations!$B$1*12-Calculations!$A276))</f>
        <v>44888.51890674574</v>
      </c>
      <c r="V276" s="25">
        <f t="shared" si="65"/>
        <v>101910387.23858701</v>
      </c>
      <c r="W276" s="25">
        <f t="shared" si="52"/>
        <v>248713.05688269823</v>
      </c>
      <c r="X276" s="25">
        <f t="shared" si="66"/>
        <v>3272775516.7008271</v>
      </c>
      <c r="Y276" s="25">
        <f>W276/((1+'How much will I make'!$C$5/12)^(Calculations!$B$1*12-Calculations!$A276))</f>
        <v>104735.04069846219</v>
      </c>
      <c r="Z276" s="25">
        <f t="shared" si="67"/>
        <v>553813254.08689368</v>
      </c>
      <c r="AA276" s="25">
        <f t="shared" si="53"/>
        <v>578312.5084684334</v>
      </c>
      <c r="AB276" s="25">
        <f t="shared" si="68"/>
        <v>19181813464.931892</v>
      </c>
      <c r="AC276" s="25">
        <f>AA276/((1+'How much will I make'!$C$5/12)^(Calculations!$B$1*12-Calculations!$A276))</f>
        <v>243531.9836844668</v>
      </c>
      <c r="AD276" s="25">
        <f t="shared" si="69"/>
        <v>3132777970.606945</v>
      </c>
      <c r="AE276" s="25">
        <f t="shared" si="54"/>
        <v>1340126.884449288</v>
      </c>
      <c r="AF276" s="25">
        <f t="shared" si="70"/>
        <v>114518796193.3427</v>
      </c>
      <c r="AG276" s="25">
        <f>AE276/((1+'How much will I make'!$C$5/12)^(Calculations!$B$1*12-Calculations!$A276))</f>
        <v>564338.05905934959</v>
      </c>
      <c r="AH276" s="25">
        <f t="shared" si="71"/>
        <v>18216066092.537113</v>
      </c>
    </row>
    <row r="277" spans="1:34" ht="15.75" customHeight="1">
      <c r="A277" s="22">
        <f t="shared" si="55"/>
        <v>273</v>
      </c>
      <c r="B277" s="22">
        <f t="shared" si="72"/>
        <v>1462.630359960863</v>
      </c>
      <c r="C277" s="25">
        <f t="shared" si="47"/>
        <v>3458.8789439876541</v>
      </c>
      <c r="D277" s="25">
        <f t="shared" si="56"/>
        <v>966268.93092623795</v>
      </c>
      <c r="E277" s="25">
        <f>$C277/((1+'How much will I make'!$C$5/12)^(Calculations!$B$1*12-Calculations!$A277))</f>
        <v>1462.630359960863</v>
      </c>
      <c r="F277" s="25">
        <f t="shared" si="57"/>
        <v>244194.95963025538</v>
      </c>
      <c r="G277" s="25">
        <f t="shared" si="48"/>
        <v>8150.5761157983998</v>
      </c>
      <c r="H277" s="25">
        <f t="shared" si="58"/>
        <v>4225327.4473277293</v>
      </c>
      <c r="I277" s="25">
        <f>G277/((1+'How much will I make'!$C$5/12)^(Calculations!$B$1*12-Calculations!$A277))</f>
        <v>3446.5733757062003</v>
      </c>
      <c r="J277" s="25">
        <f t="shared" si="59"/>
        <v>960570.41496219032</v>
      </c>
      <c r="K277" s="25">
        <f t="shared" si="49"/>
        <v>19138.424552758162</v>
      </c>
      <c r="L277" s="25">
        <f t="shared" si="60"/>
        <v>20263127.228729073</v>
      </c>
      <c r="M277" s="25">
        <f>K277/((1+'How much will I make'!$C$5/12)^(Calculations!$B$1*12-Calculations!$A277))</f>
        <v>8092.92295162337</v>
      </c>
      <c r="N277" s="25">
        <f t="shared" si="61"/>
        <v>4172246.1240238142</v>
      </c>
      <c r="O277" s="25">
        <f t="shared" si="50"/>
        <v>44781.80574053833</v>
      </c>
      <c r="P277" s="25">
        <f t="shared" si="62"/>
        <v>104827974.42683151</v>
      </c>
      <c r="Q277" s="25">
        <f>O277/((1+'How much will I make'!$C$5/12)^(Calculations!$B$1*12-Calculations!$A277))</f>
        <v>18936.548433946813</v>
      </c>
      <c r="R277" s="25">
        <f t="shared" si="63"/>
        <v>19861487.637418624</v>
      </c>
      <c r="S277" s="25">
        <f t="shared" si="51"/>
        <v>104420.79924954969</v>
      </c>
      <c r="T277" s="25">
        <f t="shared" si="64"/>
        <v>574070212.49841928</v>
      </c>
      <c r="U277" s="25">
        <f>S277/((1+'How much will I make'!$C$5/12)^(Calculations!$B$1*12-Calculations!$A277))</f>
        <v>44155.645128676413</v>
      </c>
      <c r="V277" s="25">
        <f t="shared" si="65"/>
        <v>101954542.88371569</v>
      </c>
      <c r="W277" s="25">
        <f t="shared" si="52"/>
        <v>242646.8847636081</v>
      </c>
      <c r="X277" s="25">
        <f t="shared" si="66"/>
        <v>3273018163.5855908</v>
      </c>
      <c r="Y277" s="25">
        <f>W277/((1+'How much will I make'!$C$5/12)^(Calculations!$B$1*12-Calculations!$A277))</f>
        <v>102606.27970865606</v>
      </c>
      <c r="Z277" s="25">
        <f t="shared" si="67"/>
        <v>553915860.3666023</v>
      </c>
      <c r="AA277" s="25">
        <f t="shared" si="53"/>
        <v>561923.08515151439</v>
      </c>
      <c r="AB277" s="25">
        <f t="shared" si="68"/>
        <v>19182375388.017044</v>
      </c>
      <c r="AC277" s="25">
        <f>AA277/((1+'How much will I make'!$C$5/12)^(Calculations!$B$1*12-Calculations!$A277))</f>
        <v>237616.22699577536</v>
      </c>
      <c r="AD277" s="25">
        <f t="shared" si="69"/>
        <v>3133015586.833941</v>
      </c>
      <c r="AE277" s="25">
        <f t="shared" si="54"/>
        <v>1296896.9849509236</v>
      </c>
      <c r="AF277" s="25">
        <f t="shared" si="70"/>
        <v>114520093090.32765</v>
      </c>
      <c r="AG277" s="25">
        <f>AE277/((1+'How much will I make'!$C$5/12)^(Calculations!$B$1*12-Calculations!$A277))</f>
        <v>548409.16223106126</v>
      </c>
      <c r="AH277" s="25">
        <f t="shared" si="71"/>
        <v>18216614501.699345</v>
      </c>
    </row>
    <row r="278" spans="1:34" ht="15.75" customHeight="1">
      <c r="A278" s="22">
        <f t="shared" si="55"/>
        <v>274</v>
      </c>
      <c r="B278" s="22">
        <f t="shared" si="72"/>
        <v>1462.630359960863</v>
      </c>
      <c r="C278" s="25">
        <f t="shared" si="47"/>
        <v>3444.5267491993227</v>
      </c>
      <c r="D278" s="25">
        <f t="shared" si="56"/>
        <v>969713.45767543733</v>
      </c>
      <c r="E278" s="25">
        <f>$C278/((1+'How much will I make'!$C$5/12)^(Calculations!$B$1*12-Calculations!$A278))</f>
        <v>1462.630359960863</v>
      </c>
      <c r="F278" s="25">
        <f t="shared" si="57"/>
        <v>245657.58999021625</v>
      </c>
      <c r="G278" s="25">
        <f t="shared" si="48"/>
        <v>8083.2159826099842</v>
      </c>
      <c r="H278" s="25">
        <f t="shared" si="58"/>
        <v>4233410.6633103397</v>
      </c>
      <c r="I278" s="25">
        <f>G278/((1+'How much will I make'!$C$5/12)^(Calculations!$B$1*12-Calculations!$A278))</f>
        <v>3432.3313369636139</v>
      </c>
      <c r="J278" s="25">
        <f t="shared" si="59"/>
        <v>964002.74629915389</v>
      </c>
      <c r="K278" s="25">
        <f t="shared" si="49"/>
        <v>18902.147706427819</v>
      </c>
      <c r="L278" s="25">
        <f t="shared" si="60"/>
        <v>20282029.3764355</v>
      </c>
      <c r="M278" s="25">
        <f>K278/((1+'How much will I make'!$C$5/12)^(Calculations!$B$1*12-Calculations!$A278))</f>
        <v>8026.3145322684486</v>
      </c>
      <c r="N278" s="25">
        <f t="shared" si="61"/>
        <v>4180272.4385560825</v>
      </c>
      <c r="O278" s="25">
        <f t="shared" si="50"/>
        <v>44047.677777578705</v>
      </c>
      <c r="P278" s="25">
        <f t="shared" si="62"/>
        <v>104872022.10460909</v>
      </c>
      <c r="Q278" s="25">
        <f>O278/((1+'How much will I make'!$C$5/12)^(Calculations!$B$1*12-Calculations!$A278))</f>
        <v>18703.722018775348</v>
      </c>
      <c r="R278" s="25">
        <f t="shared" si="63"/>
        <v>19880191.359437399</v>
      </c>
      <c r="S278" s="25">
        <f t="shared" si="51"/>
        <v>102289.76253017115</v>
      </c>
      <c r="T278" s="25">
        <f t="shared" si="64"/>
        <v>574172502.26094949</v>
      </c>
      <c r="U278" s="25">
        <f>S278/((1+'How much will I make'!$C$5/12)^(Calculations!$B$1*12-Calculations!$A278))</f>
        <v>43434.736636779679</v>
      </c>
      <c r="V278" s="25">
        <f t="shared" si="65"/>
        <v>101997977.62035246</v>
      </c>
      <c r="W278" s="25">
        <f t="shared" si="52"/>
        <v>236728.66806205662</v>
      </c>
      <c r="X278" s="25">
        <f t="shared" si="66"/>
        <v>3273254892.253653</v>
      </c>
      <c r="Y278" s="25">
        <f>W278/((1+'How much will I make'!$C$5/12)^(Calculations!$B$1*12-Calculations!$A278))</f>
        <v>100520.78621864272</v>
      </c>
      <c r="Z278" s="25">
        <f t="shared" si="67"/>
        <v>554016381.15282094</v>
      </c>
      <c r="AA278" s="25">
        <f t="shared" si="53"/>
        <v>545998.13941847556</v>
      </c>
      <c r="AB278" s="25">
        <f t="shared" si="68"/>
        <v>19182921386.156464</v>
      </c>
      <c r="AC278" s="25">
        <f>AA278/((1+'How much will I make'!$C$5/12)^(Calculations!$B$1*12-Calculations!$A278))</f>
        <v>231844.17289871204</v>
      </c>
      <c r="AD278" s="25">
        <f t="shared" si="69"/>
        <v>3133247431.0068398</v>
      </c>
      <c r="AE278" s="25">
        <f t="shared" si="54"/>
        <v>1255061.5983396033</v>
      </c>
      <c r="AF278" s="25">
        <f t="shared" si="70"/>
        <v>114521348151.92599</v>
      </c>
      <c r="AG278" s="25">
        <f>AE278/((1+'How much will I make'!$C$5/12)^(Calculations!$B$1*12-Calculations!$A278))</f>
        <v>532929.87136163621</v>
      </c>
      <c r="AH278" s="25">
        <f t="shared" si="71"/>
        <v>18217147431.570705</v>
      </c>
    </row>
    <row r="279" spans="1:34" ht="15.75" customHeight="1">
      <c r="A279" s="22">
        <f t="shared" si="55"/>
        <v>275</v>
      </c>
      <c r="B279" s="22">
        <f t="shared" si="72"/>
        <v>1462.630359960863</v>
      </c>
      <c r="C279" s="25">
        <f t="shared" si="47"/>
        <v>3430.2341070864618</v>
      </c>
      <c r="D279" s="25">
        <f t="shared" si="56"/>
        <v>973143.69178252376</v>
      </c>
      <c r="E279" s="25">
        <f>$C279/((1+'How much will I make'!$C$5/12)^(Calculations!$B$1*12-Calculations!$A279))</f>
        <v>1462.630359960863</v>
      </c>
      <c r="F279" s="25">
        <f t="shared" si="57"/>
        <v>247120.22035017711</v>
      </c>
      <c r="G279" s="25">
        <f t="shared" si="48"/>
        <v>8016.4125447371734</v>
      </c>
      <c r="H279" s="25">
        <f t="shared" si="58"/>
        <v>4241427.0758550772</v>
      </c>
      <c r="I279" s="25">
        <f>G279/((1+'How much will I make'!$C$5/12)^(Calculations!$B$1*12-Calculations!$A279))</f>
        <v>3418.1481496207889</v>
      </c>
      <c r="J279" s="25">
        <f t="shared" si="59"/>
        <v>967420.89444877463</v>
      </c>
      <c r="K279" s="25">
        <f t="shared" si="49"/>
        <v>18668.78785820031</v>
      </c>
      <c r="L279" s="25">
        <f t="shared" si="60"/>
        <v>20300698.164293699</v>
      </c>
      <c r="M279" s="25">
        <f>K279/((1+'How much will I make'!$C$5/12)^(Calculations!$B$1*12-Calculations!$A279))</f>
        <v>7960.2543303567727</v>
      </c>
      <c r="N279" s="25">
        <f t="shared" si="61"/>
        <v>4188232.6928864392</v>
      </c>
      <c r="O279" s="25">
        <f t="shared" si="50"/>
        <v>43325.584699257743</v>
      </c>
      <c r="P279" s="25">
        <f t="shared" si="62"/>
        <v>104915347.68930835</v>
      </c>
      <c r="Q279" s="25">
        <f>O279/((1+'How much will I make'!$C$5/12)^(Calculations!$B$1*12-Calculations!$A279))</f>
        <v>18473.758223462541</v>
      </c>
      <c r="R279" s="25">
        <f t="shared" si="63"/>
        <v>19898665.117660861</v>
      </c>
      <c r="S279" s="25">
        <f t="shared" si="51"/>
        <v>100202.21635608606</v>
      </c>
      <c r="T279" s="25">
        <f t="shared" si="64"/>
        <v>574272704.47730553</v>
      </c>
      <c r="U279" s="25">
        <f>S279/((1+'How much will I make'!$C$5/12)^(Calculations!$B$1*12-Calculations!$A279))</f>
        <v>42725.59807944452</v>
      </c>
      <c r="V279" s="25">
        <f t="shared" si="65"/>
        <v>102040703.2184319</v>
      </c>
      <c r="W279" s="25">
        <f t="shared" si="52"/>
        <v>230954.79810932354</v>
      </c>
      <c r="X279" s="25">
        <f t="shared" si="66"/>
        <v>3273485847.0517626</v>
      </c>
      <c r="Y279" s="25">
        <f>W279/((1+'How much will I make'!$C$5/12)^(Calculations!$B$1*12-Calculations!$A279))</f>
        <v>98477.68080769472</v>
      </c>
      <c r="Z279" s="25">
        <f t="shared" si="67"/>
        <v>554114858.83362865</v>
      </c>
      <c r="AA279" s="25">
        <f t="shared" si="53"/>
        <v>530524.50793698023</v>
      </c>
      <c r="AB279" s="25">
        <f t="shared" si="68"/>
        <v>19183451910.664402</v>
      </c>
      <c r="AC279" s="25">
        <f>AA279/((1+'How much will I make'!$C$5/12)^(Calculations!$B$1*12-Calculations!$A279))</f>
        <v>226212.33064206317</v>
      </c>
      <c r="AD279" s="25">
        <f t="shared" si="69"/>
        <v>3133473643.337482</v>
      </c>
      <c r="AE279" s="25">
        <f t="shared" si="54"/>
        <v>1214575.7403286484</v>
      </c>
      <c r="AF279" s="25">
        <f t="shared" si="70"/>
        <v>114522562727.66632</v>
      </c>
      <c r="AG279" s="25">
        <f>AE279/((1+'How much will I make'!$C$5/12)^(Calculations!$B$1*12-Calculations!$A279))</f>
        <v>517887.49596029974</v>
      </c>
      <c r="AH279" s="25">
        <f t="shared" si="71"/>
        <v>18217665319.066666</v>
      </c>
    </row>
    <row r="280" spans="1:34" ht="15.75" customHeight="1">
      <c r="A280" s="22">
        <f t="shared" si="55"/>
        <v>276</v>
      </c>
      <c r="B280" s="22">
        <f t="shared" si="72"/>
        <v>1462.630359960863</v>
      </c>
      <c r="C280" s="25">
        <f t="shared" si="47"/>
        <v>3416.0007705425351</v>
      </c>
      <c r="D280" s="25">
        <f t="shared" si="56"/>
        <v>976559.6925530663</v>
      </c>
      <c r="E280" s="25">
        <f>$C280/((1+'How much will I make'!$C$5/12)^(Calculations!$B$1*12-Calculations!$A280))</f>
        <v>1462.630359960863</v>
      </c>
      <c r="F280" s="25">
        <f t="shared" si="57"/>
        <v>248582.85071013798</v>
      </c>
      <c r="G280" s="25">
        <f t="shared" si="48"/>
        <v>7950.1612013922395</v>
      </c>
      <c r="H280" s="25">
        <f t="shared" si="58"/>
        <v>4249377.2370564695</v>
      </c>
      <c r="I280" s="25">
        <f>G280/((1+'How much will I make'!$C$5/12)^(Calculations!$B$1*12-Calculations!$A280))</f>
        <v>3404.0235704901247</v>
      </c>
      <c r="J280" s="25">
        <f t="shared" si="59"/>
        <v>970824.9180192647</v>
      </c>
      <c r="K280" s="25">
        <f t="shared" si="49"/>
        <v>18438.308995753396</v>
      </c>
      <c r="L280" s="25">
        <f t="shared" si="60"/>
        <v>20319136.473289452</v>
      </c>
      <c r="M280" s="25">
        <f>K280/((1+'How much will I make'!$C$5/12)^(Calculations!$B$1*12-Calculations!$A280))</f>
        <v>7894.7378338106273</v>
      </c>
      <c r="N280" s="25">
        <f t="shared" si="61"/>
        <v>4196127.4307202501</v>
      </c>
      <c r="O280" s="25">
        <f t="shared" si="50"/>
        <v>42615.329212384662</v>
      </c>
      <c r="P280" s="25">
        <f t="shared" si="62"/>
        <v>104957963.01852073</v>
      </c>
      <c r="Q280" s="25">
        <f>O280/((1+'How much will I make'!$C$5/12)^(Calculations!$B$1*12-Calculations!$A280))</f>
        <v>18246.621851862586</v>
      </c>
      <c r="R280" s="25">
        <f t="shared" si="63"/>
        <v>19916911.739512723</v>
      </c>
      <c r="S280" s="25">
        <f t="shared" si="51"/>
        <v>98157.273165145511</v>
      </c>
      <c r="T280" s="25">
        <f t="shared" si="64"/>
        <v>574370861.75047064</v>
      </c>
      <c r="U280" s="25">
        <f>S280/((1+'How much will I make'!$C$5/12)^(Calculations!$B$1*12-Calculations!$A280))</f>
        <v>42028.037294473979</v>
      </c>
      <c r="V280" s="25">
        <f t="shared" si="65"/>
        <v>102082731.25572638</v>
      </c>
      <c r="W280" s="25">
        <f t="shared" si="52"/>
        <v>225321.75425299859</v>
      </c>
      <c r="X280" s="25">
        <f t="shared" si="66"/>
        <v>3273711168.8060155</v>
      </c>
      <c r="Y280" s="25">
        <f>W280/((1+'How much will I make'!$C$5/12)^(Calculations!$B$1*12-Calculations!$A280))</f>
        <v>96476.101929489538</v>
      </c>
      <c r="Z280" s="25">
        <f t="shared" si="67"/>
        <v>554211334.9355582</v>
      </c>
      <c r="AA280" s="25">
        <f t="shared" si="53"/>
        <v>515489.40042459627</v>
      </c>
      <c r="AB280" s="25">
        <f t="shared" si="68"/>
        <v>19183967400.064827</v>
      </c>
      <c r="AC280" s="25">
        <f>AA280/((1+'How much will I make'!$C$5/12)^(Calculations!$B$1*12-Calculations!$A280))</f>
        <v>220717.29427019123</v>
      </c>
      <c r="AD280" s="25">
        <f t="shared" si="69"/>
        <v>3133694360.631752</v>
      </c>
      <c r="AE280" s="25">
        <f t="shared" si="54"/>
        <v>1175395.8777374018</v>
      </c>
      <c r="AF280" s="25">
        <f t="shared" si="70"/>
        <v>114523738123.54405</v>
      </c>
      <c r="AG280" s="25">
        <f>AE280/((1+'How much will I make'!$C$5/12)^(Calculations!$B$1*12-Calculations!$A280))</f>
        <v>503269.70373561385</v>
      </c>
      <c r="AH280" s="25">
        <f t="shared" si="71"/>
        <v>18218168588.770401</v>
      </c>
    </row>
    <row r="281" spans="1:34" ht="15.75" customHeight="1">
      <c r="A281" s="22">
        <f t="shared" si="55"/>
        <v>277</v>
      </c>
      <c r="B281" s="22">
        <f>B280*(1+'How much will I make'!$C$4)</f>
        <v>1535.7618779589061</v>
      </c>
      <c r="C281" s="25">
        <f t="shared" si="47"/>
        <v>3571.917818160659</v>
      </c>
      <c r="D281" s="25">
        <f t="shared" si="56"/>
        <v>980131.61037122691</v>
      </c>
      <c r="E281" s="25">
        <f>$C281/((1+'How much will I make'!$C$5/12)^(Calculations!$B$1*12-Calculations!$A281))</f>
        <v>1535.7618779589061</v>
      </c>
      <c r="F281" s="25">
        <f t="shared" si="57"/>
        <v>250118.61258809688</v>
      </c>
      <c r="G281" s="25">
        <f t="shared" si="48"/>
        <v>8278.6802593010088</v>
      </c>
      <c r="H281" s="25">
        <f t="shared" si="58"/>
        <v>4257655.9173157709</v>
      </c>
      <c r="I281" s="25">
        <f>G281/((1+'How much will I make'!$C$5/12)^(Calculations!$B$1*12-Calculations!$A281))</f>
        <v>3559.4552252583721</v>
      </c>
      <c r="J281" s="25">
        <f t="shared" si="59"/>
        <v>974384.37324452307</v>
      </c>
      <c r="K281" s="25">
        <f t="shared" si="49"/>
        <v>19121.209328929446</v>
      </c>
      <c r="L281" s="25">
        <f t="shared" si="60"/>
        <v>20338257.682618383</v>
      </c>
      <c r="M281" s="25">
        <f>K281/((1+'How much will I make'!$C$5/12)^(Calculations!$B$1*12-Calculations!$A281))</f>
        <v>8221.2485960731647</v>
      </c>
      <c r="N281" s="25">
        <f t="shared" si="61"/>
        <v>4204348.6793163233</v>
      </c>
      <c r="O281" s="25">
        <f t="shared" si="50"/>
        <v>44012.553120987432</v>
      </c>
      <c r="P281" s="25">
        <f t="shared" si="62"/>
        <v>105001975.57164171</v>
      </c>
      <c r="Q281" s="25">
        <f>O281/((1+'How much will I make'!$C$5/12)^(Calculations!$B$1*12-Calculations!$A281))</f>
        <v>18923.392047597652</v>
      </c>
      <c r="R281" s="25">
        <f t="shared" si="63"/>
        <v>19935835.131560322</v>
      </c>
      <c r="S281" s="25">
        <f t="shared" si="51"/>
        <v>100961.76668414967</v>
      </c>
      <c r="T281" s="25">
        <f t="shared" si="64"/>
        <v>574471823.51715481</v>
      </c>
      <c r="U281" s="25">
        <f>S281/((1+'How much will I make'!$C$5/12)^(Calculations!$B$1*12-Calculations!$A281))</f>
        <v>43408.958519863845</v>
      </c>
      <c r="V281" s="25">
        <f t="shared" si="65"/>
        <v>102126140.21424624</v>
      </c>
      <c r="W281" s="25">
        <f t="shared" si="52"/>
        <v>230817.40679575468</v>
      </c>
      <c r="X281" s="25">
        <f t="shared" si="66"/>
        <v>3273941986.2128115</v>
      </c>
      <c r="Y281" s="25">
        <f>W281/((1+'How much will I make'!$C$5/12)^(Calculations!$B$1*12-Calculations!$A281))</f>
        <v>99240.965826249318</v>
      </c>
      <c r="Z281" s="25">
        <f t="shared" si="67"/>
        <v>554310575.90138447</v>
      </c>
      <c r="AA281" s="25">
        <f t="shared" si="53"/>
        <v>525924.40853035753</v>
      </c>
      <c r="AB281" s="25">
        <f t="shared" si="68"/>
        <v>19184493324.473358</v>
      </c>
      <c r="AC281" s="25">
        <f>AA281/((1+'How much will I make'!$C$5/12)^(Calculations!$B$1*12-Calculations!$A281))</f>
        <v>226123.52759138425</v>
      </c>
      <c r="AD281" s="25">
        <f t="shared" si="69"/>
        <v>3133920484.1593432</v>
      </c>
      <c r="AE281" s="25">
        <f t="shared" si="54"/>
        <v>1194353.8757654238</v>
      </c>
      <c r="AF281" s="25">
        <f t="shared" si="70"/>
        <v>114524932477.41982</v>
      </c>
      <c r="AG281" s="25">
        <f>AE281/((1+'How much will I make'!$C$5/12)^(Calculations!$B$1*12-Calculations!$A281))</f>
        <v>513517.73600926227</v>
      </c>
      <c r="AH281" s="25">
        <f t="shared" si="71"/>
        <v>18218682106.506409</v>
      </c>
    </row>
    <row r="282" spans="1:34" ht="15.75" customHeight="1">
      <c r="A282" s="22">
        <f t="shared" si="55"/>
        <v>278</v>
      </c>
      <c r="B282" s="22">
        <f t="shared" ref="B282:B292" si="73">B281</f>
        <v>1535.7618779589061</v>
      </c>
      <c r="C282" s="25">
        <f t="shared" si="47"/>
        <v>3557.0965824006566</v>
      </c>
      <c r="D282" s="25">
        <f t="shared" si="56"/>
        <v>983688.70695362752</v>
      </c>
      <c r="E282" s="25">
        <f>$C282/((1+'How much will I make'!$C$5/12)^(Calculations!$B$1*12-Calculations!$A282))</f>
        <v>1535.7618779589061</v>
      </c>
      <c r="F282" s="25">
        <f t="shared" si="57"/>
        <v>251654.37446605577</v>
      </c>
      <c r="G282" s="25">
        <f t="shared" si="48"/>
        <v>8210.2614141828199</v>
      </c>
      <c r="H282" s="25">
        <f t="shared" si="58"/>
        <v>4265866.1787299532</v>
      </c>
      <c r="I282" s="25">
        <f>G282/((1+'How much will I make'!$C$5/12)^(Calculations!$B$1*12-Calculations!$A282))</f>
        <v>3544.7467325920152</v>
      </c>
      <c r="J282" s="25">
        <f t="shared" si="59"/>
        <v>977929.11997711507</v>
      </c>
      <c r="K282" s="25">
        <f t="shared" si="49"/>
        <v>18885.145016226616</v>
      </c>
      <c r="L282" s="25">
        <f t="shared" si="60"/>
        <v>20357142.82763461</v>
      </c>
      <c r="M282" s="25">
        <f>K282/((1+'How much will I make'!$C$5/12)^(Calculations!$B$1*12-Calculations!$A282))</f>
        <v>8153.5839985746197</v>
      </c>
      <c r="N282" s="25">
        <f t="shared" si="61"/>
        <v>4212502.2633148981</v>
      </c>
      <c r="O282" s="25">
        <f t="shared" si="50"/>
        <v>43291.035856708957</v>
      </c>
      <c r="P282" s="25">
        <f t="shared" si="62"/>
        <v>105045266.60749842</v>
      </c>
      <c r="Q282" s="25">
        <f>O282/((1+'How much will I make'!$C$5/12)^(Calculations!$B$1*12-Calculations!$A282))</f>
        <v>18690.72739127473</v>
      </c>
      <c r="R282" s="25">
        <f t="shared" si="63"/>
        <v>19954525.858951598</v>
      </c>
      <c r="S282" s="25">
        <f t="shared" si="51"/>
        <v>98901.322466105805</v>
      </c>
      <c r="T282" s="25">
        <f t="shared" si="64"/>
        <v>574570724.83962095</v>
      </c>
      <c r="U282" s="25">
        <f>S282/((1+'How much will I make'!$C$5/12)^(Calculations!$B$1*12-Calculations!$A282))</f>
        <v>42700.240829743612</v>
      </c>
      <c r="V282" s="25">
        <f t="shared" si="65"/>
        <v>102168840.45507599</v>
      </c>
      <c r="W282" s="25">
        <f t="shared" si="52"/>
        <v>225187.71394707775</v>
      </c>
      <c r="X282" s="25">
        <f t="shared" si="66"/>
        <v>3274167173.9267588</v>
      </c>
      <c r="Y282" s="25">
        <f>W282/((1+'How much will I make'!$C$5/12)^(Calculations!$B$1*12-Calculations!$A282))</f>
        <v>97223.873024902772</v>
      </c>
      <c r="Z282" s="25">
        <f t="shared" si="67"/>
        <v>554407799.77440941</v>
      </c>
      <c r="AA282" s="25">
        <f t="shared" si="53"/>
        <v>511019.66820763488</v>
      </c>
      <c r="AB282" s="25">
        <f t="shared" si="68"/>
        <v>19185004344.141567</v>
      </c>
      <c r="AC282" s="25">
        <f>AA282/((1+'How much will I make'!$C$5/12)^(Calculations!$B$1*12-Calculations!$A282))</f>
        <v>220630.64837863806</v>
      </c>
      <c r="AD282" s="25">
        <f t="shared" si="69"/>
        <v>3134141114.8077221</v>
      </c>
      <c r="AE282" s="25">
        <f t="shared" si="54"/>
        <v>1155826.331385894</v>
      </c>
      <c r="AF282" s="25">
        <f t="shared" si="70"/>
        <v>114526088303.75121</v>
      </c>
      <c r="AG282" s="25">
        <f>AE282/((1+'How much will I make'!$C$5/12)^(Calculations!$B$1*12-Calculations!$A282))</f>
        <v>499023.28378319426</v>
      </c>
      <c r="AH282" s="25">
        <f t="shared" si="71"/>
        <v>18219181129.790192</v>
      </c>
    </row>
    <row r="283" spans="1:34" ht="15.75" customHeight="1">
      <c r="A283" s="22">
        <f t="shared" si="55"/>
        <v>279</v>
      </c>
      <c r="B283" s="22">
        <f t="shared" si="73"/>
        <v>1535.7618779589061</v>
      </c>
      <c r="C283" s="25">
        <f t="shared" si="47"/>
        <v>3542.3368455442223</v>
      </c>
      <c r="D283" s="25">
        <f t="shared" si="56"/>
        <v>987231.04379917169</v>
      </c>
      <c r="E283" s="25">
        <f>$C283/((1+'How much will I make'!$C$5/12)^(Calculations!$B$1*12-Calculations!$A283))</f>
        <v>1535.7618779589061</v>
      </c>
      <c r="F283" s="25">
        <f t="shared" si="57"/>
        <v>253190.13634401467</v>
      </c>
      <c r="G283" s="25">
        <f t="shared" si="48"/>
        <v>8142.4080140656051</v>
      </c>
      <c r="H283" s="25">
        <f t="shared" si="58"/>
        <v>4274008.5867440188</v>
      </c>
      <c r="I283" s="25">
        <f>G283/((1+'How much will I make'!$C$5/12)^(Calculations!$B$1*12-Calculations!$A283))</f>
        <v>3530.0990188209735</v>
      </c>
      <c r="J283" s="25">
        <f t="shared" si="59"/>
        <v>981459.2189959361</v>
      </c>
      <c r="K283" s="25">
        <f t="shared" si="49"/>
        <v>18651.99507775468</v>
      </c>
      <c r="L283" s="25">
        <f t="shared" si="60"/>
        <v>20375794.822712366</v>
      </c>
      <c r="M283" s="25">
        <f>K283/((1+'How much will I make'!$C$5/12)^(Calculations!$B$1*12-Calculations!$A283))</f>
        <v>8086.4763113435529</v>
      </c>
      <c r="N283" s="25">
        <f t="shared" si="61"/>
        <v>4220588.7396262418</v>
      </c>
      <c r="O283" s="25">
        <f t="shared" si="50"/>
        <v>42581.346744303897</v>
      </c>
      <c r="P283" s="25">
        <f t="shared" si="62"/>
        <v>105087847.95424272</v>
      </c>
      <c r="Q283" s="25">
        <f>O283/((1+'How much will I make'!$C$5/12)^(Calculations!$B$1*12-Calculations!$A283))</f>
        <v>18460.923365972176</v>
      </c>
      <c r="R283" s="25">
        <f t="shared" si="63"/>
        <v>19972986.782317571</v>
      </c>
      <c r="S283" s="25">
        <f t="shared" si="51"/>
        <v>96882.928130062865</v>
      </c>
      <c r="T283" s="25">
        <f t="shared" si="64"/>
        <v>574667607.76775098</v>
      </c>
      <c r="U283" s="25">
        <f>S283/((1+'How much will I make'!$C$5/12)^(Calculations!$B$1*12-Calculations!$A283))</f>
        <v>42003.094040686592</v>
      </c>
      <c r="V283" s="25">
        <f t="shared" si="65"/>
        <v>102210843.54911669</v>
      </c>
      <c r="W283" s="25">
        <f t="shared" si="52"/>
        <v>219695.33068007586</v>
      </c>
      <c r="X283" s="25">
        <f t="shared" si="66"/>
        <v>3274386869.2574387</v>
      </c>
      <c r="Y283" s="25">
        <f>W283/((1+'How much will I make'!$C$5/12)^(Calculations!$B$1*12-Calculations!$A283))</f>
        <v>95247.778044721839</v>
      </c>
      <c r="Z283" s="25">
        <f t="shared" si="67"/>
        <v>554503047.55245411</v>
      </c>
      <c r="AA283" s="25">
        <f t="shared" si="53"/>
        <v>496537.32943251968</v>
      </c>
      <c r="AB283" s="25">
        <f t="shared" si="68"/>
        <v>19185500881.471001</v>
      </c>
      <c r="AC283" s="25">
        <f>AA283/((1+'How much will I make'!$C$5/12)^(Calculations!$B$1*12-Calculations!$A283))</f>
        <v>215271.1994301691</v>
      </c>
      <c r="AD283" s="25">
        <f t="shared" si="69"/>
        <v>3134356386.0071521</v>
      </c>
      <c r="AE283" s="25">
        <f t="shared" si="54"/>
        <v>1118541.6110186072</v>
      </c>
      <c r="AF283" s="25">
        <f t="shared" si="70"/>
        <v>114527206845.36223</v>
      </c>
      <c r="AG283" s="25">
        <f>AE283/((1+'How much will I make'!$C$5/12)^(Calculations!$B$1*12-Calculations!$A283))</f>
        <v>484937.94916028163</v>
      </c>
      <c r="AH283" s="25">
        <f t="shared" si="71"/>
        <v>18219666067.739353</v>
      </c>
    </row>
    <row r="284" spans="1:34" ht="15.75" customHeight="1">
      <c r="A284" s="22">
        <f t="shared" si="55"/>
        <v>280</v>
      </c>
      <c r="B284" s="22">
        <f t="shared" si="73"/>
        <v>1535.7618779589061</v>
      </c>
      <c r="C284" s="25">
        <f t="shared" si="47"/>
        <v>3527.6383524091839</v>
      </c>
      <c r="D284" s="25">
        <f t="shared" si="56"/>
        <v>990758.68215158093</v>
      </c>
      <c r="E284" s="25">
        <f>$C284/((1+'How much will I make'!$C$5/12)^(Calculations!$B$1*12-Calculations!$A284))</f>
        <v>1535.7618779589061</v>
      </c>
      <c r="F284" s="25">
        <f t="shared" si="57"/>
        <v>254725.89822197356</v>
      </c>
      <c r="G284" s="25">
        <f t="shared" si="48"/>
        <v>8075.1153858501875</v>
      </c>
      <c r="H284" s="25">
        <f t="shared" si="58"/>
        <v>4282083.7021298688</v>
      </c>
      <c r="I284" s="25">
        <f>G284/((1+'How much will I make'!$C$5/12)^(Calculations!$B$1*12-Calculations!$A284))</f>
        <v>3515.5118327927876</v>
      </c>
      <c r="J284" s="25">
        <f t="shared" si="59"/>
        <v>984974.73082872888</v>
      </c>
      <c r="K284" s="25">
        <f t="shared" si="49"/>
        <v>18421.723533584871</v>
      </c>
      <c r="L284" s="25">
        <f t="shared" si="60"/>
        <v>20394216.546245951</v>
      </c>
      <c r="M284" s="25">
        <f>K284/((1+'How much will I make'!$C$5/12)^(Calculations!$B$1*12-Calculations!$A284))</f>
        <v>8019.9209507563637</v>
      </c>
      <c r="N284" s="25">
        <f t="shared" si="61"/>
        <v>4228608.6605769983</v>
      </c>
      <c r="O284" s="25">
        <f t="shared" si="50"/>
        <v>41883.291879643177</v>
      </c>
      <c r="P284" s="25">
        <f t="shared" si="62"/>
        <v>105129731.24612236</v>
      </c>
      <c r="Q284" s="25">
        <f>O284/((1+'How much will I make'!$C$5/12)^(Calculations!$B$1*12-Calculations!$A284))</f>
        <v>18233.944799997109</v>
      </c>
      <c r="R284" s="25">
        <f t="shared" si="63"/>
        <v>19991220.727117568</v>
      </c>
      <c r="S284" s="25">
        <f t="shared" si="51"/>
        <v>94905.72551516362</v>
      </c>
      <c r="T284" s="25">
        <f t="shared" si="64"/>
        <v>574762513.49326611</v>
      </c>
      <c r="U284" s="25">
        <f>S284/((1+'How much will I make'!$C$5/12)^(Calculations!$B$1*12-Calculations!$A284))</f>
        <v>41317.329240022322</v>
      </c>
      <c r="V284" s="25">
        <f t="shared" si="65"/>
        <v>102252160.87835671</v>
      </c>
      <c r="W284" s="25">
        <f t="shared" si="52"/>
        <v>214336.90798056181</v>
      </c>
      <c r="X284" s="25">
        <f t="shared" si="66"/>
        <v>3274601206.1654191</v>
      </c>
      <c r="Y284" s="25">
        <f>W284/((1+'How much will I make'!$C$5/12)^(Calculations!$B$1*12-Calculations!$A284))</f>
        <v>93311.847596658379</v>
      </c>
      <c r="Z284" s="25">
        <f t="shared" si="67"/>
        <v>554596359.40005076</v>
      </c>
      <c r="AA284" s="25">
        <f t="shared" si="53"/>
        <v>482465.42131095036</v>
      </c>
      <c r="AB284" s="25">
        <f t="shared" si="68"/>
        <v>19185983346.892311</v>
      </c>
      <c r="AC284" s="25">
        <f>AA284/((1+'How much will I make'!$C$5/12)^(Calculations!$B$1*12-Calculations!$A284))</f>
        <v>210041.93952498285</v>
      </c>
      <c r="AD284" s="25">
        <f t="shared" si="69"/>
        <v>3134566427.9466772</v>
      </c>
      <c r="AE284" s="25">
        <f t="shared" si="54"/>
        <v>1082459.623566394</v>
      </c>
      <c r="AF284" s="25">
        <f t="shared" si="70"/>
        <v>114528289304.98579</v>
      </c>
      <c r="AG284" s="25">
        <f>AE284/((1+'How much will I make'!$C$5/12)^(Calculations!$B$1*12-Calculations!$A284))</f>
        <v>471250.18446624139</v>
      </c>
      <c r="AH284" s="25">
        <f t="shared" si="71"/>
        <v>18220137317.92382</v>
      </c>
    </row>
    <row r="285" spans="1:34" ht="15.75" customHeight="1">
      <c r="A285" s="22">
        <f t="shared" si="55"/>
        <v>281</v>
      </c>
      <c r="B285" s="22">
        <f t="shared" si="73"/>
        <v>1535.7618779589061</v>
      </c>
      <c r="C285" s="25">
        <f t="shared" si="47"/>
        <v>3513.0008488722169</v>
      </c>
      <c r="D285" s="25">
        <f t="shared" si="56"/>
        <v>994271.68300045317</v>
      </c>
      <c r="E285" s="25">
        <f>$C285/((1+'How much will I make'!$C$5/12)^(Calculations!$B$1*12-Calculations!$A285))</f>
        <v>1535.7618779589061</v>
      </c>
      <c r="F285" s="25">
        <f t="shared" si="57"/>
        <v>256261.66009993246</v>
      </c>
      <c r="G285" s="25">
        <f t="shared" si="48"/>
        <v>8008.3788950580374</v>
      </c>
      <c r="H285" s="25">
        <f t="shared" si="58"/>
        <v>4290092.0810249271</v>
      </c>
      <c r="I285" s="25">
        <f>G285/((1+'How much will I make'!$C$5/12)^(Calculations!$B$1*12-Calculations!$A285))</f>
        <v>3500.9849243928174</v>
      </c>
      <c r="J285" s="25">
        <f t="shared" si="59"/>
        <v>988475.71575312165</v>
      </c>
      <c r="K285" s="25">
        <f t="shared" si="49"/>
        <v>18194.294847985057</v>
      </c>
      <c r="L285" s="25">
        <f t="shared" si="60"/>
        <v>20412410.841093935</v>
      </c>
      <c r="M285" s="25">
        <f>K285/((1+'How much will I make'!$C$5/12)^(Calculations!$B$1*12-Calculations!$A285))</f>
        <v>7953.9133709147463</v>
      </c>
      <c r="N285" s="25">
        <f t="shared" si="61"/>
        <v>4236562.573947913</v>
      </c>
      <c r="O285" s="25">
        <f t="shared" si="50"/>
        <v>41196.680537353946</v>
      </c>
      <c r="P285" s="25">
        <f t="shared" si="62"/>
        <v>105170927.92665972</v>
      </c>
      <c r="Q285" s="25">
        <f>O285/((1+'How much will I make'!$C$5/12)^(Calculations!$B$1*12-Calculations!$A285))</f>
        <v>18009.756954095505</v>
      </c>
      <c r="R285" s="25">
        <f t="shared" si="63"/>
        <v>20009230.484071665</v>
      </c>
      <c r="S285" s="25">
        <f t="shared" si="51"/>
        <v>92968.873974037851</v>
      </c>
      <c r="T285" s="25">
        <f t="shared" si="64"/>
        <v>574855482.36724019</v>
      </c>
      <c r="U285" s="25">
        <f>S285/((1+'How much will I make'!$C$5/12)^(Calculations!$B$1*12-Calculations!$A285))</f>
        <v>40642.760599368899</v>
      </c>
      <c r="V285" s="25">
        <f t="shared" si="65"/>
        <v>102292803.63895608</v>
      </c>
      <c r="W285" s="25">
        <f t="shared" si="52"/>
        <v>209109.17851762133</v>
      </c>
      <c r="X285" s="25">
        <f t="shared" si="66"/>
        <v>3274810315.3439369</v>
      </c>
      <c r="Y285" s="25">
        <f>W285/((1+'How much will I make'!$C$5/12)^(Calculations!$B$1*12-Calculations!$A285))</f>
        <v>91415.265328433627</v>
      </c>
      <c r="Z285" s="25">
        <f t="shared" si="67"/>
        <v>554687774.66537917</v>
      </c>
      <c r="AA285" s="25">
        <f t="shared" si="53"/>
        <v>468792.3122049722</v>
      </c>
      <c r="AB285" s="25">
        <f t="shared" si="68"/>
        <v>19186452139.204517</v>
      </c>
      <c r="AC285" s="25">
        <f>AA285/((1+'How much will I make'!$C$5/12)^(Calculations!$B$1*12-Calculations!$A285))</f>
        <v>204939.70617619791</v>
      </c>
      <c r="AD285" s="25">
        <f t="shared" si="69"/>
        <v>3134771367.6528535</v>
      </c>
      <c r="AE285" s="25">
        <f t="shared" si="54"/>
        <v>1047541.5711932844</v>
      </c>
      <c r="AF285" s="25">
        <f t="shared" si="70"/>
        <v>114529336846.55699</v>
      </c>
      <c r="AG285" s="25">
        <f>AE285/((1+'How much will I make'!$C$5/12)^(Calculations!$B$1*12-Calculations!$A285))</f>
        <v>457948.76796921028</v>
      </c>
      <c r="AH285" s="25">
        <f t="shared" si="71"/>
        <v>18220595266.691792</v>
      </c>
    </row>
    <row r="286" spans="1:34" ht="15.75" customHeight="1">
      <c r="A286" s="22">
        <f t="shared" si="55"/>
        <v>282</v>
      </c>
      <c r="B286" s="22">
        <f t="shared" si="73"/>
        <v>1535.7618779589061</v>
      </c>
      <c r="C286" s="25">
        <f t="shared" si="47"/>
        <v>3498.4240818644475</v>
      </c>
      <c r="D286" s="25">
        <f t="shared" si="56"/>
        <v>997770.10708231758</v>
      </c>
      <c r="E286" s="25">
        <f>$C286/((1+'How much will I make'!$C$5/12)^(Calculations!$B$1*12-Calculations!$A286))</f>
        <v>1535.7618779589061</v>
      </c>
      <c r="F286" s="25">
        <f t="shared" si="57"/>
        <v>257797.42197789135</v>
      </c>
      <c r="G286" s="25">
        <f t="shared" si="48"/>
        <v>7942.1939455121037</v>
      </c>
      <c r="H286" s="25">
        <f t="shared" si="58"/>
        <v>4298034.2749704393</v>
      </c>
      <c r="I286" s="25">
        <f>G286/((1+'How much will I make'!$C$5/12)^(Calculations!$B$1*12-Calculations!$A286))</f>
        <v>3486.5180445399556</v>
      </c>
      <c r="J286" s="25">
        <f t="shared" si="59"/>
        <v>991962.23379766161</v>
      </c>
      <c r="K286" s="25">
        <f t="shared" si="49"/>
        <v>17969.673923935861</v>
      </c>
      <c r="L286" s="25">
        <f t="shared" si="60"/>
        <v>20430380.515017871</v>
      </c>
      <c r="M286" s="25">
        <f>K286/((1+'How much will I make'!$C$5/12)^(Calculations!$B$1*12-Calculations!$A286))</f>
        <v>7888.4490633352043</v>
      </c>
      <c r="N286" s="25">
        <f t="shared" si="61"/>
        <v>4244451.0230112486</v>
      </c>
      <c r="O286" s="25">
        <f t="shared" si="50"/>
        <v>40521.325118708803</v>
      </c>
      <c r="P286" s="25">
        <f t="shared" si="62"/>
        <v>105211449.25177842</v>
      </c>
      <c r="Q286" s="25">
        <f>O286/((1+'How much will I make'!$C$5/12)^(Calculations!$B$1*12-Calculations!$A286))</f>
        <v>17788.325516135319</v>
      </c>
      <c r="R286" s="25">
        <f t="shared" si="63"/>
        <v>20027018.809587799</v>
      </c>
      <c r="S286" s="25">
        <f t="shared" si="51"/>
        <v>91071.550015384026</v>
      </c>
      <c r="T286" s="25">
        <f t="shared" si="64"/>
        <v>574946553.91725552</v>
      </c>
      <c r="U286" s="25">
        <f>S286/((1+'How much will I make'!$C$5/12)^(Calculations!$B$1*12-Calculations!$A286))</f>
        <v>39979.20532427718</v>
      </c>
      <c r="V286" s="25">
        <f t="shared" si="65"/>
        <v>102332782.84428036</v>
      </c>
      <c r="W286" s="25">
        <f t="shared" si="52"/>
        <v>204008.95465133784</v>
      </c>
      <c r="X286" s="25">
        <f t="shared" si="66"/>
        <v>3275014324.2985883</v>
      </c>
      <c r="Y286" s="25">
        <f>W286/((1+'How much will I make'!$C$5/12)^(Calculations!$B$1*12-Calculations!$A286))</f>
        <v>89557.231480294737</v>
      </c>
      <c r="Z286" s="25">
        <f t="shared" si="67"/>
        <v>554777331.89685941</v>
      </c>
      <c r="AA286" s="25">
        <f t="shared" si="53"/>
        <v>455506.7001181916</v>
      </c>
      <c r="AB286" s="25">
        <f t="shared" si="68"/>
        <v>19186907645.904636</v>
      </c>
      <c r="AC286" s="25">
        <f>AA286/((1+'How much will I make'!$C$5/12)^(Calculations!$B$1*12-Calculations!$A286))</f>
        <v>199961.41371847654</v>
      </c>
      <c r="AD286" s="25">
        <f t="shared" si="69"/>
        <v>3134971329.0665722</v>
      </c>
      <c r="AE286" s="25">
        <f t="shared" si="54"/>
        <v>1013749.9076064039</v>
      </c>
      <c r="AF286" s="25">
        <f t="shared" si="70"/>
        <v>114530350596.4646</v>
      </c>
      <c r="AG286" s="25">
        <f>AE286/((1+'How much will I make'!$C$5/12)^(Calculations!$B$1*12-Calculations!$A286))</f>
        <v>445022.79467975674</v>
      </c>
      <c r="AH286" s="25">
        <f t="shared" si="71"/>
        <v>18221040289.486473</v>
      </c>
    </row>
    <row r="287" spans="1:34" ht="15.75" customHeight="1">
      <c r="A287" s="22">
        <f t="shared" si="55"/>
        <v>283</v>
      </c>
      <c r="B287" s="22">
        <f t="shared" si="73"/>
        <v>1535.7618779589061</v>
      </c>
      <c r="C287" s="25">
        <f t="shared" si="47"/>
        <v>3483.9077993670844</v>
      </c>
      <c r="D287" s="25">
        <f t="shared" si="56"/>
        <v>1001254.0148816847</v>
      </c>
      <c r="E287" s="25">
        <f>$C287/((1+'How much will I make'!$C$5/12)^(Calculations!$B$1*12-Calculations!$A287))</f>
        <v>1535.7618779589061</v>
      </c>
      <c r="F287" s="25">
        <f t="shared" si="57"/>
        <v>259333.18385585025</v>
      </c>
      <c r="G287" s="25">
        <f t="shared" si="48"/>
        <v>7876.5559790202678</v>
      </c>
      <c r="H287" s="25">
        <f t="shared" si="58"/>
        <v>4305910.8309494592</v>
      </c>
      <c r="I287" s="25">
        <f>G287/((1+'How much will I make'!$C$5/12)^(Calculations!$B$1*12-Calculations!$A287))</f>
        <v>3472.1109451823527</v>
      </c>
      <c r="J287" s="25">
        <f t="shared" si="59"/>
        <v>995434.344742844</v>
      </c>
      <c r="K287" s="25">
        <f t="shared" si="49"/>
        <v>17747.826097714427</v>
      </c>
      <c r="L287" s="25">
        <f t="shared" si="60"/>
        <v>20448128.341115586</v>
      </c>
      <c r="M287" s="25">
        <f>K287/((1+'How much will I make'!$C$5/12)^(Calculations!$B$1*12-Calculations!$A287))</f>
        <v>7823.5235566410865</v>
      </c>
      <c r="N287" s="25">
        <f t="shared" si="61"/>
        <v>4252274.5465678899</v>
      </c>
      <c r="O287" s="25">
        <f t="shared" si="50"/>
        <v>39857.041100369323</v>
      </c>
      <c r="P287" s="25">
        <f t="shared" si="62"/>
        <v>105251306.29287879</v>
      </c>
      <c r="Q287" s="25">
        <f>O287/((1+'How much will I make'!$C$5/12)^(Calculations!$B$1*12-Calculations!$A287))</f>
        <v>17569.616595854972</v>
      </c>
      <c r="R287" s="25">
        <f t="shared" si="63"/>
        <v>20044588.426183652</v>
      </c>
      <c r="S287" s="25">
        <f t="shared" si="51"/>
        <v>89212.946953845589</v>
      </c>
      <c r="T287" s="25">
        <f t="shared" si="64"/>
        <v>575035766.86420941</v>
      </c>
      <c r="U287" s="25">
        <f>S287/((1+'How much will I make'!$C$5/12)^(Calculations!$B$1*12-Calculations!$A287))</f>
        <v>39326.483604697154</v>
      </c>
      <c r="V287" s="25">
        <f t="shared" si="65"/>
        <v>102372109.32788506</v>
      </c>
      <c r="W287" s="25">
        <f t="shared" si="52"/>
        <v>199033.12648911012</v>
      </c>
      <c r="X287" s="25">
        <f t="shared" si="66"/>
        <v>3275213357.4250774</v>
      </c>
      <c r="Y287" s="25">
        <f>W287/((1+'How much will I make'!$C$5/12)^(Calculations!$B$1*12-Calculations!$A287))</f>
        <v>87736.962547768446</v>
      </c>
      <c r="Z287" s="25">
        <f t="shared" si="67"/>
        <v>554865068.85940719</v>
      </c>
      <c r="AA287" s="25">
        <f t="shared" si="53"/>
        <v>442597.6033537084</v>
      </c>
      <c r="AB287" s="25">
        <f t="shared" si="68"/>
        <v>19187350243.507992</v>
      </c>
      <c r="AC287" s="25">
        <f>AA287/((1+'How much will I make'!$C$5/12)^(Calculations!$B$1*12-Calculations!$A287))</f>
        <v>195104.05144191437</v>
      </c>
      <c r="AD287" s="25">
        <f t="shared" si="69"/>
        <v>3135166433.1180143</v>
      </c>
      <c r="AE287" s="25">
        <f t="shared" si="54"/>
        <v>981048.29768361675</v>
      </c>
      <c r="AF287" s="25">
        <f t="shared" si="70"/>
        <v>114531331644.76228</v>
      </c>
      <c r="AG287" s="25">
        <f>AE287/((1+'How much will I make'!$C$5/12)^(Calculations!$B$1*12-Calculations!$A287))</f>
        <v>432461.66741057014</v>
      </c>
      <c r="AH287" s="25">
        <f t="shared" si="71"/>
        <v>18221472751.153885</v>
      </c>
    </row>
    <row r="288" spans="1:34" ht="15.75" customHeight="1">
      <c r="A288" s="22">
        <f t="shared" si="55"/>
        <v>284</v>
      </c>
      <c r="B288" s="22">
        <f t="shared" si="73"/>
        <v>1535.7618779589061</v>
      </c>
      <c r="C288" s="25">
        <f t="shared" si="47"/>
        <v>3469.4517504070554</v>
      </c>
      <c r="D288" s="25">
        <f t="shared" si="56"/>
        <v>1004723.4666320918</v>
      </c>
      <c r="E288" s="25">
        <f>$C288/((1+'How much will I make'!$C$5/12)^(Calculations!$B$1*12-Calculations!$A288))</f>
        <v>1535.7618779589061</v>
      </c>
      <c r="F288" s="25">
        <f t="shared" si="57"/>
        <v>260868.94573380915</v>
      </c>
      <c r="G288" s="25">
        <f t="shared" si="48"/>
        <v>7811.4604750614235</v>
      </c>
      <c r="H288" s="25">
        <f t="shared" si="58"/>
        <v>4313722.2914245203</v>
      </c>
      <c r="I288" s="25">
        <f>G288/((1+'How much will I make'!$C$5/12)^(Calculations!$B$1*12-Calculations!$A288))</f>
        <v>3457.7633792931692</v>
      </c>
      <c r="J288" s="25">
        <f t="shared" si="59"/>
        <v>998892.10812213714</v>
      </c>
      <c r="K288" s="25">
        <f t="shared" si="49"/>
        <v>17528.717133545117</v>
      </c>
      <c r="L288" s="25">
        <f t="shared" si="60"/>
        <v>20465657.058249131</v>
      </c>
      <c r="M288" s="25">
        <f>K288/((1+'How much will I make'!$C$5/12)^(Calculations!$B$1*12-Calculations!$A288))</f>
        <v>7759.13241625721</v>
      </c>
      <c r="N288" s="25">
        <f t="shared" si="61"/>
        <v>4260033.6789841475</v>
      </c>
      <c r="O288" s="25">
        <f t="shared" si="50"/>
        <v>39203.646983969826</v>
      </c>
      <c r="P288" s="25">
        <f t="shared" si="62"/>
        <v>105290509.93986276</v>
      </c>
      <c r="Q288" s="25">
        <f>O288/((1+'How much will I make'!$C$5/12)^(Calculations!$B$1*12-Calculations!$A288))</f>
        <v>17353.596719676425</v>
      </c>
      <c r="R288" s="25">
        <f t="shared" si="63"/>
        <v>20061942.022903327</v>
      </c>
      <c r="S288" s="25">
        <f t="shared" si="51"/>
        <v>87392.274567032408</v>
      </c>
      <c r="T288" s="25">
        <f t="shared" si="64"/>
        <v>575123159.13877642</v>
      </c>
      <c r="U288" s="25">
        <f>S288/((1+'How much will I make'!$C$5/12)^(Calculations!$B$1*12-Calculations!$A288))</f>
        <v>38684.418566253109</v>
      </c>
      <c r="V288" s="25">
        <f t="shared" si="65"/>
        <v>102410793.74645132</v>
      </c>
      <c r="W288" s="25">
        <f t="shared" si="52"/>
        <v>194178.65998937577</v>
      </c>
      <c r="X288" s="25">
        <f t="shared" si="66"/>
        <v>3275407536.0850668</v>
      </c>
      <c r="Y288" s="25">
        <f>W288/((1+'How much will I make'!$C$5/12)^(Calculations!$B$1*12-Calculations!$A288))</f>
        <v>85953.690951269091</v>
      </c>
      <c r="Z288" s="25">
        <f t="shared" si="67"/>
        <v>554951022.55035841</v>
      </c>
      <c r="AA288" s="25">
        <f t="shared" si="53"/>
        <v>430054.35143680178</v>
      </c>
      <c r="AB288" s="25">
        <f t="shared" si="68"/>
        <v>19187780297.859428</v>
      </c>
      <c r="AC288" s="25">
        <f>AA288/((1+'How much will I make'!$C$5/12)^(Calculations!$B$1*12-Calculations!$A288))</f>
        <v>190364.68177126057</v>
      </c>
      <c r="AD288" s="25">
        <f t="shared" si="69"/>
        <v>3135356797.7997856</v>
      </c>
      <c r="AE288" s="25">
        <f t="shared" si="54"/>
        <v>949401.57840350003</v>
      </c>
      <c r="AF288" s="25">
        <f t="shared" si="70"/>
        <v>114532281046.34068</v>
      </c>
      <c r="AG288" s="25">
        <f>AE288/((1+'How much will I make'!$C$5/12)^(Calculations!$B$1*12-Calculations!$A288))</f>
        <v>420255.08808849746</v>
      </c>
      <c r="AH288" s="25">
        <f t="shared" si="71"/>
        <v>18221893006.241974</v>
      </c>
    </row>
    <row r="289" spans="1:34" ht="15.75" customHeight="1">
      <c r="A289" s="22">
        <f t="shared" si="55"/>
        <v>285</v>
      </c>
      <c r="B289" s="22">
        <f t="shared" si="73"/>
        <v>1535.7618779589061</v>
      </c>
      <c r="C289" s="25">
        <f t="shared" si="47"/>
        <v>3455.0556850526696</v>
      </c>
      <c r="D289" s="25">
        <f t="shared" si="56"/>
        <v>1008178.5223171444</v>
      </c>
      <c r="E289" s="25">
        <f>$C289/((1+'How much will I make'!$C$5/12)^(Calculations!$B$1*12-Calculations!$A289))</f>
        <v>1535.7618779589061</v>
      </c>
      <c r="F289" s="25">
        <f t="shared" si="57"/>
        <v>262404.70761176804</v>
      </c>
      <c r="G289" s="25">
        <f t="shared" si="48"/>
        <v>7746.9029504741402</v>
      </c>
      <c r="H289" s="25">
        <f t="shared" si="58"/>
        <v>4321469.1943749944</v>
      </c>
      <c r="I289" s="25">
        <f>G289/((1+'How much will I make'!$C$5/12)^(Calculations!$B$1*12-Calculations!$A289))</f>
        <v>3443.4751008663384</v>
      </c>
      <c r="J289" s="25">
        <f t="shared" si="59"/>
        <v>1002335.5832230034</v>
      </c>
      <c r="K289" s="25">
        <f t="shared" si="49"/>
        <v>17312.313218316162</v>
      </c>
      <c r="L289" s="25">
        <f t="shared" si="60"/>
        <v>20482969.371467449</v>
      </c>
      <c r="M289" s="25">
        <f>K289/((1+'How much will I make'!$C$5/12)^(Calculations!$B$1*12-Calculations!$A289))</f>
        <v>7695.2712441069425</v>
      </c>
      <c r="N289" s="25">
        <f t="shared" si="61"/>
        <v>4267728.9502282543</v>
      </c>
      <c r="O289" s="25">
        <f t="shared" si="50"/>
        <v>38560.964246527685</v>
      </c>
      <c r="P289" s="25">
        <f t="shared" si="62"/>
        <v>105329070.90410928</v>
      </c>
      <c r="Q289" s="25">
        <f>O289/((1+'How much will I make'!$C$5/12)^(Calculations!$B$1*12-Calculations!$A289))</f>
        <v>17140.232825582036</v>
      </c>
      <c r="R289" s="25">
        <f t="shared" si="63"/>
        <v>20079082.255728908</v>
      </c>
      <c r="S289" s="25">
        <f t="shared" si="51"/>
        <v>85608.758759541961</v>
      </c>
      <c r="T289" s="25">
        <f t="shared" si="64"/>
        <v>575208767.89753592</v>
      </c>
      <c r="U289" s="25">
        <f>S289/((1+'How much will I make'!$C$5/12)^(Calculations!$B$1*12-Calculations!$A289))</f>
        <v>38052.836222314283</v>
      </c>
      <c r="V289" s="25">
        <f t="shared" si="65"/>
        <v>102448846.58267364</v>
      </c>
      <c r="W289" s="25">
        <f t="shared" si="52"/>
        <v>189442.59511158612</v>
      </c>
      <c r="X289" s="25">
        <f t="shared" si="66"/>
        <v>3275596978.6801782</v>
      </c>
      <c r="Y289" s="25">
        <f>W289/((1+'How much will I make'!$C$5/12)^(Calculations!$B$1*12-Calculations!$A289))</f>
        <v>84206.664712422164</v>
      </c>
      <c r="Z289" s="25">
        <f t="shared" si="67"/>
        <v>555035229.21507084</v>
      </c>
      <c r="AA289" s="25">
        <f t="shared" si="53"/>
        <v>417866.57629486819</v>
      </c>
      <c r="AB289" s="25">
        <f t="shared" si="68"/>
        <v>19188198164.435722</v>
      </c>
      <c r="AC289" s="25">
        <f>AA289/((1+'How much will I make'!$C$5/12)^(Calculations!$B$1*12-Calculations!$A289))</f>
        <v>185740.43848936763</v>
      </c>
      <c r="AD289" s="25">
        <f t="shared" si="69"/>
        <v>3135542538.2382751</v>
      </c>
      <c r="AE289" s="25">
        <f t="shared" si="54"/>
        <v>918775.72103564488</v>
      </c>
      <c r="AF289" s="25">
        <f t="shared" si="70"/>
        <v>114533199822.06172</v>
      </c>
      <c r="AG289" s="25">
        <f>AE289/((1+'How much will I make'!$C$5/12)^(Calculations!$B$1*12-Calculations!$A289))</f>
        <v>408393.04931180587</v>
      </c>
      <c r="AH289" s="25">
        <f t="shared" si="71"/>
        <v>18222301399.291286</v>
      </c>
    </row>
    <row r="290" spans="1:34" ht="15.75" customHeight="1">
      <c r="A290" s="22">
        <f t="shared" si="55"/>
        <v>286</v>
      </c>
      <c r="B290" s="22">
        <f t="shared" si="73"/>
        <v>1535.7618779589061</v>
      </c>
      <c r="C290" s="25">
        <f t="shared" si="47"/>
        <v>3440.7193544092975</v>
      </c>
      <c r="D290" s="25">
        <f t="shared" si="56"/>
        <v>1011619.2416715537</v>
      </c>
      <c r="E290" s="25">
        <f>$C290/((1+'How much will I make'!$C$5/12)^(Calculations!$B$1*12-Calculations!$A290))</f>
        <v>1535.7618779589061</v>
      </c>
      <c r="F290" s="25">
        <f t="shared" si="57"/>
        <v>263940.46948972694</v>
      </c>
      <c r="G290" s="25">
        <f t="shared" si="48"/>
        <v>7682.8789591479081</v>
      </c>
      <c r="H290" s="25">
        <f t="shared" si="58"/>
        <v>4329152.0733341426</v>
      </c>
      <c r="I290" s="25">
        <f>G290/((1+'How much will I make'!$C$5/12)^(Calculations!$B$1*12-Calculations!$A290))</f>
        <v>3429.2458649123455</v>
      </c>
      <c r="J290" s="25">
        <f t="shared" si="59"/>
        <v>1005764.8290879158</v>
      </c>
      <c r="K290" s="25">
        <f t="shared" si="49"/>
        <v>17098.580956361646</v>
      </c>
      <c r="L290" s="25">
        <f t="shared" si="60"/>
        <v>20500067.952423811</v>
      </c>
      <c r="M290" s="25">
        <f>K290/((1+'How much will I make'!$C$5/12)^(Calculations!$B$1*12-Calculations!$A290))</f>
        <v>7631.9356783118265</v>
      </c>
      <c r="N290" s="25">
        <f t="shared" si="61"/>
        <v>4275360.8859065659</v>
      </c>
      <c r="O290" s="25">
        <f t="shared" si="50"/>
        <v>37928.817291666586</v>
      </c>
      <c r="P290" s="25">
        <f t="shared" si="62"/>
        <v>105366999.72140095</v>
      </c>
      <c r="Q290" s="25">
        <f>O290/((1+'How much will I make'!$C$5/12)^(Calculations!$B$1*12-Calculations!$A290))</f>
        <v>16929.492258054393</v>
      </c>
      <c r="R290" s="25">
        <f t="shared" si="63"/>
        <v>20096011.747986961</v>
      </c>
      <c r="S290" s="25">
        <f t="shared" si="51"/>
        <v>83861.641233837043</v>
      </c>
      <c r="T290" s="25">
        <f t="shared" si="64"/>
        <v>575292629.53876972</v>
      </c>
      <c r="U290" s="25">
        <f>S290/((1+'How much will I make'!$C$5/12)^(Calculations!$B$1*12-Calculations!$A290))</f>
        <v>37431.565426847941</v>
      </c>
      <c r="V290" s="25">
        <f t="shared" si="65"/>
        <v>102486278.14810048</v>
      </c>
      <c r="W290" s="25">
        <f t="shared" si="52"/>
        <v>184822.04401130354</v>
      </c>
      <c r="X290" s="25">
        <f t="shared" si="66"/>
        <v>3275781800.7241893</v>
      </c>
      <c r="Y290" s="25">
        <f>W290/((1+'How much will I make'!$C$5/12)^(Calculations!$B$1*12-Calculations!$A290))</f>
        <v>82495.147136966436</v>
      </c>
      <c r="Z290" s="25">
        <f t="shared" si="67"/>
        <v>555117724.36220777</v>
      </c>
      <c r="AA290" s="25">
        <f t="shared" si="53"/>
        <v>406024.20368732139</v>
      </c>
      <c r="AB290" s="25">
        <f t="shared" si="68"/>
        <v>19188604188.639408</v>
      </c>
      <c r="AC290" s="25">
        <f>AA290/((1+'How much will I make'!$C$5/12)^(Calculations!$B$1*12-Calculations!$A290))</f>
        <v>181228.52500379598</v>
      </c>
      <c r="AD290" s="25">
        <f t="shared" si="69"/>
        <v>3135723766.763279</v>
      </c>
      <c r="AE290" s="25">
        <f t="shared" si="54"/>
        <v>889137.79455062409</v>
      </c>
      <c r="AF290" s="25">
        <f t="shared" si="70"/>
        <v>114534088959.85628</v>
      </c>
      <c r="AG290" s="25">
        <f>AE290/((1+'How much will I make'!$C$5/12)^(Calculations!$B$1*12-Calculations!$A290))</f>
        <v>396865.82614574686</v>
      </c>
      <c r="AH290" s="25">
        <f t="shared" si="71"/>
        <v>18222698265.117432</v>
      </c>
    </row>
    <row r="291" spans="1:34" ht="15.75" customHeight="1">
      <c r="A291" s="22">
        <f t="shared" si="55"/>
        <v>287</v>
      </c>
      <c r="B291" s="22">
        <f t="shared" si="73"/>
        <v>1535.7618779589061</v>
      </c>
      <c r="C291" s="25">
        <f t="shared" si="47"/>
        <v>3426.4425106150675</v>
      </c>
      <c r="D291" s="25">
        <f t="shared" si="56"/>
        <v>1015045.6841821688</v>
      </c>
      <c r="E291" s="25">
        <f>$C291/((1+'How much will I make'!$C$5/12)^(Calculations!$B$1*12-Calculations!$A291))</f>
        <v>1535.7618779589061</v>
      </c>
      <c r="F291" s="25">
        <f t="shared" si="57"/>
        <v>265476.23136768583</v>
      </c>
      <c r="G291" s="25">
        <f t="shared" si="48"/>
        <v>7619.3840917169337</v>
      </c>
      <c r="H291" s="25">
        <f t="shared" si="58"/>
        <v>4336771.4574258598</v>
      </c>
      <c r="I291" s="25">
        <f>G291/((1+'How much will I make'!$C$5/12)^(Calculations!$B$1*12-Calculations!$A291))</f>
        <v>3415.07542745403</v>
      </c>
      <c r="J291" s="25">
        <f t="shared" si="59"/>
        <v>1009179.9045153699</v>
      </c>
      <c r="K291" s="25">
        <f t="shared" si="49"/>
        <v>16887.487364307799</v>
      </c>
      <c r="L291" s="25">
        <f t="shared" si="60"/>
        <v>20516955.439788118</v>
      </c>
      <c r="M291" s="25">
        <f>K291/((1+'How much will I make'!$C$5/12)^(Calculations!$B$1*12-Calculations!$A291))</f>
        <v>7569.1213928936231</v>
      </c>
      <c r="N291" s="25">
        <f t="shared" si="61"/>
        <v>4282930.0072994595</v>
      </c>
      <c r="O291" s="25">
        <f t="shared" si="50"/>
        <v>37307.033401639259</v>
      </c>
      <c r="P291" s="25">
        <f t="shared" si="62"/>
        <v>105404306.75480258</v>
      </c>
      <c r="Q291" s="25">
        <f>O291/((1+'How much will I make'!$C$5/12)^(Calculations!$B$1*12-Calculations!$A291))</f>
        <v>16721.342763078312</v>
      </c>
      <c r="R291" s="25">
        <f t="shared" si="63"/>
        <v>20112733.090750039</v>
      </c>
      <c r="S291" s="25">
        <f t="shared" si="51"/>
        <v>82150.179167840382</v>
      </c>
      <c r="T291" s="25">
        <f t="shared" si="64"/>
        <v>575374779.71793759</v>
      </c>
      <c r="U291" s="25">
        <f>S291/((1+'How much will I make'!$C$5/12)^(Calculations!$B$1*12-Calculations!$A291))</f>
        <v>36820.437828042268</v>
      </c>
      <c r="V291" s="25">
        <f t="shared" si="65"/>
        <v>102523098.58592853</v>
      </c>
      <c r="W291" s="25">
        <f t="shared" si="52"/>
        <v>180314.1892793205</v>
      </c>
      <c r="X291" s="25">
        <f t="shared" si="66"/>
        <v>3275962114.9134688</v>
      </c>
      <c r="Y291" s="25">
        <f>W291/((1+'How much will I make'!$C$5/12)^(Calculations!$B$1*12-Calculations!$A291))</f>
        <v>80818.41650410126</v>
      </c>
      <c r="Z291" s="25">
        <f t="shared" si="67"/>
        <v>555198542.77871192</v>
      </c>
      <c r="AA291" s="25">
        <f t="shared" si="53"/>
        <v>394517.44487836893</v>
      </c>
      <c r="AB291" s="25">
        <f t="shared" si="68"/>
        <v>19188998706.084286</v>
      </c>
      <c r="AC291" s="25">
        <f>AA291/((1+'How much will I make'!$C$5/12)^(Calculations!$B$1*12-Calculations!$A291))</f>
        <v>176826.21265552563</v>
      </c>
      <c r="AD291" s="25">
        <f t="shared" si="69"/>
        <v>3135900592.9759345</v>
      </c>
      <c r="AE291" s="25">
        <f t="shared" si="54"/>
        <v>860455.9302102814</v>
      </c>
      <c r="AF291" s="25">
        <f t="shared" si="70"/>
        <v>114534949415.78648</v>
      </c>
      <c r="AG291" s="25">
        <f>AE291/((1+'How much will I make'!$C$5/12)^(Calculations!$B$1*12-Calculations!$A291))</f>
        <v>385663.96814969758</v>
      </c>
      <c r="AH291" s="25">
        <f t="shared" si="71"/>
        <v>18223083929.085583</v>
      </c>
    </row>
    <row r="292" spans="1:34" ht="15.75" customHeight="1">
      <c r="A292" s="22">
        <f t="shared" si="55"/>
        <v>288</v>
      </c>
      <c r="B292" s="22">
        <f t="shared" si="73"/>
        <v>1535.7618779589061</v>
      </c>
      <c r="C292" s="25">
        <f t="shared" si="47"/>
        <v>3412.2249068365818</v>
      </c>
      <c r="D292" s="25">
        <f t="shared" si="56"/>
        <v>1018457.9090890054</v>
      </c>
      <c r="E292" s="25">
        <f>$C292/((1+'How much will I make'!$C$5/12)^(Calculations!$B$1*12-Calculations!$A292))</f>
        <v>1535.7618779589061</v>
      </c>
      <c r="F292" s="25">
        <f t="shared" si="57"/>
        <v>267011.99324564473</v>
      </c>
      <c r="G292" s="25">
        <f t="shared" si="48"/>
        <v>7556.4139752564624</v>
      </c>
      <c r="H292" s="25">
        <f t="shared" si="58"/>
        <v>4344327.8714011163</v>
      </c>
      <c r="I292" s="25">
        <f>G292/((1+'How much will I make'!$C$5/12)^(Calculations!$B$1*12-Calculations!$A292))</f>
        <v>3400.9635455224015</v>
      </c>
      <c r="J292" s="25">
        <f t="shared" si="59"/>
        <v>1012580.8680608923</v>
      </c>
      <c r="K292" s="25">
        <f t="shared" si="49"/>
        <v>16678.999865983013</v>
      </c>
      <c r="L292" s="25">
        <f t="shared" si="60"/>
        <v>20533634.439654101</v>
      </c>
      <c r="M292" s="25">
        <f>K292/((1+'How much will I make'!$C$5/12)^(Calculations!$B$1*12-Calculations!$A292))</f>
        <v>7506.8240974788614</v>
      </c>
      <c r="N292" s="25">
        <f t="shared" si="61"/>
        <v>4290436.8313969383</v>
      </c>
      <c r="O292" s="25">
        <f t="shared" si="50"/>
        <v>36695.442690136981</v>
      </c>
      <c r="P292" s="25">
        <f t="shared" si="62"/>
        <v>105441002.19749272</v>
      </c>
      <c r="Q292" s="25">
        <f>O292/((1+'How much will I make'!$C$5/12)^(Calculations!$B$1*12-Calculations!$A292))</f>
        <v>16515.7524832044</v>
      </c>
      <c r="R292" s="25">
        <f t="shared" si="63"/>
        <v>20129248.843233243</v>
      </c>
      <c r="S292" s="25">
        <f t="shared" si="51"/>
        <v>80473.644899108942</v>
      </c>
      <c r="T292" s="25">
        <f t="shared" si="64"/>
        <v>575455253.36283672</v>
      </c>
      <c r="U292" s="25">
        <f>S292/((1+'How much will I make'!$C$5/12)^(Calculations!$B$1*12-Calculations!$A292))</f>
        <v>36219.28782268647</v>
      </c>
      <c r="V292" s="25">
        <f t="shared" si="65"/>
        <v>102559317.87375122</v>
      </c>
      <c r="W292" s="25">
        <f t="shared" si="52"/>
        <v>175916.28222372735</v>
      </c>
      <c r="X292" s="25">
        <f t="shared" si="66"/>
        <v>3276138031.1956925</v>
      </c>
      <c r="Y292" s="25">
        <f>W292/((1+'How much will I make'!$C$5/12)^(Calculations!$B$1*12-Calculations!$A292))</f>
        <v>79175.765762147988</v>
      </c>
      <c r="Z292" s="25">
        <f t="shared" si="67"/>
        <v>555277718.54447401</v>
      </c>
      <c r="AA292" s="25">
        <f t="shared" si="53"/>
        <v>383336.78854578367</v>
      </c>
      <c r="AB292" s="25">
        <f t="shared" si="68"/>
        <v>19189382042.872833</v>
      </c>
      <c r="AC292" s="25">
        <f>AA292/((1+'How much will I make'!$C$5/12)^(Calculations!$B$1*12-Calculations!$A292))</f>
        <v>172530.83906875178</v>
      </c>
      <c r="AD292" s="25">
        <f t="shared" si="69"/>
        <v>3136073123.8150034</v>
      </c>
      <c r="AE292" s="25">
        <f t="shared" si="54"/>
        <v>832699.28730027226</v>
      </c>
      <c r="AF292" s="25">
        <f t="shared" si="70"/>
        <v>114535782115.07379</v>
      </c>
      <c r="AG292" s="25">
        <f>AE292/((1+'How much will I make'!$C$5/12)^(Calculations!$B$1*12-Calculations!$A292))</f>
        <v>374778.29162934318</v>
      </c>
      <c r="AH292" s="25">
        <f t="shared" si="71"/>
        <v>18223458707.377213</v>
      </c>
    </row>
    <row r="293" spans="1:34" ht="15.75" customHeight="1">
      <c r="A293" s="22">
        <f t="shared" si="55"/>
        <v>289</v>
      </c>
      <c r="B293" s="22">
        <f>B292*(1+'How much will I make'!$C$4)</f>
        <v>1612.5499718568515</v>
      </c>
      <c r="C293" s="25">
        <f t="shared" si="47"/>
        <v>3567.9696121278798</v>
      </c>
      <c r="D293" s="25">
        <f t="shared" si="56"/>
        <v>1022025.8787011333</v>
      </c>
      <c r="E293" s="25">
        <f>$C293/((1+'How much will I make'!$C$5/12)^(Calculations!$B$1*12-Calculations!$A293))</f>
        <v>1612.5499718568515</v>
      </c>
      <c r="F293" s="25">
        <f t="shared" si="57"/>
        <v>268624.5432175016</v>
      </c>
      <c r="G293" s="25">
        <f t="shared" si="48"/>
        <v>7868.6624866306984</v>
      </c>
      <c r="H293" s="25">
        <f t="shared" si="58"/>
        <v>4352196.5338877467</v>
      </c>
      <c r="I293" s="25">
        <f>G293/((1+'How much will I make'!$C$5/12)^(Calculations!$B$1*12-Calculations!$A293))</f>
        <v>3556.2554760100975</v>
      </c>
      <c r="J293" s="25">
        <f t="shared" si="59"/>
        <v>1016137.1235369025</v>
      </c>
      <c r="K293" s="25">
        <f t="shared" si="49"/>
        <v>17296.740601760157</v>
      </c>
      <c r="L293" s="25">
        <f t="shared" si="60"/>
        <v>20550931.18025586</v>
      </c>
      <c r="M293" s="25">
        <f>K293/((1+'How much will I make'!$C$5/12)^(Calculations!$B$1*12-Calculations!$A293))</f>
        <v>7817.2915138560684</v>
      </c>
      <c r="N293" s="25">
        <f t="shared" si="61"/>
        <v>4298254.1229107948</v>
      </c>
      <c r="O293" s="25">
        <f t="shared" si="50"/>
        <v>37898.571958666063</v>
      </c>
      <c r="P293" s="25">
        <f t="shared" si="62"/>
        <v>105478900.76945138</v>
      </c>
      <c r="Q293" s="25">
        <f>O293/((1+'How much will I make'!$C$5/12)^(Calculations!$B$1*12-Calculations!$A293))</f>
        <v>17128.324450306853</v>
      </c>
      <c r="R293" s="25">
        <f t="shared" si="63"/>
        <v>20146377.167683549</v>
      </c>
      <c r="S293" s="25">
        <f t="shared" si="51"/>
        <v>82772.891896226356</v>
      </c>
      <c r="T293" s="25">
        <f t="shared" si="64"/>
        <v>575538026.25473297</v>
      </c>
      <c r="U293" s="25">
        <f>S293/((1+'How much will I make'!$C$5/12)^(Calculations!$B$1*12-Calculations!$A293))</f>
        <v>37409.350136860448</v>
      </c>
      <c r="V293" s="25">
        <f t="shared" si="65"/>
        <v>102596727.22388808</v>
      </c>
      <c r="W293" s="25">
        <f t="shared" si="52"/>
        <v>180206.92325357444</v>
      </c>
      <c r="X293" s="25">
        <f t="shared" si="66"/>
        <v>3276318238.1189461</v>
      </c>
      <c r="Y293" s="25">
        <f>W293/((1+'How much will I make'!$C$5/12)^(Calculations!$B$1*12-Calculations!$A293))</f>
        <v>81444.827341916869</v>
      </c>
      <c r="Z293" s="25">
        <f t="shared" si="67"/>
        <v>555359163.37181592</v>
      </c>
      <c r="AA293" s="25">
        <f t="shared" si="53"/>
        <v>391096.64256492915</v>
      </c>
      <c r="AB293" s="25">
        <f t="shared" si="68"/>
        <v>19189773139.5154</v>
      </c>
      <c r="AC293" s="25">
        <f>AA293/((1+'How much will I make'!$C$5/12)^(Calculations!$B$1*12-Calculations!$A293))</f>
        <v>176756.79686780414</v>
      </c>
      <c r="AD293" s="25">
        <f t="shared" si="69"/>
        <v>3136249880.6118712</v>
      </c>
      <c r="AE293" s="25">
        <f t="shared" si="54"/>
        <v>846129.92096640542</v>
      </c>
      <c r="AF293" s="25">
        <f t="shared" si="70"/>
        <v>114536628244.99475</v>
      </c>
      <c r="AG293" s="25">
        <f>AE293/((1+'How much will I make'!$C$5/12)^(Calculations!$B$1*12-Calculations!$A293))</f>
        <v>382409.86571292428</v>
      </c>
      <c r="AH293" s="25">
        <f t="shared" si="71"/>
        <v>18223841117.242924</v>
      </c>
    </row>
    <row r="294" spans="1:34" ht="15.75" customHeight="1">
      <c r="A294" s="22">
        <f t="shared" si="55"/>
        <v>290</v>
      </c>
      <c r="B294" s="22">
        <f t="shared" ref="B294:B304" si="74">B293</f>
        <v>1612.5499718568515</v>
      </c>
      <c r="C294" s="25">
        <f t="shared" si="47"/>
        <v>3553.1647589655213</v>
      </c>
      <c r="D294" s="25">
        <f t="shared" si="56"/>
        <v>1025579.0434600988</v>
      </c>
      <c r="E294" s="25">
        <f>$C294/((1+'How much will I make'!$C$5/12)^(Calculations!$B$1*12-Calculations!$A294))</f>
        <v>1612.5499718568515</v>
      </c>
      <c r="F294" s="25">
        <f t="shared" si="57"/>
        <v>270237.09318935848</v>
      </c>
      <c r="G294" s="25">
        <f t="shared" si="48"/>
        <v>7803.6322181461474</v>
      </c>
      <c r="H294" s="25">
        <f t="shared" si="58"/>
        <v>4360000.1661058925</v>
      </c>
      <c r="I294" s="25">
        <f>G294/((1+'How much will I make'!$C$5/12)^(Calculations!$B$1*12-Calculations!$A294))</f>
        <v>3541.5602054480746</v>
      </c>
      <c r="J294" s="25">
        <f t="shared" si="59"/>
        <v>1019678.6837423505</v>
      </c>
      <c r="K294" s="25">
        <f t="shared" si="49"/>
        <v>17083.200594331021</v>
      </c>
      <c r="L294" s="25">
        <f t="shared" si="60"/>
        <v>20568014.380850192</v>
      </c>
      <c r="M294" s="25">
        <f>K294/((1+'How much will I make'!$C$5/12)^(Calculations!$B$1*12-Calculations!$A294))</f>
        <v>7752.9516660054069</v>
      </c>
      <c r="N294" s="25">
        <f t="shared" si="61"/>
        <v>4306007.0745767998</v>
      </c>
      <c r="O294" s="25">
        <f t="shared" si="50"/>
        <v>37277.283893769913</v>
      </c>
      <c r="P294" s="25">
        <f t="shared" si="62"/>
        <v>105516178.05334514</v>
      </c>
      <c r="Q294" s="25">
        <f>O294/((1+'How much will I make'!$C$5/12)^(Calculations!$B$1*12-Calculations!$A294))</f>
        <v>16917.730297229326</v>
      </c>
      <c r="R294" s="25">
        <f t="shared" si="63"/>
        <v>20163294.897980779</v>
      </c>
      <c r="S294" s="25">
        <f t="shared" si="51"/>
        <v>81083.649204466637</v>
      </c>
      <c r="T294" s="25">
        <f t="shared" si="64"/>
        <v>575619109.90393746</v>
      </c>
      <c r="U294" s="25">
        <f>S294/((1+'How much will I make'!$C$5/12)^(Calculations!$B$1*12-Calculations!$A294))</f>
        <v>36798.585236666833</v>
      </c>
      <c r="V294" s="25">
        <f t="shared" si="65"/>
        <v>102633525.80912475</v>
      </c>
      <c r="W294" s="25">
        <f t="shared" si="52"/>
        <v>175811.63244251159</v>
      </c>
      <c r="X294" s="25">
        <f t="shared" si="66"/>
        <v>3276494049.7513885</v>
      </c>
      <c r="Y294" s="25">
        <f>W294/((1+'How much will I make'!$C$5/12)^(Calculations!$B$1*12-Calculations!$A294))</f>
        <v>79789.444672365731</v>
      </c>
      <c r="Z294" s="25">
        <f t="shared" si="67"/>
        <v>555438952.81648827</v>
      </c>
      <c r="AA294" s="25">
        <f t="shared" si="53"/>
        <v>380012.9320468948</v>
      </c>
      <c r="AB294" s="25">
        <f t="shared" si="68"/>
        <v>19190153152.447449</v>
      </c>
      <c r="AC294" s="25">
        <f>AA294/((1+'How much will I make'!$C$5/12)^(Calculations!$B$1*12-Calculations!$A294))</f>
        <v>172463.1094944973</v>
      </c>
      <c r="AD294" s="25">
        <f t="shared" si="69"/>
        <v>3136422343.7213659</v>
      </c>
      <c r="AE294" s="25">
        <f t="shared" si="54"/>
        <v>818835.40738684393</v>
      </c>
      <c r="AF294" s="25">
        <f t="shared" si="70"/>
        <v>114537447080.40215</v>
      </c>
      <c r="AG294" s="25">
        <f>AE294/((1+'How much will I make'!$C$5/12)^(Calculations!$B$1*12-Calculations!$A294))</f>
        <v>371616.03885812423</v>
      </c>
      <c r="AH294" s="25">
        <f t="shared" si="71"/>
        <v>18224212733.28178</v>
      </c>
    </row>
    <row r="295" spans="1:34" ht="15.75" customHeight="1">
      <c r="A295" s="22">
        <f t="shared" si="55"/>
        <v>291</v>
      </c>
      <c r="B295" s="22">
        <f t="shared" si="74"/>
        <v>1612.5499718568515</v>
      </c>
      <c r="C295" s="25">
        <f t="shared" si="47"/>
        <v>3538.42133672915</v>
      </c>
      <c r="D295" s="25">
        <f t="shared" si="56"/>
        <v>1029117.464796828</v>
      </c>
      <c r="E295" s="25">
        <f>$C295/((1+'How much will I make'!$C$5/12)^(Calculations!$B$1*12-Calculations!$A295))</f>
        <v>1612.5499718568515</v>
      </c>
      <c r="F295" s="25">
        <f t="shared" si="57"/>
        <v>271849.64316121535</v>
      </c>
      <c r="G295" s="25">
        <f t="shared" si="48"/>
        <v>7739.1393898970055</v>
      </c>
      <c r="H295" s="25">
        <f t="shared" si="58"/>
        <v>4367739.3054957893</v>
      </c>
      <c r="I295" s="25">
        <f>G295/((1+'How much will I make'!$C$5/12)^(Calculations!$B$1*12-Calculations!$A295))</f>
        <v>3526.9256591445696</v>
      </c>
      <c r="J295" s="25">
        <f t="shared" si="59"/>
        <v>1023205.6094014951</v>
      </c>
      <c r="K295" s="25">
        <f t="shared" si="49"/>
        <v>16872.296883289895</v>
      </c>
      <c r="L295" s="25">
        <f t="shared" si="60"/>
        <v>20584886.677733481</v>
      </c>
      <c r="M295" s="25">
        <f>K295/((1+'How much will I make'!$C$5/12)^(Calculations!$B$1*12-Calculations!$A295))</f>
        <v>7689.1413642275829</v>
      </c>
      <c r="N295" s="25">
        <f t="shared" si="61"/>
        <v>4313696.2159410277</v>
      </c>
      <c r="O295" s="25">
        <f t="shared" si="50"/>
        <v>36666.180879117943</v>
      </c>
      <c r="P295" s="25">
        <f t="shared" si="62"/>
        <v>105552844.23422426</v>
      </c>
      <c r="Q295" s="25">
        <f>O295/((1+'How much will I make'!$C$5/12)^(Calculations!$B$1*12-Calculations!$A295))</f>
        <v>16709.725416525685</v>
      </c>
      <c r="R295" s="25">
        <f t="shared" si="63"/>
        <v>20180004.623397306</v>
      </c>
      <c r="S295" s="25">
        <f t="shared" si="51"/>
        <v>79428.880853355106</v>
      </c>
      <c r="T295" s="25">
        <f t="shared" si="64"/>
        <v>575698538.78479087</v>
      </c>
      <c r="U295" s="25">
        <f>S295/((1+'How much will I make'!$C$5/12)^(Calculations!$B$1*12-Calculations!$A295))</f>
        <v>36197.792008313103</v>
      </c>
      <c r="V295" s="25">
        <f t="shared" si="65"/>
        <v>102669723.60113306</v>
      </c>
      <c r="W295" s="25">
        <f t="shared" si="52"/>
        <v>171523.54384635278</v>
      </c>
      <c r="X295" s="25">
        <f t="shared" si="66"/>
        <v>3276665573.2952347</v>
      </c>
      <c r="Y295" s="25">
        <f>W295/((1+'How much will I make'!$C$5/12)^(Calculations!$B$1*12-Calculations!$A295))</f>
        <v>78167.707992033102</v>
      </c>
      <c r="Z295" s="25">
        <f t="shared" si="67"/>
        <v>555517120.52448034</v>
      </c>
      <c r="AA295" s="25">
        <f t="shared" si="53"/>
        <v>369243.33478240791</v>
      </c>
      <c r="AB295" s="25">
        <f t="shared" si="68"/>
        <v>19190522395.78223</v>
      </c>
      <c r="AC295" s="25">
        <f>AA295/((1+'How much will I make'!$C$5/12)^(Calculations!$B$1*12-Calculations!$A295))</f>
        <v>168273.72221932732</v>
      </c>
      <c r="AD295" s="25">
        <f t="shared" si="69"/>
        <v>3136590617.4435854</v>
      </c>
      <c r="AE295" s="25">
        <f t="shared" si="54"/>
        <v>792421.36198726832</v>
      </c>
      <c r="AF295" s="25">
        <f t="shared" si="70"/>
        <v>114538239501.76413</v>
      </c>
      <c r="AG295" s="25">
        <f>AE295/((1+'How much will I make'!$C$5/12)^(Calculations!$B$1*12-Calculations!$A295))</f>
        <v>361126.87647099973</v>
      </c>
      <c r="AH295" s="25">
        <f t="shared" si="71"/>
        <v>18224573860.158253</v>
      </c>
    </row>
    <row r="296" spans="1:34" ht="15.75" customHeight="1">
      <c r="A296" s="22">
        <f t="shared" si="55"/>
        <v>292</v>
      </c>
      <c r="B296" s="22">
        <f t="shared" si="74"/>
        <v>1612.5499718568515</v>
      </c>
      <c r="C296" s="25">
        <f t="shared" si="47"/>
        <v>3523.7390905186558</v>
      </c>
      <c r="D296" s="25">
        <f t="shared" si="56"/>
        <v>1032641.2038873467</v>
      </c>
      <c r="E296" s="25">
        <f>$C296/((1+'How much will I make'!$C$5/12)^(Calculations!$B$1*12-Calculations!$A296))</f>
        <v>1612.5499718568515</v>
      </c>
      <c r="F296" s="25">
        <f t="shared" si="57"/>
        <v>273462.19313307223</v>
      </c>
      <c r="G296" s="25">
        <f t="shared" si="48"/>
        <v>7675.1795602284365</v>
      </c>
      <c r="H296" s="25">
        <f t="shared" si="58"/>
        <v>4375414.4850560175</v>
      </c>
      <c r="I296" s="25">
        <f>G296/((1+'How much will I make'!$C$5/12)^(Calculations!$B$1*12-Calculations!$A296))</f>
        <v>3512.3515861728984</v>
      </c>
      <c r="J296" s="25">
        <f t="shared" si="59"/>
        <v>1026717.960987668</v>
      </c>
      <c r="K296" s="25">
        <f t="shared" si="49"/>
        <v>16663.996921767801</v>
      </c>
      <c r="L296" s="25">
        <f t="shared" si="60"/>
        <v>20601550.674655247</v>
      </c>
      <c r="M296" s="25">
        <f>K296/((1+'How much will I make'!$C$5/12)^(Calculations!$B$1*12-Calculations!$A296))</f>
        <v>7625.8562501187153</v>
      </c>
      <c r="N296" s="25">
        <f t="shared" si="61"/>
        <v>4321322.0721911462</v>
      </c>
      <c r="O296" s="25">
        <f t="shared" si="50"/>
        <v>36065.095946673384</v>
      </c>
      <c r="P296" s="25">
        <f t="shared" si="62"/>
        <v>105588909.33017093</v>
      </c>
      <c r="Q296" s="25">
        <f>O296/((1+'How much will I make'!$C$5/12)^(Calculations!$B$1*12-Calculations!$A296))</f>
        <v>16504.277972879874</v>
      </c>
      <c r="R296" s="25">
        <f t="shared" si="63"/>
        <v>20196508.901370186</v>
      </c>
      <c r="S296" s="25">
        <f t="shared" si="51"/>
        <v>77807.883284919284</v>
      </c>
      <c r="T296" s="25">
        <f t="shared" si="64"/>
        <v>575776346.6680758</v>
      </c>
      <c r="U296" s="25">
        <f>S296/((1+'How much will I make'!$C$5/12)^(Calculations!$B$1*12-Calculations!$A296))</f>
        <v>35606.807648993701</v>
      </c>
      <c r="V296" s="25">
        <f t="shared" si="65"/>
        <v>102705330.40878205</v>
      </c>
      <c r="W296" s="25">
        <f t="shared" si="52"/>
        <v>167340.04277692953</v>
      </c>
      <c r="X296" s="25">
        <f t="shared" si="66"/>
        <v>3276832913.3380117</v>
      </c>
      <c r="Y296" s="25">
        <f>W296/((1+'How much will I make'!$C$5/12)^(Calculations!$B$1*12-Calculations!$A296))</f>
        <v>76578.933439349494</v>
      </c>
      <c r="Z296" s="25">
        <f t="shared" si="67"/>
        <v>555593699.45791972</v>
      </c>
      <c r="AA296" s="25">
        <f t="shared" si="53"/>
        <v>358778.94877642882</v>
      </c>
      <c r="AB296" s="25">
        <f t="shared" si="68"/>
        <v>19190881174.731007</v>
      </c>
      <c r="AC296" s="25">
        <f>AA296/((1+'How much will I make'!$C$5/12)^(Calculations!$B$1*12-Calculations!$A296))</f>
        <v>164186.10143667163</v>
      </c>
      <c r="AD296" s="25">
        <f t="shared" si="69"/>
        <v>3136754803.545022</v>
      </c>
      <c r="AE296" s="25">
        <f t="shared" si="54"/>
        <v>766859.38256832422</v>
      </c>
      <c r="AF296" s="25">
        <f t="shared" si="70"/>
        <v>114539006361.1467</v>
      </c>
      <c r="AG296" s="25">
        <f>AE296/((1+'How much will I make'!$C$5/12)^(Calculations!$B$1*12-Calculations!$A296))</f>
        <v>350933.77915125375</v>
      </c>
      <c r="AH296" s="25">
        <f t="shared" si="71"/>
        <v>18224924793.937405</v>
      </c>
    </row>
    <row r="297" spans="1:34" ht="15.75" customHeight="1">
      <c r="A297" s="22">
        <f t="shared" si="55"/>
        <v>293</v>
      </c>
      <c r="B297" s="22">
        <f t="shared" si="74"/>
        <v>1612.5499718568515</v>
      </c>
      <c r="C297" s="25">
        <f t="shared" si="47"/>
        <v>3509.1177664916067</v>
      </c>
      <c r="D297" s="25">
        <f t="shared" si="56"/>
        <v>1036150.3216538383</v>
      </c>
      <c r="E297" s="25">
        <f>$C297/((1+'How much will I make'!$C$5/12)^(Calculations!$B$1*12-Calculations!$A297))</f>
        <v>1612.5499718568515</v>
      </c>
      <c r="F297" s="25">
        <f t="shared" si="57"/>
        <v>275074.7431049291</v>
      </c>
      <c r="G297" s="25">
        <f t="shared" si="48"/>
        <v>7611.7483241934906</v>
      </c>
      <c r="H297" s="25">
        <f t="shared" si="58"/>
        <v>4383026.2333802106</v>
      </c>
      <c r="I297" s="25">
        <f>G297/((1+'How much will I make'!$C$5/12)^(Calculations!$B$1*12-Calculations!$A297))</f>
        <v>3497.8377366432587</v>
      </c>
      <c r="J297" s="25">
        <f t="shared" si="59"/>
        <v>1030215.7987243113</v>
      </c>
      <c r="K297" s="25">
        <f t="shared" si="49"/>
        <v>16458.268564708938</v>
      </c>
      <c r="L297" s="25">
        <f t="shared" si="60"/>
        <v>20618008.943219956</v>
      </c>
      <c r="M297" s="25">
        <f>K297/((1+'How much will I make'!$C$5/12)^(Calculations!$B$1*12-Calculations!$A297))</f>
        <v>7563.092001146545</v>
      </c>
      <c r="N297" s="25">
        <f t="shared" si="61"/>
        <v>4328885.1641922928</v>
      </c>
      <c r="O297" s="25">
        <f t="shared" si="50"/>
        <v>35473.86486558037</v>
      </c>
      <c r="P297" s="25">
        <f t="shared" si="62"/>
        <v>105624383.19503652</v>
      </c>
      <c r="Q297" s="25">
        <f>O297/((1+'How much will I make'!$C$5/12)^(Calculations!$B$1*12-Calculations!$A297))</f>
        <v>16301.356522393646</v>
      </c>
      <c r="R297" s="25">
        <f t="shared" si="63"/>
        <v>20212810.257892579</v>
      </c>
      <c r="S297" s="25">
        <f t="shared" si="51"/>
        <v>76219.967299512777</v>
      </c>
      <c r="T297" s="25">
        <f t="shared" si="64"/>
        <v>575852566.63537526</v>
      </c>
      <c r="U297" s="25">
        <f>S297/((1+'How much will I make'!$C$5/12)^(Calculations!$B$1*12-Calculations!$A297))</f>
        <v>35025.472013908096</v>
      </c>
      <c r="V297" s="25">
        <f t="shared" si="65"/>
        <v>102740355.88079596</v>
      </c>
      <c r="W297" s="25">
        <f t="shared" si="52"/>
        <v>163258.57831895567</v>
      </c>
      <c r="X297" s="25">
        <f t="shared" si="66"/>
        <v>3276996171.9163308</v>
      </c>
      <c r="Y297" s="25">
        <f>W297/((1+'How much will I make'!$C$5/12)^(Calculations!$B$1*12-Calculations!$A297))</f>
        <v>75022.45105237086</v>
      </c>
      <c r="Z297" s="25">
        <f t="shared" si="67"/>
        <v>555668721.90897214</v>
      </c>
      <c r="AA297" s="25">
        <f t="shared" si="53"/>
        <v>348611.1243171778</v>
      </c>
      <c r="AB297" s="25">
        <f t="shared" si="68"/>
        <v>19191229785.855324</v>
      </c>
      <c r="AC297" s="25">
        <f>AA297/((1+'How much will I make'!$C$5/12)^(Calculations!$B$1*12-Calculations!$A297))</f>
        <v>160197.77508598327</v>
      </c>
      <c r="AD297" s="25">
        <f t="shared" si="69"/>
        <v>3136915001.3201079</v>
      </c>
      <c r="AE297" s="25">
        <f t="shared" si="54"/>
        <v>742121.98313063604</v>
      </c>
      <c r="AF297" s="25">
        <f t="shared" si="70"/>
        <v>114539748483.12982</v>
      </c>
      <c r="AG297" s="25">
        <f>AE297/((1+'How much will I make'!$C$5/12)^(Calculations!$B$1*12-Calculations!$A297))</f>
        <v>341028.39022359729</v>
      </c>
      <c r="AH297" s="25">
        <f t="shared" si="71"/>
        <v>18225265822.327629</v>
      </c>
    </row>
    <row r="298" spans="1:34" ht="15.75" customHeight="1">
      <c r="A298" s="22">
        <f t="shared" si="55"/>
        <v>294</v>
      </c>
      <c r="B298" s="22">
        <f t="shared" si="74"/>
        <v>1612.5499718568515</v>
      </c>
      <c r="C298" s="25">
        <f t="shared" si="47"/>
        <v>3494.5571118588623</v>
      </c>
      <c r="D298" s="25">
        <f t="shared" si="56"/>
        <v>1039644.8787656971</v>
      </c>
      <c r="E298" s="25">
        <f>$C298/((1+'How much will I make'!$C$5/12)^(Calculations!$B$1*12-Calculations!$A298))</f>
        <v>1612.5499718568515</v>
      </c>
      <c r="F298" s="25">
        <f t="shared" si="57"/>
        <v>276687.29307678598</v>
      </c>
      <c r="G298" s="25">
        <f t="shared" si="48"/>
        <v>7548.8413132497426</v>
      </c>
      <c r="H298" s="25">
        <f t="shared" si="58"/>
        <v>4390575.07469346</v>
      </c>
      <c r="I298" s="25">
        <f>G298/((1+'How much will I make'!$C$5/12)^(Calculations!$B$1*12-Calculations!$A298))</f>
        <v>3483.3838616984513</v>
      </c>
      <c r="J298" s="25">
        <f t="shared" si="59"/>
        <v>1033699.1825860097</v>
      </c>
      <c r="K298" s="25">
        <f t="shared" si="49"/>
        <v>16255.080063910065</v>
      </c>
      <c r="L298" s="25">
        <f t="shared" si="60"/>
        <v>20634264.023283865</v>
      </c>
      <c r="M298" s="25">
        <f>K298/((1+'How much will I make'!$C$5/12)^(Calculations!$B$1*12-Calculations!$A298))</f>
        <v>7500.8443303552149</v>
      </c>
      <c r="N298" s="25">
        <f t="shared" si="61"/>
        <v>4336386.0085226484</v>
      </c>
      <c r="O298" s="25">
        <f t="shared" si="50"/>
        <v>34892.326097292185</v>
      </c>
      <c r="P298" s="25">
        <f t="shared" si="62"/>
        <v>105659275.52113381</v>
      </c>
      <c r="Q298" s="25">
        <f>O298/((1+'How much will I make'!$C$5/12)^(Calculations!$B$1*12-Calculations!$A298))</f>
        <v>16100.930007774057</v>
      </c>
      <c r="R298" s="25">
        <f t="shared" si="63"/>
        <v>20228911.187900353</v>
      </c>
      <c r="S298" s="25">
        <f t="shared" si="51"/>
        <v>74664.457762788035</v>
      </c>
      <c r="T298" s="25">
        <f t="shared" si="64"/>
        <v>575927231.0931381</v>
      </c>
      <c r="U298" s="25">
        <f>S298/((1+'How much will I make'!$C$5/12)^(Calculations!$B$1*12-Calculations!$A298))</f>
        <v>34453.627572864694</v>
      </c>
      <c r="V298" s="25">
        <f t="shared" si="65"/>
        <v>102774809.50836882</v>
      </c>
      <c r="W298" s="25">
        <f t="shared" si="52"/>
        <v>159276.6617745909</v>
      </c>
      <c r="X298" s="25">
        <f t="shared" si="66"/>
        <v>3277155448.5781054</v>
      </c>
      <c r="Y298" s="25">
        <f>W298/((1+'How much will I make'!$C$5/12)^(Calculations!$B$1*12-Calculations!$A298))</f>
        <v>73497.604486265744</v>
      </c>
      <c r="Z298" s="25">
        <f t="shared" si="67"/>
        <v>555742219.51345837</v>
      </c>
      <c r="AA298" s="25">
        <f t="shared" si="53"/>
        <v>338731.4568264077</v>
      </c>
      <c r="AB298" s="25">
        <f t="shared" si="68"/>
        <v>19191568517.312149</v>
      </c>
      <c r="AC298" s="25">
        <f>AA298/((1+'How much will I make'!$C$5/12)^(Calculations!$B$1*12-Calculations!$A298))</f>
        <v>156306.33115676913</v>
      </c>
      <c r="AD298" s="25">
        <f t="shared" si="69"/>
        <v>3137071307.6512647</v>
      </c>
      <c r="AE298" s="25">
        <f t="shared" si="54"/>
        <v>718182.56431997044</v>
      </c>
      <c r="AF298" s="25">
        <f t="shared" si="70"/>
        <v>114540466665.69414</v>
      </c>
      <c r="AG298" s="25">
        <f>AE298/((1+'How much will I make'!$C$5/12)^(Calculations!$B$1*12-Calculations!$A298))</f>
        <v>331402.58888664091</v>
      </c>
      <c r="AH298" s="25">
        <f t="shared" si="71"/>
        <v>18225597224.916515</v>
      </c>
    </row>
    <row r="299" spans="1:34" ht="15.75" customHeight="1">
      <c r="A299" s="22">
        <f t="shared" si="55"/>
        <v>295</v>
      </c>
      <c r="B299" s="22">
        <f t="shared" si="74"/>
        <v>1612.5499718568515</v>
      </c>
      <c r="C299" s="25">
        <f t="shared" si="47"/>
        <v>3480.0568748801938</v>
      </c>
      <c r="D299" s="25">
        <f t="shared" si="56"/>
        <v>1043124.9356405773</v>
      </c>
      <c r="E299" s="25">
        <f>$C299/((1+'How much will I make'!$C$5/12)^(Calculations!$B$1*12-Calculations!$A299))</f>
        <v>1612.5499718568515</v>
      </c>
      <c r="F299" s="25">
        <f t="shared" si="57"/>
        <v>278299.84304864286</v>
      </c>
      <c r="G299" s="25">
        <f t="shared" si="48"/>
        <v>7486.4541949584227</v>
      </c>
      <c r="H299" s="25">
        <f t="shared" si="58"/>
        <v>4398061.5288884183</v>
      </c>
      <c r="I299" s="25">
        <f>G299/((1+'How much will I make'!$C$5/12)^(Calculations!$B$1*12-Calculations!$A299))</f>
        <v>3468.9897135096153</v>
      </c>
      <c r="J299" s="25">
        <f t="shared" si="59"/>
        <v>1037168.1722995193</v>
      </c>
      <c r="K299" s="25">
        <f t="shared" si="49"/>
        <v>16054.400063121049</v>
      </c>
      <c r="L299" s="25">
        <f t="shared" si="60"/>
        <v>20650318.423346985</v>
      </c>
      <c r="M299" s="25">
        <f>K299/((1+'How much will I make'!$C$5/12)^(Calculations!$B$1*12-Calculations!$A299))</f>
        <v>7439.1089860724569</v>
      </c>
      <c r="N299" s="25">
        <f t="shared" si="61"/>
        <v>4343825.1175087206</v>
      </c>
      <c r="O299" s="25">
        <f t="shared" si="50"/>
        <v>34320.320751434927</v>
      </c>
      <c r="P299" s="25">
        <f t="shared" si="62"/>
        <v>105693595.84188524</v>
      </c>
      <c r="Q299" s="25">
        <f>O299/((1+'How much will I make'!$C$5/12)^(Calculations!$B$1*12-Calculations!$A299))</f>
        <v>15902.967753580113</v>
      </c>
      <c r="R299" s="25">
        <f t="shared" si="63"/>
        <v>20244814.155653935</v>
      </c>
      <c r="S299" s="25">
        <f t="shared" si="51"/>
        <v>73140.693318649515</v>
      </c>
      <c r="T299" s="25">
        <f t="shared" si="64"/>
        <v>576000371.7864567</v>
      </c>
      <c r="U299" s="25">
        <f>S299/((1+'How much will I make'!$C$5/12)^(Calculations!$B$1*12-Calculations!$A299))</f>
        <v>33891.119367593448</v>
      </c>
      <c r="V299" s="25">
        <f t="shared" si="65"/>
        <v>102808700.62773642</v>
      </c>
      <c r="W299" s="25">
        <f t="shared" si="52"/>
        <v>155391.86514594234</v>
      </c>
      <c r="X299" s="25">
        <f t="shared" si="66"/>
        <v>3277310840.4432516</v>
      </c>
      <c r="Y299" s="25">
        <f>W299/((1+'How much will I make'!$C$5/12)^(Calculations!$B$1*12-Calculations!$A299))</f>
        <v>72003.750736544913</v>
      </c>
      <c r="Z299" s="25">
        <f t="shared" si="67"/>
        <v>555814223.26419497</v>
      </c>
      <c r="AA299" s="25">
        <f t="shared" si="53"/>
        <v>329131.77991229895</v>
      </c>
      <c r="AB299" s="25">
        <f t="shared" si="68"/>
        <v>19191897649.09206</v>
      </c>
      <c r="AC299" s="25">
        <f>AA299/((1+'How much will I make'!$C$5/12)^(Calculations!$B$1*12-Calculations!$A299))</f>
        <v>152509.41622988408</v>
      </c>
      <c r="AD299" s="25">
        <f t="shared" si="69"/>
        <v>3137223817.0674944</v>
      </c>
      <c r="AE299" s="25">
        <f t="shared" si="54"/>
        <v>695015.38482577784</v>
      </c>
      <c r="AF299" s="25">
        <f t="shared" si="70"/>
        <v>114541161681.07896</v>
      </c>
      <c r="AG299" s="25">
        <f>AE299/((1+'How much will I make'!$C$5/12)^(Calculations!$B$1*12-Calculations!$A299))</f>
        <v>322048.4835551632</v>
      </c>
      <c r="AH299" s="25">
        <f t="shared" si="71"/>
        <v>18225919273.40007</v>
      </c>
    </row>
    <row r="300" spans="1:34" ht="15.75" customHeight="1">
      <c r="A300" s="22">
        <f t="shared" si="55"/>
        <v>296</v>
      </c>
      <c r="B300" s="22">
        <f t="shared" si="74"/>
        <v>1612.5499718568515</v>
      </c>
      <c r="C300" s="25">
        <f t="shared" si="47"/>
        <v>3465.6168048599448</v>
      </c>
      <c r="D300" s="25">
        <f t="shared" si="56"/>
        <v>1046590.5524454373</v>
      </c>
      <c r="E300" s="25">
        <f>$C300/((1+'How much will I make'!$C$5/12)^(Calculations!$B$1*12-Calculations!$A300))</f>
        <v>1612.5499718568515</v>
      </c>
      <c r="F300" s="25">
        <f t="shared" si="57"/>
        <v>279912.39302049973</v>
      </c>
      <c r="G300" s="25">
        <f t="shared" si="48"/>
        <v>7424.5826726860396</v>
      </c>
      <c r="H300" s="25">
        <f t="shared" si="58"/>
        <v>4405486.1115611047</v>
      </c>
      <c r="I300" s="25">
        <f>G300/((1+'How much will I make'!$C$5/12)^(Calculations!$B$1*12-Calculations!$A300))</f>
        <v>3454.6550452719721</v>
      </c>
      <c r="J300" s="25">
        <f t="shared" si="59"/>
        <v>1040622.8273447913</v>
      </c>
      <c r="K300" s="25">
        <f t="shared" si="49"/>
        <v>15856.197593205974</v>
      </c>
      <c r="L300" s="25">
        <f t="shared" si="60"/>
        <v>20666174.62094019</v>
      </c>
      <c r="M300" s="25">
        <f>K300/((1+'How much will I make'!$C$5/12)^(Calculations!$B$1*12-Calculations!$A300))</f>
        <v>7377.8817516191839</v>
      </c>
      <c r="N300" s="25">
        <f t="shared" si="61"/>
        <v>4351202.9992603399</v>
      </c>
      <c r="O300" s="25">
        <f t="shared" si="50"/>
        <v>33757.692542395023</v>
      </c>
      <c r="P300" s="25">
        <f t="shared" si="62"/>
        <v>105727353.53442763</v>
      </c>
      <c r="Q300" s="25">
        <f>O300/((1+'How much will I make'!$C$5/12)^(Calculations!$B$1*12-Calculations!$A300))</f>
        <v>15707.439461527902</v>
      </c>
      <c r="R300" s="25">
        <f t="shared" si="63"/>
        <v>20260521.595115464</v>
      </c>
      <c r="S300" s="25">
        <f t="shared" si="51"/>
        <v>71648.02610806482</v>
      </c>
      <c r="T300" s="25">
        <f t="shared" si="64"/>
        <v>576072019.81256473</v>
      </c>
      <c r="U300" s="25">
        <f>S300/((1+'How much will I make'!$C$5/12)^(Calculations!$B$1*12-Calculations!$A300))</f>
        <v>33337.794969755181</v>
      </c>
      <c r="V300" s="25">
        <f t="shared" si="65"/>
        <v>102842038.42270617</v>
      </c>
      <c r="W300" s="25">
        <f t="shared" si="52"/>
        <v>151601.81965457794</v>
      </c>
      <c r="X300" s="25">
        <f t="shared" si="66"/>
        <v>3277462442.2629061</v>
      </c>
      <c r="Y300" s="25">
        <f>W300/((1+'How much will I make'!$C$5/12)^(Calculations!$B$1*12-Calculations!$A300))</f>
        <v>70540.259867915971</v>
      </c>
      <c r="Z300" s="25">
        <f t="shared" si="67"/>
        <v>555884763.52406287</v>
      </c>
      <c r="AA300" s="25">
        <f t="shared" si="53"/>
        <v>319804.15861923789</v>
      </c>
      <c r="AB300" s="25">
        <f t="shared" si="68"/>
        <v>19192217453.250679</v>
      </c>
      <c r="AC300" s="25">
        <f>AA300/((1+'How much will I make'!$C$5/12)^(Calculations!$B$1*12-Calculations!$A300))</f>
        <v>148804.73405425934</v>
      </c>
      <c r="AD300" s="25">
        <f t="shared" si="69"/>
        <v>3137372621.8015485</v>
      </c>
      <c r="AE300" s="25">
        <f t="shared" si="54"/>
        <v>672595.53370236547</v>
      </c>
      <c r="AF300" s="25">
        <f t="shared" si="70"/>
        <v>114541834276.61267</v>
      </c>
      <c r="AG300" s="25">
        <f>AE300/((1+'How much will I make'!$C$5/12)^(Calculations!$B$1*12-Calculations!$A300))</f>
        <v>312958.40539029962</v>
      </c>
      <c r="AH300" s="25">
        <f t="shared" si="71"/>
        <v>18226232231.805462</v>
      </c>
    </row>
    <row r="301" spans="1:34" ht="15.75" customHeight="1">
      <c r="A301" s="22">
        <f t="shared" si="55"/>
        <v>297</v>
      </c>
      <c r="B301" s="22">
        <f t="shared" si="74"/>
        <v>1612.5499718568515</v>
      </c>
      <c r="C301" s="25">
        <f t="shared" si="47"/>
        <v>3451.2366521426848</v>
      </c>
      <c r="D301" s="25">
        <f t="shared" si="56"/>
        <v>1050041.7890975799</v>
      </c>
      <c r="E301" s="25">
        <f>$C301/((1+'How much will I make'!$C$5/12)^(Calculations!$B$1*12-Calculations!$A301))</f>
        <v>1612.5499718568515</v>
      </c>
      <c r="F301" s="25">
        <f t="shared" si="57"/>
        <v>281524.94299235661</v>
      </c>
      <c r="G301" s="25">
        <f t="shared" si="48"/>
        <v>7363.222485308469</v>
      </c>
      <c r="H301" s="25">
        <f t="shared" si="58"/>
        <v>4412849.3340464132</v>
      </c>
      <c r="I301" s="25">
        <f>G301/((1+'How much will I make'!$C$5/12)^(Calculations!$B$1*12-Calculations!$A301))</f>
        <v>3440.3796112005994</v>
      </c>
      <c r="J301" s="25">
        <f t="shared" si="59"/>
        <v>1044063.2069559919</v>
      </c>
      <c r="K301" s="25">
        <f t="shared" si="49"/>
        <v>15660.442067363927</v>
      </c>
      <c r="L301" s="25">
        <f t="shared" si="60"/>
        <v>20681835.063007552</v>
      </c>
      <c r="M301" s="25">
        <f>K301/((1+'How much will I make'!$C$5/12)^(Calculations!$B$1*12-Calculations!$A301))</f>
        <v>7317.1584450214941</v>
      </c>
      <c r="N301" s="25">
        <f t="shared" si="61"/>
        <v>4358520.157705361</v>
      </c>
      <c r="O301" s="25">
        <f t="shared" si="50"/>
        <v>33204.287746618043</v>
      </c>
      <c r="P301" s="25">
        <f t="shared" si="62"/>
        <v>105760557.82217425</v>
      </c>
      <c r="Q301" s="25">
        <f>O301/((1+'How much will I make'!$C$5/12)^(Calculations!$B$1*12-Calculations!$A301))</f>
        <v>15514.315205853369</v>
      </c>
      <c r="R301" s="25">
        <f t="shared" si="63"/>
        <v>20276035.910321318</v>
      </c>
      <c r="S301" s="25">
        <f t="shared" si="51"/>
        <v>70185.821493614523</v>
      </c>
      <c r="T301" s="25">
        <f t="shared" si="64"/>
        <v>576142205.63405836</v>
      </c>
      <c r="U301" s="25">
        <f>S301/((1+'How much will I make'!$C$5/12)^(Calculations!$B$1*12-Calculations!$A301))</f>
        <v>32793.504439636723</v>
      </c>
      <c r="V301" s="25">
        <f t="shared" si="65"/>
        <v>102874831.92714581</v>
      </c>
      <c r="W301" s="25">
        <f t="shared" si="52"/>
        <v>147904.21429714918</v>
      </c>
      <c r="X301" s="25">
        <f t="shared" si="66"/>
        <v>3277610346.4772034</v>
      </c>
      <c r="Y301" s="25">
        <f>W301/((1+'How much will I make'!$C$5/12)^(Calculations!$B$1*12-Calculations!$A301))</f>
        <v>69106.514748649352</v>
      </c>
      <c r="Z301" s="25">
        <f t="shared" si="67"/>
        <v>555953870.03881156</v>
      </c>
      <c r="AA301" s="25">
        <f t="shared" si="53"/>
        <v>310740.88286889519</v>
      </c>
      <c r="AB301" s="25">
        <f t="shared" si="68"/>
        <v>19192528194.133549</v>
      </c>
      <c r="AC301" s="25">
        <f>AA301/((1+'How much will I make'!$C$5/12)^(Calculations!$B$1*12-Calculations!$A301))</f>
        <v>145190.04415820446</v>
      </c>
      <c r="AD301" s="25">
        <f t="shared" si="69"/>
        <v>3137517811.8457065</v>
      </c>
      <c r="AE301" s="25">
        <f t="shared" si="54"/>
        <v>650898.90358293429</v>
      </c>
      <c r="AF301" s="25">
        <f t="shared" si="70"/>
        <v>114542485175.51625</v>
      </c>
      <c r="AG301" s="25">
        <f>AE301/((1+'How much will I make'!$C$5/12)^(Calculations!$B$1*12-Calculations!$A301))</f>
        <v>304124.90201234748</v>
      </c>
      <c r="AH301" s="25">
        <f t="shared" si="71"/>
        <v>18226536356.707474</v>
      </c>
    </row>
    <row r="302" spans="1:34" ht="15.75" customHeight="1">
      <c r="A302" s="22">
        <f t="shared" si="55"/>
        <v>298</v>
      </c>
      <c r="B302" s="22">
        <f t="shared" si="74"/>
        <v>1612.5499718568515</v>
      </c>
      <c r="C302" s="25">
        <f t="shared" si="47"/>
        <v>3436.9161681088963</v>
      </c>
      <c r="D302" s="25">
        <f t="shared" si="56"/>
        <v>1053478.7052656887</v>
      </c>
      <c r="E302" s="25">
        <f>$C302/((1+'How much will I make'!$C$5/12)^(Calculations!$B$1*12-Calculations!$A302))</f>
        <v>1612.5499718568515</v>
      </c>
      <c r="F302" s="25">
        <f t="shared" si="57"/>
        <v>283137.49296421348</v>
      </c>
      <c r="G302" s="25">
        <f t="shared" si="48"/>
        <v>7302.3694069174917</v>
      </c>
      <c r="H302" s="25">
        <f t="shared" si="58"/>
        <v>4420151.7034533303</v>
      </c>
      <c r="I302" s="25">
        <f>G302/((1+'How much will I make'!$C$5/12)^(Calculations!$B$1*12-Calculations!$A302))</f>
        <v>3426.1631665262184</v>
      </c>
      <c r="J302" s="25">
        <f t="shared" si="59"/>
        <v>1047489.3701225182</v>
      </c>
      <c r="K302" s="25">
        <f t="shared" si="49"/>
        <v>15467.103276408816</v>
      </c>
      <c r="L302" s="25">
        <f t="shared" si="60"/>
        <v>20697302.166283961</v>
      </c>
      <c r="M302" s="25">
        <f>K302/((1+'How much will I make'!$C$5/12)^(Calculations!$B$1*12-Calculations!$A302))</f>
        <v>7256.9349187250227</v>
      </c>
      <c r="N302" s="25">
        <f t="shared" si="61"/>
        <v>4365777.092624086</v>
      </c>
      <c r="O302" s="25">
        <f t="shared" si="50"/>
        <v>32659.955160607929</v>
      </c>
      <c r="P302" s="25">
        <f t="shared" si="62"/>
        <v>105793217.77733485</v>
      </c>
      <c r="Q302" s="25">
        <f>O302/((1+'How much will I make'!$C$5/12)^(Calculations!$B$1*12-Calculations!$A302))</f>
        <v>15323.565428732234</v>
      </c>
      <c r="R302" s="25">
        <f t="shared" si="63"/>
        <v>20291359.475750051</v>
      </c>
      <c r="S302" s="25">
        <f t="shared" si="51"/>
        <v>68753.457789663225</v>
      </c>
      <c r="T302" s="25">
        <f t="shared" si="64"/>
        <v>576210959.09184802</v>
      </c>
      <c r="U302" s="25">
        <f>S302/((1+'How much will I make'!$C$5/12)^(Calculations!$B$1*12-Calculations!$A302))</f>
        <v>32258.10028552022</v>
      </c>
      <c r="V302" s="25">
        <f t="shared" si="65"/>
        <v>102907090.02743132</v>
      </c>
      <c r="W302" s="25">
        <f t="shared" si="52"/>
        <v>144296.7944362431</v>
      </c>
      <c r="X302" s="25">
        <f t="shared" si="66"/>
        <v>3277754643.2716398</v>
      </c>
      <c r="Y302" s="25">
        <f>W302/((1+'How much will I make'!$C$5/12)^(Calculations!$B$1*12-Calculations!$A302))</f>
        <v>67701.910790343492</v>
      </c>
      <c r="Z302" s="25">
        <f t="shared" si="67"/>
        <v>556021571.94960189</v>
      </c>
      <c r="AA302" s="25">
        <f t="shared" si="53"/>
        <v>301934.4610871856</v>
      </c>
      <c r="AB302" s="25">
        <f t="shared" si="68"/>
        <v>19192830128.594635</v>
      </c>
      <c r="AC302" s="25">
        <f>AA302/((1+'How much will I make'!$C$5/12)^(Calculations!$B$1*12-Calculations!$A302))</f>
        <v>141663.16049444245</v>
      </c>
      <c r="AD302" s="25">
        <f t="shared" si="69"/>
        <v>3137659475.0062008</v>
      </c>
      <c r="AE302" s="25">
        <f t="shared" si="54"/>
        <v>629902.1647576784</v>
      </c>
      <c r="AF302" s="25">
        <f t="shared" si="70"/>
        <v>114543115077.68102</v>
      </c>
      <c r="AG302" s="25">
        <f>AE302/((1+'How much will I make'!$C$5/12)^(Calculations!$B$1*12-Calculations!$A302))</f>
        <v>295540.73139103135</v>
      </c>
      <c r="AH302" s="25">
        <f t="shared" si="71"/>
        <v>18226831897.438866</v>
      </c>
    </row>
    <row r="303" spans="1:34" ht="15.75" customHeight="1">
      <c r="A303" s="22">
        <f t="shared" si="55"/>
        <v>299</v>
      </c>
      <c r="B303" s="22">
        <f t="shared" si="74"/>
        <v>1612.5499718568515</v>
      </c>
      <c r="C303" s="25">
        <f t="shared" si="47"/>
        <v>3422.6551051706851</v>
      </c>
      <c r="D303" s="25">
        <f t="shared" si="56"/>
        <v>1056901.3603708595</v>
      </c>
      <c r="E303" s="25">
        <f>$C303/((1+'How much will I make'!$C$5/12)^(Calculations!$B$1*12-Calculations!$A303))</f>
        <v>1612.5499718568515</v>
      </c>
      <c r="F303" s="25">
        <f t="shared" si="57"/>
        <v>284750.04293607036</v>
      </c>
      <c r="G303" s="25">
        <f t="shared" si="48"/>
        <v>7242.0192465297423</v>
      </c>
      <c r="H303" s="25">
        <f t="shared" si="58"/>
        <v>4427393.7226998601</v>
      </c>
      <c r="I303" s="25">
        <f>G303/((1+'How much will I make'!$C$5/12)^(Calculations!$B$1*12-Calculations!$A303))</f>
        <v>3412.0054674909857</v>
      </c>
      <c r="J303" s="25">
        <f t="shared" si="59"/>
        <v>1050901.3755900091</v>
      </c>
      <c r="K303" s="25">
        <f t="shared" si="49"/>
        <v>15276.151384107472</v>
      </c>
      <c r="L303" s="25">
        <f t="shared" si="60"/>
        <v>20712578.317668069</v>
      </c>
      <c r="M303" s="25">
        <f>K303/((1+'How much will I make'!$C$5/12)^(Calculations!$B$1*12-Calculations!$A303))</f>
        <v>7197.2070593116487</v>
      </c>
      <c r="N303" s="25">
        <f t="shared" si="61"/>
        <v>4372974.2996833976</v>
      </c>
      <c r="O303" s="25">
        <f t="shared" si="50"/>
        <v>32124.546059614349</v>
      </c>
      <c r="P303" s="25">
        <f t="shared" si="62"/>
        <v>105825342.32339446</v>
      </c>
      <c r="Q303" s="25">
        <f>O303/((1+'How much will I make'!$C$5/12)^(Calculations!$B$1*12-Calculations!$A303))</f>
        <v>15135.160935756016</v>
      </c>
      <c r="R303" s="25">
        <f t="shared" si="63"/>
        <v>20306494.636685807</v>
      </c>
      <c r="S303" s="25">
        <f t="shared" si="51"/>
        <v>67350.325998037457</v>
      </c>
      <c r="T303" s="25">
        <f t="shared" si="64"/>
        <v>576278309.41784608</v>
      </c>
      <c r="U303" s="25">
        <f>S303/((1+'How much will I make'!$C$5/12)^(Calculations!$B$1*12-Calculations!$A303))</f>
        <v>31731.437423715815</v>
      </c>
      <c r="V303" s="25">
        <f t="shared" si="65"/>
        <v>102938821.46485505</v>
      </c>
      <c r="W303" s="25">
        <f t="shared" si="52"/>
        <v>140777.36042560305</v>
      </c>
      <c r="X303" s="25">
        <f t="shared" si="66"/>
        <v>3277895420.6320653</v>
      </c>
      <c r="Y303" s="25">
        <f>W303/((1+'How much will I make'!$C$5/12)^(Calculations!$B$1*12-Calculations!$A303))</f>
        <v>66325.855692978803</v>
      </c>
      <c r="Z303" s="25">
        <f t="shared" si="67"/>
        <v>556087897.80529487</v>
      </c>
      <c r="AA303" s="25">
        <f t="shared" si="53"/>
        <v>293377.61401184025</v>
      </c>
      <c r="AB303" s="25">
        <f t="shared" si="68"/>
        <v>19193123506.208649</v>
      </c>
      <c r="AC303" s="25">
        <f>AA303/((1+'How much will I make'!$C$5/12)^(Calculations!$B$1*12-Calculations!$A303))</f>
        <v>138221.95011805923</v>
      </c>
      <c r="AD303" s="25">
        <f t="shared" si="69"/>
        <v>3137797696.9563189</v>
      </c>
      <c r="AE303" s="25">
        <f t="shared" si="54"/>
        <v>609582.74008807575</v>
      </c>
      <c r="AF303" s="25">
        <f t="shared" si="70"/>
        <v>114543724660.4211</v>
      </c>
      <c r="AG303" s="25">
        <f>AE303/((1+'How much will I make'!$C$5/12)^(Calculations!$B$1*12-Calculations!$A303))</f>
        <v>287198.85590821994</v>
      </c>
      <c r="AH303" s="25">
        <f t="shared" si="71"/>
        <v>18227119096.294773</v>
      </c>
    </row>
    <row r="304" spans="1:34" ht="15.75" customHeight="1">
      <c r="A304" s="22">
        <f t="shared" si="55"/>
        <v>300</v>
      </c>
      <c r="B304" s="22">
        <f t="shared" si="74"/>
        <v>1612.5499718568515</v>
      </c>
      <c r="C304" s="25">
        <f t="shared" si="47"/>
        <v>3408.4532167674874</v>
      </c>
      <c r="D304" s="25">
        <f t="shared" si="56"/>
        <v>1060309.8135876269</v>
      </c>
      <c r="E304" s="25">
        <f>$C304/((1+'How much will I make'!$C$5/12)^(Calculations!$B$1*12-Calculations!$A304))</f>
        <v>1612.5499718568515</v>
      </c>
      <c r="F304" s="25">
        <f t="shared" si="57"/>
        <v>286362.59290792723</v>
      </c>
      <c r="G304" s="25">
        <f t="shared" si="48"/>
        <v>7182.1678477980922</v>
      </c>
      <c r="H304" s="25">
        <f t="shared" si="58"/>
        <v>4434575.8905476583</v>
      </c>
      <c r="I304" s="25">
        <f>G304/((1+'How much will I make'!$C$5/12)^(Calculations!$B$1*12-Calculations!$A304))</f>
        <v>3397.9062713443291</v>
      </c>
      <c r="J304" s="25">
        <f t="shared" si="59"/>
        <v>1054299.2818613534</v>
      </c>
      <c r="K304" s="25">
        <f t="shared" si="49"/>
        <v>15087.556922575284</v>
      </c>
      <c r="L304" s="25">
        <f t="shared" si="60"/>
        <v>20727665.874590643</v>
      </c>
      <c r="M304" s="25">
        <f>K304/((1+'How much will I make'!$C$5/12)^(Calculations!$B$1*12-Calculations!$A304))</f>
        <v>7137.97078721855</v>
      </c>
      <c r="N304" s="25">
        <f t="shared" si="61"/>
        <v>4380112.2704706164</v>
      </c>
      <c r="O304" s="25">
        <f t="shared" si="50"/>
        <v>31597.914156997722</v>
      </c>
      <c r="P304" s="25">
        <f t="shared" si="62"/>
        <v>105856940.23755147</v>
      </c>
      <c r="Q304" s="25">
        <f>O304/((1+'How much will I make'!$C$5/12)^(Calculations!$B$1*12-Calculations!$A304))</f>
        <v>14949.072891463933</v>
      </c>
      <c r="R304" s="25">
        <f t="shared" si="63"/>
        <v>20321443.70957727</v>
      </c>
      <c r="S304" s="25">
        <f t="shared" si="51"/>
        <v>65975.829549097907</v>
      </c>
      <c r="T304" s="25">
        <f t="shared" si="64"/>
        <v>576344285.24739516</v>
      </c>
      <c r="U304" s="25">
        <f>S304/((1+'How much will I make'!$C$5/12)^(Calculations!$B$1*12-Calculations!$A304))</f>
        <v>31213.373139246982</v>
      </c>
      <c r="V304" s="25">
        <f t="shared" si="65"/>
        <v>102970034.83799429</v>
      </c>
      <c r="W304" s="25">
        <f t="shared" si="52"/>
        <v>137343.76626888104</v>
      </c>
      <c r="X304" s="25">
        <f t="shared" si="66"/>
        <v>3278032764.398334</v>
      </c>
      <c r="Y304" s="25">
        <f>W304/((1+'How much will I make'!$C$5/12)^(Calculations!$B$1*12-Calculations!$A304))</f>
        <v>64977.769195154033</v>
      </c>
      <c r="Z304" s="25">
        <f t="shared" si="67"/>
        <v>556152875.57449007</v>
      </c>
      <c r="AA304" s="25">
        <f t="shared" si="53"/>
        <v>285063.26867547241</v>
      </c>
      <c r="AB304" s="25">
        <f t="shared" si="68"/>
        <v>19193408569.477325</v>
      </c>
      <c r="AC304" s="25">
        <f>AA304/((1+'How much will I make'!$C$5/12)^(Calculations!$B$1*12-Calculations!$A304))</f>
        <v>134864.33189656798</v>
      </c>
      <c r="AD304" s="25">
        <f t="shared" si="69"/>
        <v>3137932561.2882156</v>
      </c>
      <c r="AE304" s="25">
        <f t="shared" si="54"/>
        <v>589918.78073039569</v>
      </c>
      <c r="AF304" s="25">
        <f t="shared" si="70"/>
        <v>114544314579.20183</v>
      </c>
      <c r="AG304" s="25">
        <f>AE304/((1+'How much will I make'!$C$5/12)^(Calculations!$B$1*12-Calculations!$A304))</f>
        <v>279092.43658822979</v>
      </c>
      <c r="AH304" s="25">
        <f t="shared" si="71"/>
        <v>18227398188.731361</v>
      </c>
    </row>
    <row r="305" spans="1:34" ht="15.75" customHeight="1">
      <c r="A305" s="22">
        <f t="shared" si="55"/>
        <v>301</v>
      </c>
      <c r="B305" s="22">
        <f>B304*(1+'How much will I make'!$C$4)</f>
        <v>1693.1774704496941</v>
      </c>
      <c r="C305" s="25">
        <f t="shared" si="47"/>
        <v>3564.0257702299032</v>
      </c>
      <c r="D305" s="25">
        <f t="shared" si="56"/>
        <v>1063873.8393578569</v>
      </c>
      <c r="E305" s="25">
        <f>$C305/((1+'How much will I make'!$C$5/12)^(Calculations!$B$1*12-Calculations!$A305))</f>
        <v>1693.1774704496941</v>
      </c>
      <c r="F305" s="25">
        <f t="shared" si="57"/>
        <v>288055.77037837694</v>
      </c>
      <c r="G305" s="25">
        <f t="shared" si="48"/>
        <v>7478.9516431616512</v>
      </c>
      <c r="H305" s="25">
        <f t="shared" si="58"/>
        <v>4442054.8421908198</v>
      </c>
      <c r="I305" s="25">
        <f>G305/((1+'How much will I make'!$C$5/12)^(Calculations!$B$1*12-Calculations!$A305))</f>
        <v>3553.0586031557141</v>
      </c>
      <c r="J305" s="25">
        <f t="shared" si="59"/>
        <v>1057852.3404645091</v>
      </c>
      <c r="K305" s="25">
        <f t="shared" si="49"/>
        <v>15646.355327115109</v>
      </c>
      <c r="L305" s="25">
        <f t="shared" si="60"/>
        <v>20743312.229917757</v>
      </c>
      <c r="M305" s="25">
        <f>K305/((1+'How much will I make'!$C$5/12)^(Calculations!$B$1*12-Calculations!$A305))</f>
        <v>7433.1831592825274</v>
      </c>
      <c r="N305" s="25">
        <f t="shared" si="61"/>
        <v>4387545.4536298988</v>
      </c>
      <c r="O305" s="25">
        <f t="shared" si="50"/>
        <v>32633.911342473046</v>
      </c>
      <c r="P305" s="25">
        <f t="shared" si="62"/>
        <v>105889574.14889394</v>
      </c>
      <c r="Q305" s="25">
        <f>O305/((1+'How much will I make'!$C$5/12)^(Calculations!$B$1*12-Calculations!$A305))</f>
        <v>15503.536455676014</v>
      </c>
      <c r="R305" s="25">
        <f t="shared" si="63"/>
        <v>20336947.246032946</v>
      </c>
      <c r="S305" s="25">
        <f t="shared" si="51"/>
        <v>67860.853250500732</v>
      </c>
      <c r="T305" s="25">
        <f t="shared" si="64"/>
        <v>576412146.10064566</v>
      </c>
      <c r="U305" s="25">
        <f>S305/((1+'How much will I make'!$C$5/12)^(Calculations!$B$1*12-Calculations!$A305))</f>
        <v>32238.955399536546</v>
      </c>
      <c r="V305" s="25">
        <f t="shared" si="65"/>
        <v>103002273.79339384</v>
      </c>
      <c r="W305" s="25">
        <f t="shared" si="52"/>
        <v>140693.61422665865</v>
      </c>
      <c r="X305" s="25">
        <f t="shared" si="66"/>
        <v>3278173458.0125608</v>
      </c>
      <c r="Y305" s="25">
        <f>W305/((1+'How much will I make'!$C$5/12)^(Calculations!$B$1*12-Calculations!$A305))</f>
        <v>66839.936970868832</v>
      </c>
      <c r="Z305" s="25">
        <f t="shared" si="67"/>
        <v>556219715.5114609</v>
      </c>
      <c r="AA305" s="25">
        <f t="shared" si="53"/>
        <v>290833.78018712171</v>
      </c>
      <c r="AB305" s="25">
        <f t="shared" si="68"/>
        <v>19193699403.257511</v>
      </c>
      <c r="AC305" s="25">
        <f>AA305/((1+'How much will I make'!$C$5/12)^(Calculations!$B$1*12-Calculations!$A305))</f>
        <v>138167.68901387262</v>
      </c>
      <c r="AD305" s="25">
        <f t="shared" si="69"/>
        <v>3138070728.9772296</v>
      </c>
      <c r="AE305" s="25">
        <f t="shared" si="54"/>
        <v>599433.59977443435</v>
      </c>
      <c r="AF305" s="25">
        <f t="shared" si="70"/>
        <v>114544914012.80161</v>
      </c>
      <c r="AG305" s="25">
        <f>AE305/((1+'How much will I make'!$C$5/12)^(Calculations!$B$1*12-Calculations!$A305))</f>
        <v>284775.56886553048</v>
      </c>
      <c r="AH305" s="25">
        <f t="shared" si="71"/>
        <v>18227682964.300228</v>
      </c>
    </row>
    <row r="306" spans="1:34" ht="15.75" customHeight="1">
      <c r="A306" s="22">
        <f t="shared" si="55"/>
        <v>302</v>
      </c>
      <c r="B306" s="22">
        <f t="shared" ref="B306:B316" si="75">B305</f>
        <v>1693.1774704496941</v>
      </c>
      <c r="C306" s="25">
        <f t="shared" si="47"/>
        <v>3549.2372815567501</v>
      </c>
      <c r="D306" s="25">
        <f t="shared" si="56"/>
        <v>1067423.0766394136</v>
      </c>
      <c r="E306" s="25">
        <f>$C306/((1+'How much will I make'!$C$5/12)^(Calculations!$B$1*12-Calculations!$A306))</f>
        <v>1693.1774704496941</v>
      </c>
      <c r="F306" s="25">
        <f t="shared" si="57"/>
        <v>289748.94784882665</v>
      </c>
      <c r="G306" s="25">
        <f t="shared" si="48"/>
        <v>7417.1421254495717</v>
      </c>
      <c r="H306" s="25">
        <f t="shared" si="58"/>
        <v>4449471.9843162689</v>
      </c>
      <c r="I306" s="25">
        <f>G306/((1+'How much will I make'!$C$5/12)^(Calculations!$B$1*12-Calculations!$A306))</f>
        <v>3538.3765428120955</v>
      </c>
      <c r="J306" s="25">
        <f t="shared" si="59"/>
        <v>1061390.7170073211</v>
      </c>
      <c r="K306" s="25">
        <f t="shared" si="49"/>
        <v>15453.190446533443</v>
      </c>
      <c r="L306" s="25">
        <f t="shared" si="60"/>
        <v>20758765.42036429</v>
      </c>
      <c r="M306" s="25">
        <f>K306/((1+'How much will I make'!$C$5/12)^(Calculations!$B$1*12-Calculations!$A306))</f>
        <v>7372.0046970662115</v>
      </c>
      <c r="N306" s="25">
        <f t="shared" si="61"/>
        <v>4394917.4583269646</v>
      </c>
      <c r="O306" s="25">
        <f t="shared" si="50"/>
        <v>32098.929189317761</v>
      </c>
      <c r="P306" s="25">
        <f t="shared" si="62"/>
        <v>105921673.07808326</v>
      </c>
      <c r="Q306" s="25">
        <f>O306/((1+'How much will I make'!$C$5/12)^(Calculations!$B$1*12-Calculations!$A306))</f>
        <v>15312.919204171807</v>
      </c>
      <c r="R306" s="25">
        <f t="shared" si="63"/>
        <v>20352260.165237118</v>
      </c>
      <c r="S306" s="25">
        <f t="shared" si="51"/>
        <v>66475.937878041543</v>
      </c>
      <c r="T306" s="25">
        <f t="shared" si="64"/>
        <v>576478622.03852367</v>
      </c>
      <c r="U306" s="25">
        <f>S306/((1+'How much will I make'!$C$5/12)^(Calculations!$B$1*12-Calculations!$A306))</f>
        <v>31712.605107299216</v>
      </c>
      <c r="V306" s="25">
        <f t="shared" si="65"/>
        <v>103033986.39850113</v>
      </c>
      <c r="W306" s="25">
        <f t="shared" si="52"/>
        <v>137262.06266015477</v>
      </c>
      <c r="X306" s="25">
        <f t="shared" si="66"/>
        <v>3278310720.0752211</v>
      </c>
      <c r="Y306" s="25">
        <f>W306/((1+'How much will I make'!$C$5/12)^(Calculations!$B$1*12-Calculations!$A306))</f>
        <v>65481.401666582875</v>
      </c>
      <c r="Z306" s="25">
        <f t="shared" si="67"/>
        <v>556285196.91312754</v>
      </c>
      <c r="AA306" s="25">
        <f t="shared" si="53"/>
        <v>282591.52730732469</v>
      </c>
      <c r="AB306" s="25">
        <f t="shared" si="68"/>
        <v>19193981994.784817</v>
      </c>
      <c r="AC306" s="25">
        <f>AA306/((1+'How much will I make'!$C$5/12)^(Calculations!$B$1*12-Calculations!$A306))</f>
        <v>134811.38887588377</v>
      </c>
      <c r="AD306" s="25">
        <f t="shared" si="69"/>
        <v>3138205540.3661056</v>
      </c>
      <c r="AE306" s="25">
        <f t="shared" si="54"/>
        <v>580097.03203977516</v>
      </c>
      <c r="AF306" s="25">
        <f t="shared" si="70"/>
        <v>114545494109.83365</v>
      </c>
      <c r="AG306" s="25">
        <f>AE306/((1+'How much will I make'!$C$5/12)^(Calculations!$B$1*12-Calculations!$A306))</f>
        <v>276737.54877658404</v>
      </c>
      <c r="AH306" s="25">
        <f t="shared" si="71"/>
        <v>18227959701.849003</v>
      </c>
    </row>
    <row r="307" spans="1:34" ht="15.75" customHeight="1">
      <c r="A307" s="22">
        <f t="shared" si="55"/>
        <v>303</v>
      </c>
      <c r="B307" s="22">
        <f t="shared" si="75"/>
        <v>1693.1774704496941</v>
      </c>
      <c r="C307" s="25">
        <f t="shared" si="47"/>
        <v>3534.5101559071372</v>
      </c>
      <c r="D307" s="25">
        <f t="shared" si="56"/>
        <v>1070957.5867953207</v>
      </c>
      <c r="E307" s="25">
        <f>$C307/((1+'How much will I make'!$C$5/12)^(Calculations!$B$1*12-Calculations!$A307))</f>
        <v>1693.1774704496941</v>
      </c>
      <c r="F307" s="25">
        <f t="shared" si="57"/>
        <v>291442.12531927635</v>
      </c>
      <c r="G307" s="25">
        <f t="shared" si="48"/>
        <v>7355.8434301979214</v>
      </c>
      <c r="H307" s="25">
        <f t="shared" si="58"/>
        <v>4456827.8277464667</v>
      </c>
      <c r="I307" s="25">
        <f>G307/((1+'How much will I make'!$C$5/12)^(Calculations!$B$1*12-Calculations!$A307))</f>
        <v>3523.7551521393175</v>
      </c>
      <c r="J307" s="25">
        <f t="shared" si="59"/>
        <v>1064914.4721594604</v>
      </c>
      <c r="K307" s="25">
        <f t="shared" si="49"/>
        <v>15262.410317563892</v>
      </c>
      <c r="L307" s="25">
        <f t="shared" si="60"/>
        <v>20774027.830681853</v>
      </c>
      <c r="M307" s="25">
        <f>K307/((1+'How much will I make'!$C$5/12)^(Calculations!$B$1*12-Calculations!$A307))</f>
        <v>7311.3297612878878</v>
      </c>
      <c r="N307" s="25">
        <f t="shared" si="61"/>
        <v>4402228.7880882528</v>
      </c>
      <c r="O307" s="25">
        <f t="shared" si="50"/>
        <v>31572.717235394517</v>
      </c>
      <c r="P307" s="25">
        <f t="shared" si="62"/>
        <v>105953245.79531866</v>
      </c>
      <c r="Q307" s="25">
        <f>O307/((1+'How much will I make'!$C$5/12)^(Calculations!$B$1*12-Calculations!$A307))</f>
        <v>15124.645607399201</v>
      </c>
      <c r="R307" s="25">
        <f t="shared" si="63"/>
        <v>20367384.810844518</v>
      </c>
      <c r="S307" s="25">
        <f t="shared" si="51"/>
        <v>65119.286084612126</v>
      </c>
      <c r="T307" s="25">
        <f t="shared" si="64"/>
        <v>576543741.32460833</v>
      </c>
      <c r="U307" s="25">
        <f>S307/((1+'How much will I make'!$C$5/12)^(Calculations!$B$1*12-Calculations!$A307))</f>
        <v>31194.848289220863</v>
      </c>
      <c r="V307" s="25">
        <f t="shared" si="65"/>
        <v>103065181.24679035</v>
      </c>
      <c r="W307" s="25">
        <f t="shared" si="52"/>
        <v>133914.20747332173</v>
      </c>
      <c r="X307" s="25">
        <f t="shared" si="66"/>
        <v>3278444634.2826943</v>
      </c>
      <c r="Y307" s="25">
        <f>W307/((1+'How much will I make'!$C$5/12)^(Calculations!$B$1*12-Calculations!$A307))</f>
        <v>64150.478868481601</v>
      </c>
      <c r="Z307" s="25">
        <f t="shared" si="67"/>
        <v>556349347.39199603</v>
      </c>
      <c r="AA307" s="25">
        <f t="shared" si="53"/>
        <v>274582.86054153013</v>
      </c>
      <c r="AB307" s="25">
        <f t="shared" si="68"/>
        <v>19194256577.645359</v>
      </c>
      <c r="AC307" s="25">
        <f>AA307/((1+'How much will I make'!$C$5/12)^(Calculations!$B$1*12-Calculations!$A307))</f>
        <v>131536.61829590282</v>
      </c>
      <c r="AD307" s="25">
        <f t="shared" si="69"/>
        <v>3138337076.9844012</v>
      </c>
      <c r="AE307" s="25">
        <f t="shared" si="54"/>
        <v>561384.22455462115</v>
      </c>
      <c r="AF307" s="25">
        <f t="shared" si="70"/>
        <v>114546055494.0582</v>
      </c>
      <c r="AG307" s="25">
        <f>AE307/((1+'How much will I make'!$C$5/12)^(Calculations!$B$1*12-Calculations!$A307))</f>
        <v>268926.40828692238</v>
      </c>
      <c r="AH307" s="25">
        <f t="shared" si="71"/>
        <v>18228228628.25729</v>
      </c>
    </row>
    <row r="308" spans="1:34" ht="15.75" customHeight="1">
      <c r="A308" s="22">
        <f t="shared" si="55"/>
        <v>304</v>
      </c>
      <c r="B308" s="22">
        <f t="shared" si="75"/>
        <v>1693.1774704496941</v>
      </c>
      <c r="C308" s="25">
        <f t="shared" si="47"/>
        <v>3519.8441386627092</v>
      </c>
      <c r="D308" s="25">
        <f t="shared" si="56"/>
        <v>1074477.4309339835</v>
      </c>
      <c r="E308" s="25">
        <f>$C308/((1+'How much will I make'!$C$5/12)^(Calculations!$B$1*12-Calculations!$A308))</f>
        <v>1693.1774704496941</v>
      </c>
      <c r="F308" s="25">
        <f t="shared" si="57"/>
        <v>293135.30278972606</v>
      </c>
      <c r="G308" s="25">
        <f t="shared" si="48"/>
        <v>7295.0513357334767</v>
      </c>
      <c r="H308" s="25">
        <f t="shared" si="58"/>
        <v>4464122.8790822001</v>
      </c>
      <c r="I308" s="25">
        <f>G308/((1+'How much will I make'!$C$5/12)^(Calculations!$B$1*12-Calculations!$A308))</f>
        <v>3509.1941804362632</v>
      </c>
      <c r="J308" s="25">
        <f t="shared" si="59"/>
        <v>1068423.6663398966</v>
      </c>
      <c r="K308" s="25">
        <f t="shared" si="49"/>
        <v>15073.985498828539</v>
      </c>
      <c r="L308" s="25">
        <f t="shared" si="60"/>
        <v>20789101.81618068</v>
      </c>
      <c r="M308" s="25">
        <f>K308/((1+'How much will I make'!$C$5/12)^(Calculations!$B$1*12-Calculations!$A308))</f>
        <v>7251.1542076970427</v>
      </c>
      <c r="N308" s="25">
        <f t="shared" si="61"/>
        <v>4409479.9422959499</v>
      </c>
      <c r="O308" s="25">
        <f t="shared" si="50"/>
        <v>31055.131706945434</v>
      </c>
      <c r="P308" s="25">
        <f t="shared" si="62"/>
        <v>105984300.9270256</v>
      </c>
      <c r="Q308" s="25">
        <f>O308/((1+'How much will I make'!$C$5/12)^(Calculations!$B$1*12-Calculations!$A308))</f>
        <v>14938.686849931182</v>
      </c>
      <c r="R308" s="25">
        <f t="shared" si="63"/>
        <v>20382323.497694448</v>
      </c>
      <c r="S308" s="25">
        <f t="shared" si="51"/>
        <v>63790.321062477189</v>
      </c>
      <c r="T308" s="25">
        <f t="shared" si="64"/>
        <v>576607531.64567077</v>
      </c>
      <c r="U308" s="25">
        <f>S308/((1+'How much will I make'!$C$5/12)^(Calculations!$B$1*12-Calculations!$A308))</f>
        <v>30685.544643682566</v>
      </c>
      <c r="V308" s="25">
        <f t="shared" si="65"/>
        <v>103095866.79143403</v>
      </c>
      <c r="W308" s="25">
        <f t="shared" si="52"/>
        <v>130648.00729104561</v>
      </c>
      <c r="X308" s="25">
        <f t="shared" si="66"/>
        <v>3278575282.2899852</v>
      </c>
      <c r="Y308" s="25">
        <f>W308/((1+'How much will I make'!$C$5/12)^(Calculations!$B$1*12-Calculations!$A308))</f>
        <v>62846.607346764504</v>
      </c>
      <c r="Z308" s="25">
        <f t="shared" si="67"/>
        <v>556412193.9993428</v>
      </c>
      <c r="AA308" s="25">
        <f t="shared" si="53"/>
        <v>266801.16004035319</v>
      </c>
      <c r="AB308" s="25">
        <f t="shared" si="68"/>
        <v>19194523378.805401</v>
      </c>
      <c r="AC308" s="25">
        <f>AA308/((1+'How much will I make'!$C$5/12)^(Calculations!$B$1*12-Calculations!$A308))</f>
        <v>128341.39679883639</v>
      </c>
      <c r="AD308" s="25">
        <f t="shared" si="69"/>
        <v>3138465418.3811998</v>
      </c>
      <c r="AE308" s="25">
        <f t="shared" si="54"/>
        <v>543275.05602060095</v>
      </c>
      <c r="AF308" s="25">
        <f t="shared" si="70"/>
        <v>114546598769.11421</v>
      </c>
      <c r="AG308" s="25">
        <f>AE308/((1+'How much will I make'!$C$5/12)^(Calculations!$B$1*12-Calculations!$A308))</f>
        <v>261335.74353688821</v>
      </c>
      <c r="AH308" s="25">
        <f t="shared" si="71"/>
        <v>18228489964.000828</v>
      </c>
    </row>
    <row r="309" spans="1:34" ht="15.75" customHeight="1">
      <c r="A309" s="22">
        <f t="shared" si="55"/>
        <v>305</v>
      </c>
      <c r="B309" s="22">
        <f t="shared" si="75"/>
        <v>1693.1774704496941</v>
      </c>
      <c r="C309" s="25">
        <f t="shared" si="47"/>
        <v>3505.2389762616199</v>
      </c>
      <c r="D309" s="25">
        <f t="shared" si="56"/>
        <v>1077982.6699102451</v>
      </c>
      <c r="E309" s="25">
        <f>$C309/((1+'How much will I make'!$C$5/12)^(Calculations!$B$1*12-Calculations!$A309))</f>
        <v>1693.1774704496941</v>
      </c>
      <c r="F309" s="25">
        <f t="shared" si="57"/>
        <v>294828.48026017577</v>
      </c>
      <c r="G309" s="25">
        <f t="shared" si="48"/>
        <v>7234.7616552728687</v>
      </c>
      <c r="H309" s="25">
        <f t="shared" si="58"/>
        <v>4471357.640737473</v>
      </c>
      <c r="I309" s="25">
        <f>G309/((1+'How much will I make'!$C$5/12)^(Calculations!$B$1*12-Calculations!$A309))</f>
        <v>3494.6933780377649</v>
      </c>
      <c r="J309" s="25">
        <f t="shared" si="59"/>
        <v>1071918.3597179344</v>
      </c>
      <c r="K309" s="25">
        <f t="shared" si="49"/>
        <v>14887.886912423242</v>
      </c>
      <c r="L309" s="25">
        <f t="shared" si="60"/>
        <v>20803989.703093104</v>
      </c>
      <c r="M309" s="25">
        <f>K309/((1+'How much will I make'!$C$5/12)^(Calculations!$B$1*12-Calculations!$A309))</f>
        <v>7191.4739261522063</v>
      </c>
      <c r="N309" s="25">
        <f t="shared" si="61"/>
        <v>4416671.416222102</v>
      </c>
      <c r="O309" s="25">
        <f t="shared" si="50"/>
        <v>30546.031187159439</v>
      </c>
      <c r="P309" s="25">
        <f t="shared" si="62"/>
        <v>106014846.95821276</v>
      </c>
      <c r="Q309" s="25">
        <f>O309/((1+'How much will I make'!$C$5/12)^(Calculations!$B$1*12-Calculations!$A309))</f>
        <v>14755.014470628745</v>
      </c>
      <c r="R309" s="25">
        <f t="shared" si="63"/>
        <v>20397078.512165077</v>
      </c>
      <c r="S309" s="25">
        <f t="shared" si="51"/>
        <v>62488.477775487867</v>
      </c>
      <c r="T309" s="25">
        <f t="shared" si="64"/>
        <v>576670020.12344623</v>
      </c>
      <c r="U309" s="25">
        <f>S309/((1+'How much will I make'!$C$5/12)^(Calculations!$B$1*12-Calculations!$A309))</f>
        <v>30184.556159704072</v>
      </c>
      <c r="V309" s="25">
        <f t="shared" si="65"/>
        <v>103126051.34759374</v>
      </c>
      <c r="W309" s="25">
        <f t="shared" si="52"/>
        <v>127461.47052784938</v>
      </c>
      <c r="X309" s="25">
        <f t="shared" si="66"/>
        <v>3278702743.7605128</v>
      </c>
      <c r="Y309" s="25">
        <f>W309/((1+'How much will I make'!$C$5/12)^(Calculations!$B$1*12-Calculations!$A309))</f>
        <v>61569.237278740824</v>
      </c>
      <c r="Z309" s="25">
        <f t="shared" si="67"/>
        <v>556473763.2366215</v>
      </c>
      <c r="AA309" s="25">
        <f t="shared" si="53"/>
        <v>259239.99356147685</v>
      </c>
      <c r="AB309" s="25">
        <f t="shared" si="68"/>
        <v>19194782618.798962</v>
      </c>
      <c r="AC309" s="25">
        <f>AA309/((1+'How much will I make'!$C$5/12)^(Calculations!$B$1*12-Calculations!$A309))</f>
        <v>125223.79201829784</v>
      </c>
      <c r="AD309" s="25">
        <f t="shared" si="69"/>
        <v>3138590642.1732183</v>
      </c>
      <c r="AE309" s="25">
        <f t="shared" si="54"/>
        <v>525750.05421348463</v>
      </c>
      <c r="AF309" s="25">
        <f t="shared" si="70"/>
        <v>114547124519.16843</v>
      </c>
      <c r="AG309" s="25">
        <f>AE309/((1+'How much will I make'!$C$5/12)^(Calculations!$B$1*12-Calculations!$A309))</f>
        <v>253959.33142092754</v>
      </c>
      <c r="AH309" s="25">
        <f t="shared" si="71"/>
        <v>18228743923.332249</v>
      </c>
    </row>
    <row r="310" spans="1:34" ht="15.75" customHeight="1">
      <c r="A310" s="22">
        <f t="shared" si="55"/>
        <v>306</v>
      </c>
      <c r="B310" s="22">
        <f t="shared" si="75"/>
        <v>1693.1774704496941</v>
      </c>
      <c r="C310" s="25">
        <f t="shared" si="47"/>
        <v>3490.6944161941428</v>
      </c>
      <c r="D310" s="25">
        <f t="shared" si="56"/>
        <v>1081473.3643264393</v>
      </c>
      <c r="E310" s="25">
        <f>$C310/((1+'How much will I make'!$C$5/12)^(Calculations!$B$1*12-Calculations!$A310))</f>
        <v>1693.1774704496941</v>
      </c>
      <c r="F310" s="25">
        <f t="shared" si="57"/>
        <v>296521.65773062548</v>
      </c>
      <c r="G310" s="25">
        <f t="shared" si="48"/>
        <v>7174.9702366342517</v>
      </c>
      <c r="H310" s="25">
        <f t="shared" si="58"/>
        <v>4478532.6109741069</v>
      </c>
      <c r="I310" s="25">
        <f>G310/((1+'How much will I make'!$C$5/12)^(Calculations!$B$1*12-Calculations!$A310))</f>
        <v>3480.2524963103383</v>
      </c>
      <c r="J310" s="25">
        <f t="shared" si="59"/>
        <v>1075398.6122142447</v>
      </c>
      <c r="K310" s="25">
        <f t="shared" si="49"/>
        <v>14704.085839430369</v>
      </c>
      <c r="L310" s="25">
        <f t="shared" si="60"/>
        <v>20818693.788932536</v>
      </c>
      <c r="M310" s="25">
        <f>K310/((1+'How much will I make'!$C$5/12)^(Calculations!$B$1*12-Calculations!$A310))</f>
        <v>7132.2848403402595</v>
      </c>
      <c r="N310" s="25">
        <f t="shared" si="61"/>
        <v>4423803.7010624418</v>
      </c>
      <c r="O310" s="25">
        <f t="shared" si="50"/>
        <v>30045.276577533888</v>
      </c>
      <c r="P310" s="25">
        <f t="shared" si="62"/>
        <v>106044892.2347903</v>
      </c>
      <c r="Q310" s="25">
        <f>O310/((1+'How much will I make'!$C$5/12)^(Calculations!$B$1*12-Calculations!$A310))</f>
        <v>14573.600358284959</v>
      </c>
      <c r="R310" s="25">
        <f t="shared" si="63"/>
        <v>20411652.112523362</v>
      </c>
      <c r="S310" s="25">
        <f t="shared" si="51"/>
        <v>61213.202718845256</v>
      </c>
      <c r="T310" s="25">
        <f t="shared" si="64"/>
        <v>576731233.32616508</v>
      </c>
      <c r="U310" s="25">
        <f>S310/((1+'How much will I make'!$C$5/12)^(Calculations!$B$1*12-Calculations!$A310))</f>
        <v>29691.747079545647</v>
      </c>
      <c r="V310" s="25">
        <f t="shared" si="65"/>
        <v>103155743.09467329</v>
      </c>
      <c r="W310" s="25">
        <f t="shared" si="52"/>
        <v>124352.65417351156</v>
      </c>
      <c r="X310" s="25">
        <f t="shared" si="66"/>
        <v>3278827096.4146862</v>
      </c>
      <c r="Y310" s="25">
        <f>W310/((1+'How much will I make'!$C$5/12)^(Calculations!$B$1*12-Calculations!$A310))</f>
        <v>60317.830016977809</v>
      </c>
      <c r="Z310" s="25">
        <f t="shared" si="67"/>
        <v>556534081.06663847</v>
      </c>
      <c r="AA310" s="25">
        <f t="shared" si="53"/>
        <v>251893.11115285201</v>
      </c>
      <c r="AB310" s="25">
        <f t="shared" si="68"/>
        <v>19195034511.910114</v>
      </c>
      <c r="AC310" s="25">
        <f>AA310/((1+'How much will I make'!$C$5/12)^(Calculations!$B$1*12-Calculations!$A310))</f>
        <v>122181.91852797488</v>
      </c>
      <c r="AD310" s="25">
        <f t="shared" si="69"/>
        <v>3138712824.0917463</v>
      </c>
      <c r="AE310" s="25">
        <f t="shared" si="54"/>
        <v>508790.3750453078</v>
      </c>
      <c r="AF310" s="25">
        <f t="shared" si="70"/>
        <v>114547633309.54347</v>
      </c>
      <c r="AG310" s="25">
        <f>AE310/((1+'How much will I make'!$C$5/12)^(Calculations!$B$1*12-Calculations!$A310))</f>
        <v>246791.12448565953</v>
      </c>
      <c r="AH310" s="25">
        <f t="shared" si="71"/>
        <v>18228990714.456734</v>
      </c>
    </row>
    <row r="311" spans="1:34" ht="15.75" customHeight="1">
      <c r="A311" s="22">
        <f t="shared" si="55"/>
        <v>307</v>
      </c>
      <c r="B311" s="22">
        <f t="shared" si="75"/>
        <v>1693.1774704496941</v>
      </c>
      <c r="C311" s="25">
        <f t="shared" si="47"/>
        <v>3476.2102069983166</v>
      </c>
      <c r="D311" s="25">
        <f t="shared" si="56"/>
        <v>1084949.5745334376</v>
      </c>
      <c r="E311" s="25">
        <f>$C311/((1+'How much will I make'!$C$5/12)^(Calculations!$B$1*12-Calculations!$A311))</f>
        <v>1693.1774704496941</v>
      </c>
      <c r="F311" s="25">
        <f t="shared" si="57"/>
        <v>298214.83520107518</v>
      </c>
      <c r="G311" s="25">
        <f t="shared" si="48"/>
        <v>7115.6729619513226</v>
      </c>
      <c r="H311" s="25">
        <f t="shared" si="58"/>
        <v>4485648.2839360582</v>
      </c>
      <c r="I311" s="25">
        <f>G311/((1+'How much will I make'!$C$5/12)^(Calculations!$B$1*12-Calculations!$A311))</f>
        <v>3465.8712876478985</v>
      </c>
      <c r="J311" s="25">
        <f t="shared" si="59"/>
        <v>1078864.4835018925</v>
      </c>
      <c r="K311" s="25">
        <f t="shared" si="49"/>
        <v>14522.553915486778</v>
      </c>
      <c r="L311" s="25">
        <f t="shared" si="60"/>
        <v>20833216.342848022</v>
      </c>
      <c r="M311" s="25">
        <f>K311/((1+'How much will I make'!$C$5/12)^(Calculations!$B$1*12-Calculations!$A311))</f>
        <v>7073.5829074979501</v>
      </c>
      <c r="N311" s="25">
        <f t="shared" si="61"/>
        <v>4430877.2839699397</v>
      </c>
      <c r="O311" s="25">
        <f t="shared" si="50"/>
        <v>29552.731059869391</v>
      </c>
      <c r="P311" s="25">
        <f t="shared" si="62"/>
        <v>106074444.96585016</v>
      </c>
      <c r="Q311" s="25">
        <f>O311/((1+'How much will I make'!$C$5/12)^(Calculations!$B$1*12-Calculations!$A311))</f>
        <v>14394.416747322437</v>
      </c>
      <c r="R311" s="25">
        <f t="shared" si="63"/>
        <v>20426046.529270686</v>
      </c>
      <c r="S311" s="25">
        <f t="shared" si="51"/>
        <v>59963.953683766806</v>
      </c>
      <c r="T311" s="25">
        <f t="shared" si="64"/>
        <v>576791197.27984881</v>
      </c>
      <c r="U311" s="25">
        <f>S311/((1+'How much will I make'!$C$5/12)^(Calculations!$B$1*12-Calculations!$A311))</f>
        <v>29206.983861920427</v>
      </c>
      <c r="V311" s="25">
        <f t="shared" si="65"/>
        <v>103184950.07853521</v>
      </c>
      <c r="W311" s="25">
        <f t="shared" si="52"/>
        <v>121319.66260830397</v>
      </c>
      <c r="X311" s="25">
        <f t="shared" si="66"/>
        <v>3278948416.0772943</v>
      </c>
      <c r="Y311" s="25">
        <f>W311/((1+'How much will I make'!$C$5/12)^(Calculations!$B$1*12-Calculations!$A311))</f>
        <v>59091.857862161196</v>
      </c>
      <c r="Z311" s="25">
        <f t="shared" si="67"/>
        <v>556593172.92450058</v>
      </c>
      <c r="AA311" s="25">
        <f t="shared" si="53"/>
        <v>244754.43998657685</v>
      </c>
      <c r="AB311" s="25">
        <f t="shared" si="68"/>
        <v>19195279266.350101</v>
      </c>
      <c r="AC311" s="25">
        <f>AA311/((1+'How much will I make'!$C$5/12)^(Calculations!$B$1*12-Calculations!$A311))</f>
        <v>119213.9367013844</v>
      </c>
      <c r="AD311" s="25">
        <f t="shared" si="69"/>
        <v>3138832038.0284476</v>
      </c>
      <c r="AE311" s="25">
        <f t="shared" si="54"/>
        <v>492377.7823019108</v>
      </c>
      <c r="AF311" s="25">
        <f t="shared" si="70"/>
        <v>114548125687.32578</v>
      </c>
      <c r="AG311" s="25">
        <f>AE311/((1+'How much will I make'!$C$5/12)^(Calculations!$B$1*12-Calculations!$A311))</f>
        <v>239825.24597195143</v>
      </c>
      <c r="AH311" s="25">
        <f t="shared" si="71"/>
        <v>18229230539.702705</v>
      </c>
    </row>
    <row r="312" spans="1:34" ht="15.75" customHeight="1">
      <c r="A312" s="22">
        <f t="shared" si="55"/>
        <v>308</v>
      </c>
      <c r="B312" s="22">
        <f t="shared" si="75"/>
        <v>1693.1774704496941</v>
      </c>
      <c r="C312" s="25">
        <f t="shared" si="47"/>
        <v>3461.7860982555853</v>
      </c>
      <c r="D312" s="25">
        <f t="shared" si="56"/>
        <v>1088411.3606316932</v>
      </c>
      <c r="E312" s="25">
        <f>$C312/((1+'How much will I make'!$C$5/12)^(Calculations!$B$1*12-Calculations!$A312))</f>
        <v>1693.1774704496941</v>
      </c>
      <c r="F312" s="25">
        <f t="shared" si="57"/>
        <v>299908.01267152489</v>
      </c>
      <c r="G312" s="25">
        <f t="shared" si="48"/>
        <v>7056.8657473897429</v>
      </c>
      <c r="H312" s="25">
        <f t="shared" si="58"/>
        <v>4492705.1496834476</v>
      </c>
      <c r="I312" s="25">
        <f>G312/((1+'How much will I make'!$C$5/12)^(Calculations!$B$1*12-Calculations!$A312))</f>
        <v>3451.5495054675357</v>
      </c>
      <c r="J312" s="25">
        <f t="shared" si="59"/>
        <v>1082316.0330073601</v>
      </c>
      <c r="K312" s="25">
        <f t="shared" si="49"/>
        <v>14343.263126406699</v>
      </c>
      <c r="L312" s="25">
        <f t="shared" si="60"/>
        <v>20847559.605974428</v>
      </c>
      <c r="M312" s="25">
        <f>K312/((1+'How much will I make'!$C$5/12)^(Calculations!$B$1*12-Calculations!$A312))</f>
        <v>7015.3641181358289</v>
      </c>
      <c r="N312" s="25">
        <f t="shared" si="61"/>
        <v>4437892.6480880752</v>
      </c>
      <c r="O312" s="25">
        <f t="shared" si="50"/>
        <v>29068.260058887932</v>
      </c>
      <c r="P312" s="25">
        <f t="shared" si="62"/>
        <v>106103513.22590905</v>
      </c>
      <c r="Q312" s="25">
        <f>O312/((1+'How much will I make'!$C$5/12)^(Calculations!$B$1*12-Calculations!$A312))</f>
        <v>14217.436213543884</v>
      </c>
      <c r="R312" s="25">
        <f t="shared" si="63"/>
        <v>20440263.965484232</v>
      </c>
      <c r="S312" s="25">
        <f t="shared" si="51"/>
        <v>58740.199526955221</v>
      </c>
      <c r="T312" s="25">
        <f t="shared" si="64"/>
        <v>576849937.47937572</v>
      </c>
      <c r="U312" s="25">
        <f>S312/((1+'How much will I make'!$C$5/12)^(Calculations!$B$1*12-Calculations!$A312))</f>
        <v>28730.135145807428</v>
      </c>
      <c r="V312" s="25">
        <f t="shared" si="65"/>
        <v>103213680.21368103</v>
      </c>
      <c r="W312" s="25">
        <f t="shared" si="52"/>
        <v>118360.64644712582</v>
      </c>
      <c r="X312" s="25">
        <f t="shared" si="66"/>
        <v>3279066776.7237415</v>
      </c>
      <c r="Y312" s="25">
        <f>W312/((1+'How much will I make'!$C$5/12)^(Calculations!$B$1*12-Calculations!$A312))</f>
        <v>57890.803840572546</v>
      </c>
      <c r="Z312" s="25">
        <f t="shared" si="67"/>
        <v>556651063.7283411</v>
      </c>
      <c r="AA312" s="25">
        <f t="shared" si="53"/>
        <v>237818.07933918404</v>
      </c>
      <c r="AB312" s="25">
        <f t="shared" si="68"/>
        <v>19195517084.42944</v>
      </c>
      <c r="AC312" s="25">
        <f>AA312/((1+'How much will I make'!$C$5/12)^(Calculations!$B$1*12-Calculations!$A312))</f>
        <v>116318.05159932649</v>
      </c>
      <c r="AD312" s="25">
        <f t="shared" si="69"/>
        <v>3138948356.0800471</v>
      </c>
      <c r="AE312" s="25">
        <f t="shared" si="54"/>
        <v>476494.62803410721</v>
      </c>
      <c r="AF312" s="25">
        <f t="shared" si="70"/>
        <v>114548602181.95381</v>
      </c>
      <c r="AG312" s="25">
        <f>AE312/((1+'How much will I make'!$C$5/12)^(Calculations!$B$1*12-Calculations!$A312))</f>
        <v>233055.98499693666</v>
      </c>
      <c r="AH312" s="25">
        <f t="shared" si="71"/>
        <v>18229463595.687702</v>
      </c>
    </row>
    <row r="313" spans="1:34" ht="15.75" customHeight="1">
      <c r="A313" s="22">
        <f t="shared" si="55"/>
        <v>309</v>
      </c>
      <c r="B313" s="22">
        <f t="shared" si="75"/>
        <v>1693.1774704496941</v>
      </c>
      <c r="C313" s="25">
        <f t="shared" si="47"/>
        <v>3447.4218405864749</v>
      </c>
      <c r="D313" s="25">
        <f t="shared" si="56"/>
        <v>1091858.7824722796</v>
      </c>
      <c r="E313" s="25">
        <f>$C313/((1+'How much will I make'!$C$5/12)^(Calculations!$B$1*12-Calculations!$A313))</f>
        <v>1693.1774704496941</v>
      </c>
      <c r="F313" s="25">
        <f t="shared" si="57"/>
        <v>301601.1901419746</v>
      </c>
      <c r="G313" s="25">
        <f t="shared" si="48"/>
        <v>6998.5445428658613</v>
      </c>
      <c r="H313" s="25">
        <f t="shared" si="58"/>
        <v>4499703.6942263134</v>
      </c>
      <c r="I313" s="25">
        <f>G313/((1+'How much will I make'!$C$5/12)^(Calculations!$B$1*12-Calculations!$A313))</f>
        <v>3437.286904205273</v>
      </c>
      <c r="J313" s="25">
        <f t="shared" si="59"/>
        <v>1085753.3199115654</v>
      </c>
      <c r="K313" s="25">
        <f t="shared" si="49"/>
        <v>14166.185803858465</v>
      </c>
      <c r="L313" s="25">
        <f t="shared" si="60"/>
        <v>20861725.791778285</v>
      </c>
      <c r="M313" s="25">
        <f>K313/((1+'How much will I make'!$C$5/12)^(Calculations!$B$1*12-Calculations!$A313))</f>
        <v>6957.6244957643385</v>
      </c>
      <c r="N313" s="25">
        <f t="shared" si="61"/>
        <v>4444850.2725838395</v>
      </c>
      <c r="O313" s="25">
        <f t="shared" si="50"/>
        <v>28591.731205463533</v>
      </c>
      <c r="P313" s="25">
        <f t="shared" si="62"/>
        <v>106132104.95711452</v>
      </c>
      <c r="Q313" s="25">
        <f>O313/((1+'How much will I make'!$C$5/12)^(Calculations!$B$1*12-Calculations!$A313))</f>
        <v>14042.631669934734</v>
      </c>
      <c r="R313" s="25">
        <f t="shared" si="63"/>
        <v>20454306.597154167</v>
      </c>
      <c r="S313" s="25">
        <f t="shared" si="51"/>
        <v>57541.419944772475</v>
      </c>
      <c r="T313" s="25">
        <f t="shared" si="64"/>
        <v>576907478.89932048</v>
      </c>
      <c r="U313" s="25">
        <f>S313/((1+'How much will I make'!$C$5/12)^(Calculations!$B$1*12-Calculations!$A313))</f>
        <v>28261.071714855476</v>
      </c>
      <c r="V313" s="25">
        <f t="shared" si="65"/>
        <v>103241941.28539588</v>
      </c>
      <c r="W313" s="25">
        <f t="shared" si="52"/>
        <v>115473.80141183011</v>
      </c>
      <c r="X313" s="25">
        <f t="shared" si="66"/>
        <v>3279182250.5251532</v>
      </c>
      <c r="Y313" s="25">
        <f>W313/((1+'How much will I make'!$C$5/12)^(Calculations!$B$1*12-Calculations!$A313))</f>
        <v>56714.161486089375</v>
      </c>
      <c r="Z313" s="25">
        <f t="shared" si="67"/>
        <v>556707777.88982725</v>
      </c>
      <c r="AA313" s="25">
        <f t="shared" si="53"/>
        <v>231078.29571418697</v>
      </c>
      <c r="AB313" s="25">
        <f t="shared" si="68"/>
        <v>19195748162.725155</v>
      </c>
      <c r="AC313" s="25">
        <f>AA313/((1+'How much will I make'!$C$5/12)^(Calculations!$B$1*12-Calculations!$A313))</f>
        <v>113492.51188436311</v>
      </c>
      <c r="AD313" s="25">
        <f t="shared" si="69"/>
        <v>3139061848.5919313</v>
      </c>
      <c r="AE313" s="25">
        <f t="shared" si="54"/>
        <v>461123.83358139382</v>
      </c>
      <c r="AF313" s="25">
        <f t="shared" si="70"/>
        <v>114549063305.7874</v>
      </c>
      <c r="AG313" s="25">
        <f>AE313/((1+'How much will I make'!$C$5/12)^(Calculations!$B$1*12-Calculations!$A313))</f>
        <v>226477.79187202296</v>
      </c>
      <c r="AH313" s="25">
        <f t="shared" si="71"/>
        <v>18229690073.479572</v>
      </c>
    </row>
    <row r="314" spans="1:34" ht="15.75" customHeight="1">
      <c r="A314" s="22">
        <f t="shared" si="55"/>
        <v>310</v>
      </c>
      <c r="B314" s="22">
        <f t="shared" si="75"/>
        <v>1693.1774704496941</v>
      </c>
      <c r="C314" s="25">
        <f t="shared" si="47"/>
        <v>3433.1171856462829</v>
      </c>
      <c r="D314" s="25">
        <f t="shared" si="56"/>
        <v>1095291.8996579258</v>
      </c>
      <c r="E314" s="25">
        <f>$C314/((1+'How much will I make'!$C$5/12)^(Calculations!$B$1*12-Calculations!$A314))</f>
        <v>1693.1774704496941</v>
      </c>
      <c r="F314" s="25">
        <f t="shared" si="57"/>
        <v>303294.36761242431</v>
      </c>
      <c r="G314" s="25">
        <f t="shared" si="48"/>
        <v>6940.7053317677965</v>
      </c>
      <c r="H314" s="25">
        <f t="shared" si="58"/>
        <v>4506644.3995580813</v>
      </c>
      <c r="I314" s="25">
        <f>G314/((1+'How much will I make'!$C$5/12)^(Calculations!$B$1*12-Calculations!$A314))</f>
        <v>3423.0832393118621</v>
      </c>
      <c r="J314" s="25">
        <f t="shared" si="59"/>
        <v>1089176.4031508772</v>
      </c>
      <c r="K314" s="25">
        <f t="shared" si="49"/>
        <v>13991.294621094783</v>
      </c>
      <c r="L314" s="25">
        <f t="shared" si="60"/>
        <v>20875717.08639938</v>
      </c>
      <c r="M314" s="25">
        <f>K314/((1+'How much will I make'!$C$5/12)^(Calculations!$B$1*12-Calculations!$A314))</f>
        <v>6900.3600966222457</v>
      </c>
      <c r="N314" s="25">
        <f t="shared" si="61"/>
        <v>4451750.6326804617</v>
      </c>
      <c r="O314" s="25">
        <f t="shared" si="50"/>
        <v>28123.01430045594</v>
      </c>
      <c r="P314" s="25">
        <f t="shared" si="62"/>
        <v>106160227.97141497</v>
      </c>
      <c r="Q314" s="25">
        <f>O314/((1+'How much will I make'!$C$5/12)^(Calculations!$B$1*12-Calculations!$A314))</f>
        <v>13869.976362517504</v>
      </c>
      <c r="R314" s="25">
        <f t="shared" si="63"/>
        <v>20468176.573516686</v>
      </c>
      <c r="S314" s="25">
        <f t="shared" si="51"/>
        <v>56367.10525202204</v>
      </c>
      <c r="T314" s="25">
        <f t="shared" si="64"/>
        <v>576963846.00457251</v>
      </c>
      <c r="U314" s="25">
        <f>S314/((1+'How much will I make'!$C$5/12)^(Calculations!$B$1*12-Calculations!$A314))</f>
        <v>27799.666462368048</v>
      </c>
      <c r="V314" s="25">
        <f t="shared" si="65"/>
        <v>103269740.95185824</v>
      </c>
      <c r="W314" s="25">
        <f t="shared" si="52"/>
        <v>112657.36723105375</v>
      </c>
      <c r="X314" s="25">
        <f t="shared" si="66"/>
        <v>3279294907.8923841</v>
      </c>
      <c r="Y314" s="25">
        <f>W314/((1+'How much will I make'!$C$5/12)^(Calculations!$B$1*12-Calculations!$A314))</f>
        <v>55561.434626615999</v>
      </c>
      <c r="Z314" s="25">
        <f t="shared" si="67"/>
        <v>556763339.32445383</v>
      </c>
      <c r="AA314" s="25">
        <f t="shared" si="53"/>
        <v>224529.51810285373</v>
      </c>
      <c r="AB314" s="25">
        <f t="shared" si="68"/>
        <v>19195972692.243259</v>
      </c>
      <c r="AC314" s="25">
        <f>AA314/((1+'How much will I make'!$C$5/12)^(Calculations!$B$1*12-Calculations!$A314))</f>
        <v>110735.60876166601</v>
      </c>
      <c r="AD314" s="25">
        <f t="shared" si="69"/>
        <v>3139172584.2006931</v>
      </c>
      <c r="AE314" s="25">
        <f t="shared" si="54"/>
        <v>446248.87120780052</v>
      </c>
      <c r="AF314" s="25">
        <f t="shared" si="70"/>
        <v>114549509554.6586</v>
      </c>
      <c r="AG314" s="25">
        <f>AE314/((1+'How much will I make'!$C$5/12)^(Calculations!$B$1*12-Calculations!$A314))</f>
        <v>220085.27355305458</v>
      </c>
      <c r="AH314" s="25">
        <f t="shared" si="71"/>
        <v>18229910158.753124</v>
      </c>
    </row>
    <row r="315" spans="1:34" ht="15.75" customHeight="1">
      <c r="A315" s="22">
        <f t="shared" si="55"/>
        <v>311</v>
      </c>
      <c r="B315" s="22">
        <f t="shared" si="75"/>
        <v>1693.1774704496941</v>
      </c>
      <c r="C315" s="25">
        <f t="shared" si="47"/>
        <v>3418.8718861207785</v>
      </c>
      <c r="D315" s="25">
        <f t="shared" si="56"/>
        <v>1098710.7715440467</v>
      </c>
      <c r="E315" s="25">
        <f>$C315/((1+'How much will I make'!$C$5/12)^(Calculations!$B$1*12-Calculations!$A315))</f>
        <v>1693.1774704496941</v>
      </c>
      <c r="F315" s="25">
        <f t="shared" si="57"/>
        <v>304987.54508287401</v>
      </c>
      <c r="G315" s="25">
        <f t="shared" si="48"/>
        <v>6883.3441306788054</v>
      </c>
      <c r="H315" s="25">
        <f t="shared" si="58"/>
        <v>4513527.7436887603</v>
      </c>
      <c r="I315" s="25">
        <f>G315/((1+'How much will I make'!$C$5/12)^(Calculations!$B$1*12-Calculations!$A315))</f>
        <v>3408.9382672485908</v>
      </c>
      <c r="J315" s="25">
        <f t="shared" si="59"/>
        <v>1092585.3414181259</v>
      </c>
      <c r="K315" s="25">
        <f t="shared" si="49"/>
        <v>13818.562588735591</v>
      </c>
      <c r="L315" s="25">
        <f t="shared" si="60"/>
        <v>20889535.648988117</v>
      </c>
      <c r="M315" s="25">
        <f>K315/((1+'How much will I make'!$C$5/12)^(Calculations!$B$1*12-Calculations!$A315))</f>
        <v>6843.5670094072511</v>
      </c>
      <c r="N315" s="25">
        <f t="shared" si="61"/>
        <v>4458594.1996898688</v>
      </c>
      <c r="O315" s="25">
        <f t="shared" si="50"/>
        <v>27661.981279136988</v>
      </c>
      <c r="P315" s="25">
        <f t="shared" si="62"/>
        <v>106187889.9526941</v>
      </c>
      <c r="Q315" s="25">
        <f>O315/((1+'How much will I make'!$C$5/12)^(Calculations!$B$1*12-Calculations!$A315))</f>
        <v>13699.443866257046</v>
      </c>
      <c r="R315" s="25">
        <f t="shared" si="63"/>
        <v>20481876.017382942</v>
      </c>
      <c r="S315" s="25">
        <f t="shared" si="51"/>
        <v>55216.756165246072</v>
      </c>
      <c r="T315" s="25">
        <f t="shared" si="64"/>
        <v>577019062.76073778</v>
      </c>
      <c r="U315" s="25">
        <f>S315/((1+'How much will I make'!$C$5/12)^(Calculations!$B$1*12-Calculations!$A315))</f>
        <v>27345.794356860002</v>
      </c>
      <c r="V315" s="25">
        <f t="shared" si="65"/>
        <v>103297086.74621509</v>
      </c>
      <c r="W315" s="25">
        <f t="shared" si="52"/>
        <v>109909.62656688171</v>
      </c>
      <c r="X315" s="25">
        <f t="shared" si="66"/>
        <v>3279404817.5189509</v>
      </c>
      <c r="Y315" s="25">
        <f>W315/((1+'How much will I make'!$C$5/12)^(Calculations!$B$1*12-Calculations!$A315))</f>
        <v>54432.137174855525</v>
      </c>
      <c r="Z315" s="25">
        <f t="shared" si="67"/>
        <v>556817771.46162868</v>
      </c>
      <c r="AA315" s="25">
        <f t="shared" si="53"/>
        <v>218166.33337929109</v>
      </c>
      <c r="AB315" s="25">
        <f t="shared" si="68"/>
        <v>19196190858.576637</v>
      </c>
      <c r="AC315" s="25">
        <f>AA315/((1+'How much will I make'!$C$5/12)^(Calculations!$B$1*12-Calculations!$A315))</f>
        <v>108045.67494559319</v>
      </c>
      <c r="AD315" s="25">
        <f t="shared" si="69"/>
        <v>3139280629.875639</v>
      </c>
      <c r="AE315" s="25">
        <f t="shared" si="54"/>
        <v>431853.74633012951</v>
      </c>
      <c r="AF315" s="25">
        <f t="shared" si="70"/>
        <v>114549941408.40492</v>
      </c>
      <c r="AG315" s="25">
        <f>AE315/((1+'How much will I make'!$C$5/12)^(Calculations!$B$1*12-Calculations!$A315))</f>
        <v>213873.18921889583</v>
      </c>
      <c r="AH315" s="25">
        <f t="shared" si="71"/>
        <v>18230124031.942345</v>
      </c>
    </row>
    <row r="316" spans="1:34" ht="15.75" customHeight="1">
      <c r="A316" s="22">
        <f t="shared" si="55"/>
        <v>312</v>
      </c>
      <c r="B316" s="22">
        <f t="shared" si="75"/>
        <v>1693.1774704496941</v>
      </c>
      <c r="C316" s="25">
        <f t="shared" si="47"/>
        <v>3404.6856957219375</v>
      </c>
      <c r="D316" s="25">
        <f t="shared" si="56"/>
        <v>1102115.4572397687</v>
      </c>
      <c r="E316" s="25">
        <f>$C316/((1+'How much will I make'!$C$5/12)^(Calculations!$B$1*12-Calculations!$A316))</f>
        <v>1693.1774704496941</v>
      </c>
      <c r="F316" s="25">
        <f t="shared" si="57"/>
        <v>306680.72255332372</v>
      </c>
      <c r="G316" s="25">
        <f t="shared" si="48"/>
        <v>6826.4569891029478</v>
      </c>
      <c r="H316" s="25">
        <f t="shared" si="58"/>
        <v>4520354.2006778633</v>
      </c>
      <c r="I316" s="25">
        <f>G316/((1+'How much will I make'!$C$5/12)^(Calculations!$B$1*12-Calculations!$A316))</f>
        <v>3394.8517454831008</v>
      </c>
      <c r="J316" s="25">
        <f t="shared" si="59"/>
        <v>1095980.1931636089</v>
      </c>
      <c r="K316" s="25">
        <f t="shared" si="49"/>
        <v>13647.963050603048</v>
      </c>
      <c r="L316" s="25">
        <f t="shared" si="60"/>
        <v>20903183.61203872</v>
      </c>
      <c r="M316" s="25">
        <f>K316/((1+'How much will I make'!$C$5/12)^(Calculations!$B$1*12-Calculations!$A316))</f>
        <v>6787.241355008834</v>
      </c>
      <c r="N316" s="25">
        <f t="shared" si="61"/>
        <v>4465381.4410448773</v>
      </c>
      <c r="O316" s="25">
        <f t="shared" si="50"/>
        <v>27208.506176200321</v>
      </c>
      <c r="P316" s="25">
        <f t="shared" si="62"/>
        <v>106215098.45887031</v>
      </c>
      <c r="Q316" s="25">
        <f>O316/((1+'How much will I make'!$C$5/12)^(Calculations!$B$1*12-Calculations!$A316))</f>
        <v>13531.008081016182</v>
      </c>
      <c r="R316" s="25">
        <f t="shared" si="63"/>
        <v>20495407.025463957</v>
      </c>
      <c r="S316" s="25">
        <f t="shared" si="51"/>
        <v>54089.883590445141</v>
      </c>
      <c r="T316" s="25">
        <f t="shared" si="64"/>
        <v>577073152.64432824</v>
      </c>
      <c r="U316" s="25">
        <f>S316/((1+'How much will I make'!$C$5/12)^(Calculations!$B$1*12-Calculations!$A316))</f>
        <v>26899.332408176575</v>
      </c>
      <c r="V316" s="25">
        <f t="shared" si="65"/>
        <v>103323986.07862327</v>
      </c>
      <c r="W316" s="25">
        <f t="shared" si="52"/>
        <v>107228.90396768948</v>
      </c>
      <c r="X316" s="25">
        <f t="shared" si="66"/>
        <v>3279512046.4229188</v>
      </c>
      <c r="Y316" s="25">
        <f>W316/((1+'How much will I make'!$C$5/12)^(Calculations!$B$1*12-Calculations!$A316))</f>
        <v>53325.792923334069</v>
      </c>
      <c r="Z316" s="25">
        <f t="shared" si="67"/>
        <v>556871097.25455201</v>
      </c>
      <c r="AA316" s="25">
        <f t="shared" si="53"/>
        <v>211983.48182603187</v>
      </c>
      <c r="AB316" s="25">
        <f t="shared" si="68"/>
        <v>19196402842.058464</v>
      </c>
      <c r="AC316" s="25">
        <f>AA316/((1+'How much will I make'!$C$5/12)^(Calculations!$B$1*12-Calculations!$A316))</f>
        <v>105421.08365136827</v>
      </c>
      <c r="AD316" s="25">
        <f t="shared" si="69"/>
        <v>3139386050.9592905</v>
      </c>
      <c r="AE316" s="25">
        <f t="shared" si="54"/>
        <v>417922.98031948012</v>
      </c>
      <c r="AF316" s="25">
        <f t="shared" si="70"/>
        <v>114550359331.38524</v>
      </c>
      <c r="AG316" s="25">
        <f>AE316/((1+'How much will I make'!$C$5/12)^(Calculations!$B$1*12-Calculations!$A316))</f>
        <v>207836.44597481404</v>
      </c>
      <c r="AH316" s="25">
        <f t="shared" si="71"/>
        <v>18230331868.388321</v>
      </c>
    </row>
    <row r="317" spans="1:34" ht="15.75" customHeight="1">
      <c r="A317" s="22">
        <f t="shared" si="55"/>
        <v>313</v>
      </c>
      <c r="B317" s="22">
        <f>B316*(1+'How much will I make'!$C$4)</f>
        <v>1777.8363439721788</v>
      </c>
      <c r="C317" s="25">
        <f t="shared" si="47"/>
        <v>3560.086287642856</v>
      </c>
      <c r="D317" s="25">
        <f t="shared" si="56"/>
        <v>1105675.5435274115</v>
      </c>
      <c r="E317" s="25">
        <f>$C317/((1+'How much will I make'!$C$5/12)^(Calculations!$B$1*12-Calculations!$A317))</f>
        <v>1777.8363439721788</v>
      </c>
      <c r="F317" s="25">
        <f t="shared" si="57"/>
        <v>308458.55889729591</v>
      </c>
      <c r="G317" s="25">
        <f t="shared" si="48"/>
        <v>7108.5419886526561</v>
      </c>
      <c r="H317" s="25">
        <f t="shared" si="58"/>
        <v>4527462.7426665155</v>
      </c>
      <c r="I317" s="25">
        <f>G317/((1+'How much will I make'!$C$5/12)^(Calculations!$B$1*12-Calculations!$A317))</f>
        <v>3549.864604109498</v>
      </c>
      <c r="J317" s="25">
        <f t="shared" si="59"/>
        <v>1099530.0577677183</v>
      </c>
      <c r="K317" s="25">
        <f t="shared" si="49"/>
        <v>14153.443163588347</v>
      </c>
      <c r="L317" s="25">
        <f t="shared" si="60"/>
        <v>20917337.055202309</v>
      </c>
      <c r="M317" s="25">
        <f>K317/((1+'How much will I make'!$C$5/12)^(Calculations!$B$1*12-Calculations!$A317))</f>
        <v>7067.9482505554961</v>
      </c>
      <c r="N317" s="25">
        <f t="shared" si="61"/>
        <v>4472449.3892954327</v>
      </c>
      <c r="O317" s="25">
        <f t="shared" si="50"/>
        <v>28100.588345911809</v>
      </c>
      <c r="P317" s="25">
        <f t="shared" si="62"/>
        <v>106243199.04721622</v>
      </c>
      <c r="Q317" s="25">
        <f>O317/((1+'How much will I make'!$C$5/12)^(Calculations!$B$1*12-Calculations!$A317))</f>
        <v>14032.875388939119</v>
      </c>
      <c r="R317" s="25">
        <f t="shared" si="63"/>
        <v>20509439.900852896</v>
      </c>
      <c r="S317" s="25">
        <f t="shared" si="51"/>
        <v>55635.308835886433</v>
      </c>
      <c r="T317" s="25">
        <f t="shared" si="64"/>
        <v>577128787.9531641</v>
      </c>
      <c r="U317" s="25">
        <f>S317/((1+'How much will I make'!$C$5/12)^(Calculations!$B$1*12-Calculations!$A317))</f>
        <v>27783.167615873805</v>
      </c>
      <c r="V317" s="25">
        <f t="shared" si="65"/>
        <v>103351769.24623914</v>
      </c>
      <c r="W317" s="25">
        <f t="shared" si="52"/>
        <v>109844.24308885266</v>
      </c>
      <c r="X317" s="25">
        <f t="shared" si="66"/>
        <v>3279621890.6660075</v>
      </c>
      <c r="Y317" s="25">
        <f>W317/((1+'How much will I make'!$C$5/12)^(Calculations!$B$1*12-Calculations!$A317))</f>
        <v>54854.032110771099</v>
      </c>
      <c r="Z317" s="25">
        <f t="shared" si="67"/>
        <v>556925951.28666282</v>
      </c>
      <c r="AA317" s="25">
        <f t="shared" si="53"/>
        <v>216274.64542574919</v>
      </c>
      <c r="AB317" s="25">
        <f t="shared" si="68"/>
        <v>19196619116.703888</v>
      </c>
      <c r="AC317" s="25">
        <f>AA317/((1+'How much will I make'!$C$5/12)^(Calculations!$B$1*12-Calculations!$A317))</f>
        <v>108003.2599918168</v>
      </c>
      <c r="AD317" s="25">
        <f t="shared" si="69"/>
        <v>3139494054.2192822</v>
      </c>
      <c r="AE317" s="25">
        <f t="shared" si="54"/>
        <v>424663.67355043942</v>
      </c>
      <c r="AF317" s="25">
        <f t="shared" si="70"/>
        <v>114550783995.05879</v>
      </c>
      <c r="AG317" s="25">
        <f>AE317/((1+'How much will I make'!$C$5/12)^(Calculations!$B$1*12-Calculations!$A317))</f>
        <v>212068.59941099471</v>
      </c>
      <c r="AH317" s="25">
        <f t="shared" si="71"/>
        <v>18230543936.987732</v>
      </c>
    </row>
    <row r="318" spans="1:34" ht="15.75" customHeight="1">
      <c r="A318" s="22">
        <f t="shared" si="55"/>
        <v>314</v>
      </c>
      <c r="B318" s="22">
        <f t="shared" ref="B318:B328" si="76">B317</f>
        <v>1777.8363439721788</v>
      </c>
      <c r="C318" s="25">
        <f t="shared" si="47"/>
        <v>3545.3141453704789</v>
      </c>
      <c r="D318" s="25">
        <f t="shared" si="56"/>
        <v>1109220.8576727819</v>
      </c>
      <c r="E318" s="25">
        <f>$C318/((1+'How much will I make'!$C$5/12)^(Calculations!$B$1*12-Calculations!$A318))</f>
        <v>1777.8363439721788</v>
      </c>
      <c r="F318" s="25">
        <f t="shared" si="57"/>
        <v>310236.3952412681</v>
      </c>
      <c r="G318" s="25">
        <f t="shared" si="48"/>
        <v>7049.7937077547031</v>
      </c>
      <c r="H318" s="25">
        <f t="shared" si="58"/>
        <v>4534512.53637427</v>
      </c>
      <c r="I318" s="25">
        <f>G318/((1+'How much will I make'!$C$5/12)^(Calculations!$B$1*12-Calculations!$A318))</f>
        <v>3535.1957421090474</v>
      </c>
      <c r="J318" s="25">
        <f t="shared" si="59"/>
        <v>1103065.2535098274</v>
      </c>
      <c r="K318" s="25">
        <f t="shared" si="49"/>
        <v>13978.70929737121</v>
      </c>
      <c r="L318" s="25">
        <f t="shared" si="60"/>
        <v>20931315.764499679</v>
      </c>
      <c r="M318" s="25">
        <f>K318/((1+'How much will I make'!$C$5/12)^(Calculations!$B$1*12-Calculations!$A318))</f>
        <v>7009.7758369706798</v>
      </c>
      <c r="N318" s="25">
        <f t="shared" si="61"/>
        <v>4479459.1651324034</v>
      </c>
      <c r="O318" s="25">
        <f t="shared" si="50"/>
        <v>27639.922963191948</v>
      </c>
      <c r="P318" s="25">
        <f t="shared" si="62"/>
        <v>106270838.97017941</v>
      </c>
      <c r="Q318" s="25">
        <f>O318/((1+'How much will I make'!$C$5/12)^(Calculations!$B$1*12-Calculations!$A318))</f>
        <v>13860.340035796429</v>
      </c>
      <c r="R318" s="25">
        <f t="shared" si="63"/>
        <v>20523300.240888692</v>
      </c>
      <c r="S318" s="25">
        <f t="shared" si="51"/>
        <v>54499.894369847949</v>
      </c>
      <c r="T318" s="25">
        <f t="shared" si="64"/>
        <v>577183287.84753394</v>
      </c>
      <c r="U318" s="25">
        <f>S318/((1+'How much will I make'!$C$5/12)^(Calculations!$B$1*12-Calculations!$A318))</f>
        <v>27329.564879288122</v>
      </c>
      <c r="V318" s="25">
        <f t="shared" si="65"/>
        <v>103379098.81111842</v>
      </c>
      <c r="W318" s="25">
        <f t="shared" si="52"/>
        <v>107165.11520863674</v>
      </c>
      <c r="X318" s="25">
        <f t="shared" si="66"/>
        <v>3279729055.7812161</v>
      </c>
      <c r="Y318" s="25">
        <f>W318/((1+'How much will I make'!$C$5/12)^(Calculations!$B$1*12-Calculations!$A318))</f>
        <v>53739.11275892616</v>
      </c>
      <c r="Z318" s="25">
        <f t="shared" si="67"/>
        <v>556979690.39942169</v>
      </c>
      <c r="AA318" s="25">
        <f t="shared" si="53"/>
        <v>210145.40446226639</v>
      </c>
      <c r="AB318" s="25">
        <f t="shared" si="68"/>
        <v>19196829262.108349</v>
      </c>
      <c r="AC318" s="25">
        <f>AA318/((1+'How much will I make'!$C$5/12)^(Calculations!$B$1*12-Calculations!$A318))</f>
        <v>105379.69902035566</v>
      </c>
      <c r="AD318" s="25">
        <f t="shared" si="69"/>
        <v>3139599433.9183025</v>
      </c>
      <c r="AE318" s="25">
        <f t="shared" si="54"/>
        <v>410964.84537139302</v>
      </c>
      <c r="AF318" s="25">
        <f t="shared" si="70"/>
        <v>114551194959.90416</v>
      </c>
      <c r="AG318" s="25">
        <f>AE318/((1+'How much will I make'!$C$5/12)^(Calculations!$B$1*12-Calculations!$A318))</f>
        <v>206082.79216955538</v>
      </c>
      <c r="AH318" s="25">
        <f t="shared" si="71"/>
        <v>18230750019.7799</v>
      </c>
    </row>
    <row r="319" spans="1:34" ht="15.75" customHeight="1">
      <c r="A319" s="22">
        <f t="shared" si="55"/>
        <v>315</v>
      </c>
      <c r="B319" s="22">
        <f t="shared" si="76"/>
        <v>1777.8363439721788</v>
      </c>
      <c r="C319" s="25">
        <f t="shared" si="47"/>
        <v>3530.6032982942525</v>
      </c>
      <c r="D319" s="25">
        <f t="shared" si="56"/>
        <v>1112751.4609710763</v>
      </c>
      <c r="E319" s="25">
        <f>$C319/((1+'How much will I make'!$C$5/12)^(Calculations!$B$1*12-Calculations!$A319))</f>
        <v>1777.8363439721788</v>
      </c>
      <c r="F319" s="25">
        <f t="shared" si="57"/>
        <v>312014.23158524028</v>
      </c>
      <c r="G319" s="25">
        <f t="shared" si="48"/>
        <v>6991.5309498393735</v>
      </c>
      <c r="H319" s="25">
        <f t="shared" si="58"/>
        <v>4541504.0673241094</v>
      </c>
      <c r="I319" s="25">
        <f>G319/((1+'How much will I make'!$C$5/12)^(Calculations!$B$1*12-Calculations!$A319))</f>
        <v>3520.5874952408276</v>
      </c>
      <c r="J319" s="25">
        <f t="shared" si="59"/>
        <v>1106585.8410050683</v>
      </c>
      <c r="K319" s="25">
        <f t="shared" si="49"/>
        <v>13806.132639378973</v>
      </c>
      <c r="L319" s="25">
        <f t="shared" si="60"/>
        <v>20945121.897139058</v>
      </c>
      <c r="M319" s="25">
        <f>K319/((1+'How much will I make'!$C$5/12)^(Calculations!$B$1*12-Calculations!$A319))</f>
        <v>6952.0822086828557</v>
      </c>
      <c r="N319" s="25">
        <f t="shared" si="61"/>
        <v>4486411.2473410862</v>
      </c>
      <c r="O319" s="25">
        <f t="shared" si="50"/>
        <v>27186.809471992081</v>
      </c>
      <c r="P319" s="25">
        <f t="shared" si="62"/>
        <v>106298025.7796514</v>
      </c>
      <c r="Q319" s="25">
        <f>O319/((1+'How much will I make'!$C$5/12)^(Calculations!$B$1*12-Calculations!$A319))</f>
        <v>13689.926018962868</v>
      </c>
      <c r="R319" s="25">
        <f t="shared" si="63"/>
        <v>20536990.166907657</v>
      </c>
      <c r="S319" s="25">
        <f t="shared" si="51"/>
        <v>53387.651627606159</v>
      </c>
      <c r="T319" s="25">
        <f t="shared" si="64"/>
        <v>577236675.4991616</v>
      </c>
      <c r="U319" s="25">
        <f>S319/((1+'How much will I make'!$C$5/12)^(Calculations!$B$1*12-Calculations!$A319))</f>
        <v>26883.367901667094</v>
      </c>
      <c r="V319" s="25">
        <f t="shared" si="65"/>
        <v>103405982.17902009</v>
      </c>
      <c r="W319" s="25">
        <f t="shared" si="52"/>
        <v>104551.33191086513</v>
      </c>
      <c r="X319" s="25">
        <f t="shared" si="66"/>
        <v>3279833607.1131272</v>
      </c>
      <c r="Y319" s="25">
        <f>W319/((1+'How much will I make'!$C$5/12)^(Calculations!$B$1*12-Calculations!$A319))</f>
        <v>52646.854369517103</v>
      </c>
      <c r="Z319" s="25">
        <f t="shared" si="67"/>
        <v>557032337.25379121</v>
      </c>
      <c r="AA319" s="25">
        <f t="shared" si="53"/>
        <v>204189.86668398356</v>
      </c>
      <c r="AB319" s="25">
        <f t="shared" si="68"/>
        <v>19197033451.975033</v>
      </c>
      <c r="AC319" s="25">
        <f>AA319/((1+'How much will I make'!$C$5/12)^(Calculations!$B$1*12-Calculations!$A319))</f>
        <v>102819.86827492193</v>
      </c>
      <c r="AD319" s="25">
        <f t="shared" si="69"/>
        <v>3139702253.7865772</v>
      </c>
      <c r="AE319" s="25">
        <f t="shared" si="54"/>
        <v>397707.91487554152</v>
      </c>
      <c r="AF319" s="25">
        <f t="shared" si="70"/>
        <v>114551592667.81903</v>
      </c>
      <c r="AG319" s="25">
        <f>AE319/((1+'How much will I make'!$C$5/12)^(Calculations!$B$1*12-Calculations!$A319))</f>
        <v>200265.93916476949</v>
      </c>
      <c r="AH319" s="25">
        <f t="shared" si="71"/>
        <v>18230950285.719063</v>
      </c>
    </row>
    <row r="320" spans="1:34" ht="15.75" customHeight="1">
      <c r="A320" s="22">
        <f t="shared" si="55"/>
        <v>316</v>
      </c>
      <c r="B320" s="22">
        <f t="shared" si="76"/>
        <v>1777.8363439721788</v>
      </c>
      <c r="C320" s="25">
        <f t="shared" si="47"/>
        <v>3515.9534920772639</v>
      </c>
      <c r="D320" s="25">
        <f t="shared" si="56"/>
        <v>1116267.4144631536</v>
      </c>
      <c r="E320" s="25">
        <f>$C320/((1+'How much will I make'!$C$5/12)^(Calculations!$B$1*12-Calculations!$A320))</f>
        <v>1777.8363439721788</v>
      </c>
      <c r="F320" s="25">
        <f t="shared" si="57"/>
        <v>313792.06792921247</v>
      </c>
      <c r="G320" s="25">
        <f t="shared" si="48"/>
        <v>6933.7497023200403</v>
      </c>
      <c r="H320" s="25">
        <f t="shared" si="58"/>
        <v>4548437.8170264298</v>
      </c>
      <c r="I320" s="25">
        <f>G320/((1+'How much will I make'!$C$5/12)^(Calculations!$B$1*12-Calculations!$A320))</f>
        <v>3506.0396130290887</v>
      </c>
      <c r="J320" s="25">
        <f t="shared" si="59"/>
        <v>1110091.8806180973</v>
      </c>
      <c r="K320" s="25">
        <f t="shared" si="49"/>
        <v>13635.686557411331</v>
      </c>
      <c r="L320" s="25">
        <f t="shared" si="60"/>
        <v>20958757.58369647</v>
      </c>
      <c r="M320" s="25">
        <f>K320/((1+'How much will I make'!$C$5/12)^(Calculations!$B$1*12-Calculations!$A320))</f>
        <v>6894.8634250722971</v>
      </c>
      <c r="N320" s="25">
        <f t="shared" si="61"/>
        <v>4493306.1107661584</v>
      </c>
      <c r="O320" s="25">
        <f t="shared" si="50"/>
        <v>26741.124070811878</v>
      </c>
      <c r="P320" s="25">
        <f t="shared" si="62"/>
        <v>106324766.90372221</v>
      </c>
      <c r="Q320" s="25">
        <f>O320/((1+'How much will I make'!$C$5/12)^(Calculations!$B$1*12-Calculations!$A320))</f>
        <v>13521.607256434632</v>
      </c>
      <c r="R320" s="25">
        <f t="shared" si="63"/>
        <v>20550511.774164092</v>
      </c>
      <c r="S320" s="25">
        <f t="shared" si="51"/>
        <v>52298.107716838691</v>
      </c>
      <c r="T320" s="25">
        <f t="shared" si="64"/>
        <v>577288973.6068784</v>
      </c>
      <c r="U320" s="25">
        <f>S320/((1+'How much will I make'!$C$5/12)^(Calculations!$B$1*12-Calculations!$A320))</f>
        <v>26444.455772660287</v>
      </c>
      <c r="V320" s="25">
        <f t="shared" si="65"/>
        <v>103432426.63479275</v>
      </c>
      <c r="W320" s="25">
        <f t="shared" si="52"/>
        <v>102001.29942523429</v>
      </c>
      <c r="X320" s="25">
        <f t="shared" si="66"/>
        <v>3279935608.4125524</v>
      </c>
      <c r="Y320" s="25">
        <f>W320/((1+'How much will I make'!$C$5/12)^(Calculations!$B$1*12-Calculations!$A320))</f>
        <v>51576.796353876518</v>
      </c>
      <c r="Z320" s="25">
        <f t="shared" si="67"/>
        <v>557083914.05014503</v>
      </c>
      <c r="AA320" s="25">
        <f t="shared" si="53"/>
        <v>198403.10932856708</v>
      </c>
      <c r="AB320" s="25">
        <f t="shared" si="68"/>
        <v>19197231855.084362</v>
      </c>
      <c r="AC320" s="25">
        <f>AA320/((1+'How much will I make'!$C$5/12)^(Calculations!$B$1*12-Calculations!$A320))</f>
        <v>100322.21965285907</v>
      </c>
      <c r="AD320" s="25">
        <f t="shared" si="69"/>
        <v>3139802576.0062299</v>
      </c>
      <c r="AE320" s="25">
        <f t="shared" si="54"/>
        <v>384878.62729891116</v>
      </c>
      <c r="AF320" s="25">
        <f t="shared" si="70"/>
        <v>114551977546.44633</v>
      </c>
      <c r="AG320" s="25">
        <f>AE320/((1+'How much will I make'!$C$5/12)^(Calculations!$B$1*12-Calculations!$A320))</f>
        <v>194613.27152705422</v>
      </c>
      <c r="AH320" s="25">
        <f t="shared" si="71"/>
        <v>18231144898.990589</v>
      </c>
    </row>
    <row r="321" spans="1:34" ht="15.75" customHeight="1">
      <c r="A321" s="22">
        <f t="shared" si="55"/>
        <v>317</v>
      </c>
      <c r="B321" s="22">
        <f t="shared" si="76"/>
        <v>1777.8363439721788</v>
      </c>
      <c r="C321" s="25">
        <f t="shared" si="47"/>
        <v>3501.3644734379395</v>
      </c>
      <c r="D321" s="25">
        <f t="shared" si="56"/>
        <v>1119768.7789365915</v>
      </c>
      <c r="E321" s="25">
        <f>$C321/((1+'How much will I make'!$C$5/12)^(Calculations!$B$1*12-Calculations!$A321))</f>
        <v>1777.8363439721788</v>
      </c>
      <c r="F321" s="25">
        <f t="shared" si="57"/>
        <v>315569.90427318466</v>
      </c>
      <c r="G321" s="25">
        <f t="shared" si="48"/>
        <v>6876.4459857719412</v>
      </c>
      <c r="H321" s="25">
        <f t="shared" si="58"/>
        <v>4555314.2630122015</v>
      </c>
      <c r="I321" s="25">
        <f>G321/((1+'How much will I make'!$C$5/12)^(Calculations!$B$1*12-Calculations!$A321))</f>
        <v>3491.5518460331009</v>
      </c>
      <c r="J321" s="25">
        <f t="shared" si="59"/>
        <v>1113583.4324641305</v>
      </c>
      <c r="K321" s="25">
        <f t="shared" si="49"/>
        <v>13467.344748060574</v>
      </c>
      <c r="L321" s="25">
        <f t="shared" si="60"/>
        <v>20972224.928444531</v>
      </c>
      <c r="M321" s="25">
        <f>K321/((1+'How much will I make'!$C$5/12)^(Calculations!$B$1*12-Calculations!$A321))</f>
        <v>6838.1155779523597</v>
      </c>
      <c r="N321" s="25">
        <f t="shared" si="61"/>
        <v>4500144.2263441104</v>
      </c>
      <c r="O321" s="25">
        <f t="shared" si="50"/>
        <v>26302.744987683815</v>
      </c>
      <c r="P321" s="25">
        <f t="shared" si="62"/>
        <v>106351069.64870989</v>
      </c>
      <c r="Q321" s="25">
        <f>O321/((1+'How much will I make'!$C$5/12)^(Calculations!$B$1*12-Calculations!$A321))</f>
        <v>13355.357986888304</v>
      </c>
      <c r="R321" s="25">
        <f t="shared" si="63"/>
        <v>20563867.132150982</v>
      </c>
      <c r="S321" s="25">
        <f t="shared" si="51"/>
        <v>51230.799396086884</v>
      </c>
      <c r="T321" s="25">
        <f t="shared" si="64"/>
        <v>577340204.40627444</v>
      </c>
      <c r="U321" s="25">
        <f>S321/((1+'How much will I make'!$C$5/12)^(Calculations!$B$1*12-Calculations!$A321))</f>
        <v>26012.709555963789</v>
      </c>
      <c r="V321" s="25">
        <f t="shared" si="65"/>
        <v>103458439.34434871</v>
      </c>
      <c r="W321" s="25">
        <f t="shared" si="52"/>
        <v>99513.462853887104</v>
      </c>
      <c r="X321" s="25">
        <f t="shared" si="66"/>
        <v>3280035121.8754063</v>
      </c>
      <c r="Y321" s="25">
        <f>W321/((1+'How much will I make'!$C$5/12)^(Calculations!$B$1*12-Calculations!$A321))</f>
        <v>50528.487484895282</v>
      </c>
      <c r="Z321" s="25">
        <f t="shared" si="67"/>
        <v>557134442.53762996</v>
      </c>
      <c r="AA321" s="25">
        <f t="shared" si="53"/>
        <v>192780.34914516643</v>
      </c>
      <c r="AB321" s="25">
        <f t="shared" si="68"/>
        <v>19197424635.433506</v>
      </c>
      <c r="AC321" s="25">
        <f>AA321/((1+'How much will I make'!$C$5/12)^(Calculations!$B$1*12-Calculations!$A321))</f>
        <v>97885.24265724307</v>
      </c>
      <c r="AD321" s="25">
        <f t="shared" si="69"/>
        <v>3139900461.2488871</v>
      </c>
      <c r="AE321" s="25">
        <f t="shared" si="54"/>
        <v>372463.18770862359</v>
      </c>
      <c r="AF321" s="25">
        <f t="shared" si="70"/>
        <v>114552350009.63405</v>
      </c>
      <c r="AG321" s="25">
        <f>AE321/((1+'How much will I make'!$C$5/12)^(Calculations!$B$1*12-Calculations!$A321))</f>
        <v>189120.15499201632</v>
      </c>
      <c r="AH321" s="25">
        <f t="shared" si="71"/>
        <v>18231334019.14558</v>
      </c>
    </row>
    <row r="322" spans="1:34" ht="15.75" customHeight="1">
      <c r="A322" s="22">
        <f t="shared" si="55"/>
        <v>318</v>
      </c>
      <c r="B322" s="22">
        <f t="shared" si="76"/>
        <v>1777.8363439721788</v>
      </c>
      <c r="C322" s="25">
        <f t="shared" si="47"/>
        <v>3486.8359901456656</v>
      </c>
      <c r="D322" s="25">
        <f t="shared" si="56"/>
        <v>1123255.614926737</v>
      </c>
      <c r="E322" s="25">
        <f>$C322/((1+'How much will I make'!$C$5/12)^(Calculations!$B$1*12-Calculations!$A322))</f>
        <v>1777.8363439721788</v>
      </c>
      <c r="F322" s="25">
        <f t="shared" si="57"/>
        <v>317347.74061715684</v>
      </c>
      <c r="G322" s="25">
        <f t="shared" si="48"/>
        <v>6819.6158536581243</v>
      </c>
      <c r="H322" s="25">
        <f t="shared" si="58"/>
        <v>4562133.8788658595</v>
      </c>
      <c r="I322" s="25">
        <f>G322/((1+'How much will I make'!$C$5/12)^(Calculations!$B$1*12-Calculations!$A322))</f>
        <v>3477.1239458428818</v>
      </c>
      <c r="J322" s="25">
        <f t="shared" si="59"/>
        <v>1117060.5564099734</v>
      </c>
      <c r="K322" s="25">
        <f t="shared" si="49"/>
        <v>13301.081232652419</v>
      </c>
      <c r="L322" s="25">
        <f t="shared" si="60"/>
        <v>20985526.009677183</v>
      </c>
      <c r="M322" s="25">
        <f>K322/((1+'How much will I make'!$C$5/12)^(Calculations!$B$1*12-Calculations!$A322))</f>
        <v>6781.8347913025464</v>
      </c>
      <c r="N322" s="25">
        <f t="shared" si="61"/>
        <v>4506926.0611354131</v>
      </c>
      <c r="O322" s="25">
        <f t="shared" si="50"/>
        <v>25871.552446902118</v>
      </c>
      <c r="P322" s="25">
        <f t="shared" si="62"/>
        <v>106376941.2011568</v>
      </c>
      <c r="Q322" s="25">
        <f>O322/((1+'How much will I make'!$C$5/12)^(Calculations!$B$1*12-Calculations!$A322))</f>
        <v>13191.152765738041</v>
      </c>
      <c r="R322" s="25">
        <f t="shared" si="63"/>
        <v>20577058.284916721</v>
      </c>
      <c r="S322" s="25">
        <f t="shared" si="51"/>
        <v>50185.272877799405</v>
      </c>
      <c r="T322" s="25">
        <f t="shared" si="64"/>
        <v>577390389.67915225</v>
      </c>
      <c r="U322" s="25">
        <f>S322/((1+'How much will I make'!$C$5/12)^(Calculations!$B$1*12-Calculations!$A322))</f>
        <v>25588.012257090919</v>
      </c>
      <c r="V322" s="25">
        <f t="shared" si="65"/>
        <v>103484027.3566058</v>
      </c>
      <c r="W322" s="25">
        <f t="shared" si="52"/>
        <v>97086.305223304502</v>
      </c>
      <c r="X322" s="25">
        <f t="shared" si="66"/>
        <v>3280132208.1806297</v>
      </c>
      <c r="Y322" s="25">
        <f>W322/((1+'How much will I make'!$C$5/12)^(Calculations!$B$1*12-Calculations!$A322))</f>
        <v>49501.485706747007</v>
      </c>
      <c r="Z322" s="25">
        <f t="shared" si="67"/>
        <v>557183944.02333677</v>
      </c>
      <c r="AA322" s="25">
        <f t="shared" si="53"/>
        <v>187316.93844064753</v>
      </c>
      <c r="AB322" s="25">
        <f t="shared" si="68"/>
        <v>19197611952.371948</v>
      </c>
      <c r="AC322" s="25">
        <f>AA322/((1+'How much will I make'!$C$5/12)^(Calculations!$B$1*12-Calculations!$A322))</f>
        <v>95507.463483382919</v>
      </c>
      <c r="AD322" s="25">
        <f t="shared" si="69"/>
        <v>3139995968.7123704</v>
      </c>
      <c r="AE322" s="25">
        <f t="shared" si="54"/>
        <v>360448.24616963573</v>
      </c>
      <c r="AF322" s="25">
        <f t="shared" si="70"/>
        <v>114552710457.88022</v>
      </c>
      <c r="AG322" s="25">
        <f>AE322/((1+'How much will I make'!$C$5/12)^(Calculations!$B$1*12-Calculations!$A322))</f>
        <v>183782.08610111265</v>
      </c>
      <c r="AH322" s="25">
        <f t="shared" si="71"/>
        <v>18231517801.231682</v>
      </c>
    </row>
    <row r="323" spans="1:34" ht="15.75" customHeight="1">
      <c r="A323" s="22">
        <f t="shared" si="55"/>
        <v>319</v>
      </c>
      <c r="B323" s="22">
        <f t="shared" si="76"/>
        <v>1777.8363439721788</v>
      </c>
      <c r="C323" s="25">
        <f t="shared" si="47"/>
        <v>3472.3677910164306</v>
      </c>
      <c r="D323" s="25">
        <f t="shared" si="56"/>
        <v>1126727.9827177534</v>
      </c>
      <c r="E323" s="25">
        <f>$C323/((1+'How much will I make'!$C$5/12)^(Calculations!$B$1*12-Calculations!$A323))</f>
        <v>1777.8363439721788</v>
      </c>
      <c r="F323" s="25">
        <f t="shared" si="57"/>
        <v>319125.57696112903</v>
      </c>
      <c r="G323" s="25">
        <f t="shared" si="48"/>
        <v>6763.2553920576438</v>
      </c>
      <c r="H323" s="25">
        <f t="shared" si="58"/>
        <v>4568897.1342579173</v>
      </c>
      <c r="I323" s="25">
        <f>G323/((1+'How much will I make'!$C$5/12)^(Calculations!$B$1*12-Calculations!$A323))</f>
        <v>3462.7556650749361</v>
      </c>
      <c r="J323" s="25">
        <f t="shared" si="59"/>
        <v>1120523.3120750485</v>
      </c>
      <c r="K323" s="25">
        <f t="shared" si="49"/>
        <v>13136.870353236958</v>
      </c>
      <c r="L323" s="25">
        <f t="shared" si="60"/>
        <v>20998662.88003042</v>
      </c>
      <c r="M323" s="25">
        <f>K323/((1+'How much will I make'!$C$5/12)^(Calculations!$B$1*12-Calculations!$A323))</f>
        <v>6726.0172210037608</v>
      </c>
      <c r="N323" s="25">
        <f t="shared" si="61"/>
        <v>4513652.0783564169</v>
      </c>
      <c r="O323" s="25">
        <f t="shared" si="50"/>
        <v>25447.428636297165</v>
      </c>
      <c r="P323" s="25">
        <f t="shared" si="62"/>
        <v>106402388.62979309</v>
      </c>
      <c r="Q323" s="25">
        <f>O323/((1+'How much will I make'!$C$5/12)^(Calculations!$B$1*12-Calculations!$A323))</f>
        <v>13028.966461241262</v>
      </c>
      <c r="R323" s="25">
        <f t="shared" si="63"/>
        <v>20590087.251377963</v>
      </c>
      <c r="S323" s="25">
        <f t="shared" si="51"/>
        <v>49161.083635395335</v>
      </c>
      <c r="T323" s="25">
        <f t="shared" si="64"/>
        <v>577439550.7627877</v>
      </c>
      <c r="U323" s="25">
        <f>S323/((1+'How much will I make'!$C$5/12)^(Calculations!$B$1*12-Calculations!$A323))</f>
        <v>25170.248791669026</v>
      </c>
      <c r="V323" s="25">
        <f t="shared" si="65"/>
        <v>103509197.60539746</v>
      </c>
      <c r="W323" s="25">
        <f t="shared" si="52"/>
        <v>94718.346559321464</v>
      </c>
      <c r="X323" s="25">
        <f t="shared" si="66"/>
        <v>3280226926.5271893</v>
      </c>
      <c r="Y323" s="25">
        <f>W323/((1+'How much will I make'!$C$5/12)^(Calculations!$B$1*12-Calculations!$A323))</f>
        <v>48495.357948479796</v>
      </c>
      <c r="Z323" s="25">
        <f t="shared" si="67"/>
        <v>557232439.38128519</v>
      </c>
      <c r="AA323" s="25">
        <f t="shared" si="53"/>
        <v>182008.36123787615</v>
      </c>
      <c r="AB323" s="25">
        <f t="shared" si="68"/>
        <v>19197793960.733185</v>
      </c>
      <c r="AC323" s="25">
        <f>AA323/((1+'How much will I make'!$C$5/12)^(Calculations!$B$1*12-Calculations!$A323))</f>
        <v>93187.444127511277</v>
      </c>
      <c r="AD323" s="25">
        <f t="shared" si="69"/>
        <v>3140089156.156498</v>
      </c>
      <c r="AE323" s="25">
        <f t="shared" si="54"/>
        <v>348820.88338997011</v>
      </c>
      <c r="AF323" s="25">
        <f t="shared" si="70"/>
        <v>114553059278.76361</v>
      </c>
      <c r="AG323" s="25">
        <f>AE323/((1+'How much will I make'!$C$5/12)^(Calculations!$B$1*12-Calculations!$A323))</f>
        <v>178594.68850954901</v>
      </c>
      <c r="AH323" s="25">
        <f t="shared" si="71"/>
        <v>18231696395.920193</v>
      </c>
    </row>
    <row r="324" spans="1:34" ht="15.75" customHeight="1">
      <c r="A324" s="22">
        <f t="shared" si="55"/>
        <v>320</v>
      </c>
      <c r="B324" s="22">
        <f t="shared" si="76"/>
        <v>1777.8363439721788</v>
      </c>
      <c r="C324" s="25">
        <f t="shared" si="47"/>
        <v>3457.9596259084788</v>
      </c>
      <c r="D324" s="25">
        <f t="shared" si="56"/>
        <v>1130185.9423436618</v>
      </c>
      <c r="E324" s="25">
        <f>$C324/((1+'How much will I make'!$C$5/12)^(Calculations!$B$1*12-Calculations!$A324))</f>
        <v>1777.8363439721788</v>
      </c>
      <c r="F324" s="25">
        <f t="shared" si="57"/>
        <v>320903.41330510122</v>
      </c>
      <c r="G324" s="25">
        <f t="shared" si="48"/>
        <v>6707.3607193960106</v>
      </c>
      <c r="H324" s="25">
        <f t="shared" si="58"/>
        <v>4575604.4949773131</v>
      </c>
      <c r="I324" s="25">
        <f>G324/((1+'How much will I make'!$C$5/12)^(Calculations!$B$1*12-Calculations!$A324))</f>
        <v>3448.4467573680149</v>
      </c>
      <c r="J324" s="25">
        <f t="shared" si="59"/>
        <v>1123971.7588324165</v>
      </c>
      <c r="K324" s="25">
        <f t="shared" si="49"/>
        <v>12974.686768629095</v>
      </c>
      <c r="L324" s="25">
        <f t="shared" si="60"/>
        <v>21011637.566799048</v>
      </c>
      <c r="M324" s="25">
        <f>K324/((1+'How much will I make'!$C$5/12)^(Calculations!$B$1*12-Calculations!$A324))</f>
        <v>6670.6590545757463</v>
      </c>
      <c r="N324" s="25">
        <f t="shared" si="61"/>
        <v>4520322.7374109924</v>
      </c>
      <c r="O324" s="25">
        <f t="shared" si="50"/>
        <v>25030.257675046392</v>
      </c>
      <c r="P324" s="25">
        <f t="shared" si="62"/>
        <v>106427418.88746814</v>
      </c>
      <c r="Q324" s="25">
        <f>O324/((1+'How much will I make'!$C$5/12)^(Calculations!$B$1*12-Calculations!$A324))</f>
        <v>12868.77425065223</v>
      </c>
      <c r="R324" s="25">
        <f t="shared" si="63"/>
        <v>20602956.025628615</v>
      </c>
      <c r="S324" s="25">
        <f t="shared" si="51"/>
        <v>48157.796214264825</v>
      </c>
      <c r="T324" s="25">
        <f t="shared" si="64"/>
        <v>577487708.55900192</v>
      </c>
      <c r="U324" s="25">
        <f>S324/((1+'How much will I make'!$C$5/12)^(Calculations!$B$1*12-Calculations!$A324))</f>
        <v>24759.305954254025</v>
      </c>
      <c r="V324" s="25">
        <f t="shared" si="65"/>
        <v>103533956.91135171</v>
      </c>
      <c r="W324" s="25">
        <f t="shared" si="52"/>
        <v>92408.142984703867</v>
      </c>
      <c r="X324" s="25">
        <f t="shared" si="66"/>
        <v>3280319334.6701741</v>
      </c>
      <c r="Y324" s="25">
        <f>W324/((1+'How much will I make'!$C$5/12)^(Calculations!$B$1*12-Calculations!$A324))</f>
        <v>47509.679941396869</v>
      </c>
      <c r="Z324" s="25">
        <f t="shared" si="67"/>
        <v>557279949.06122661</v>
      </c>
      <c r="AA324" s="25">
        <f t="shared" si="53"/>
        <v>176850.22954287563</v>
      </c>
      <c r="AB324" s="25">
        <f t="shared" si="68"/>
        <v>19197970810.962727</v>
      </c>
      <c r="AC324" s="25">
        <f>AA324/((1+'How much will I make'!$C$5/12)^(Calculations!$B$1*12-Calculations!$A324))</f>
        <v>90923.781517126394</v>
      </c>
      <c r="AD324" s="25">
        <f t="shared" si="69"/>
        <v>3140180079.938015</v>
      </c>
      <c r="AE324" s="25">
        <f t="shared" si="54"/>
        <v>337568.59682900325</v>
      </c>
      <c r="AF324" s="25">
        <f t="shared" si="70"/>
        <v>114553396847.36044</v>
      </c>
      <c r="AG324" s="25">
        <f>AE324/((1+'How much will I make'!$C$5/12)^(Calculations!$B$1*12-Calculations!$A324))</f>
        <v>173553.70939839233</v>
      </c>
      <c r="AH324" s="25">
        <f t="shared" si="71"/>
        <v>18231869949.629593</v>
      </c>
    </row>
    <row r="325" spans="1:34" ht="15.75" customHeight="1">
      <c r="A325" s="22">
        <f t="shared" si="55"/>
        <v>321</v>
      </c>
      <c r="B325" s="22">
        <f t="shared" si="76"/>
        <v>1777.8363439721788</v>
      </c>
      <c r="C325" s="25">
        <f t="shared" si="47"/>
        <v>3443.6112457179875</v>
      </c>
      <c r="D325" s="25">
        <f t="shared" si="56"/>
        <v>1133629.5535893799</v>
      </c>
      <c r="E325" s="25">
        <f>$C325/((1+'How much will I make'!$C$5/12)^(Calculations!$B$1*12-Calculations!$A325))</f>
        <v>1777.8363439721788</v>
      </c>
      <c r="F325" s="25">
        <f t="shared" si="57"/>
        <v>322681.2496490734</v>
      </c>
      <c r="G325" s="25">
        <f t="shared" si="48"/>
        <v>6651.9279861778623</v>
      </c>
      <c r="H325" s="25">
        <f t="shared" si="58"/>
        <v>4582256.4229634907</v>
      </c>
      <c r="I325" s="25">
        <f>G325/((1+'How much will I make'!$C$5/12)^(Calculations!$B$1*12-Calculations!$A325))</f>
        <v>3434.1969773788906</v>
      </c>
      <c r="J325" s="25">
        <f t="shared" si="59"/>
        <v>1127405.9558097953</v>
      </c>
      <c r="K325" s="25">
        <f t="shared" si="49"/>
        <v>12814.505450497869</v>
      </c>
      <c r="L325" s="25">
        <f t="shared" si="60"/>
        <v>21024452.072249547</v>
      </c>
      <c r="M325" s="25">
        <f>K325/((1+'How much will I make'!$C$5/12)^(Calculations!$B$1*12-Calculations!$A325))</f>
        <v>6615.7565109166844</v>
      </c>
      <c r="N325" s="25">
        <f t="shared" si="61"/>
        <v>4526938.4939219095</v>
      </c>
      <c r="O325" s="25">
        <f t="shared" si="50"/>
        <v>24619.925582012846</v>
      </c>
      <c r="P325" s="25">
        <f t="shared" si="62"/>
        <v>106452038.81305015</v>
      </c>
      <c r="Q325" s="25">
        <f>O325/((1+'How much will I make'!$C$5/12)^(Calculations!$B$1*12-Calculations!$A325))</f>
        <v>12710.551616422897</v>
      </c>
      <c r="R325" s="25">
        <f t="shared" si="63"/>
        <v>20615666.577245038</v>
      </c>
      <c r="S325" s="25">
        <f t="shared" si="51"/>
        <v>47174.984046626778</v>
      </c>
      <c r="T325" s="25">
        <f t="shared" si="64"/>
        <v>577534883.5430485</v>
      </c>
      <c r="U325" s="25">
        <f>S325/((1+'How much will I make'!$C$5/12)^(Calculations!$B$1*12-Calculations!$A325))</f>
        <v>24355.07238765396</v>
      </c>
      <c r="V325" s="25">
        <f t="shared" si="65"/>
        <v>103558311.98373936</v>
      </c>
      <c r="W325" s="25">
        <f t="shared" si="52"/>
        <v>90154.285838735508</v>
      </c>
      <c r="X325" s="25">
        <f t="shared" si="66"/>
        <v>3280409488.9560127</v>
      </c>
      <c r="Y325" s="25">
        <f>W325/((1+'How much will I make'!$C$5/12)^(Calculations!$B$1*12-Calculations!$A325))</f>
        <v>46544.036040148974</v>
      </c>
      <c r="Z325" s="25">
        <f t="shared" si="67"/>
        <v>557326493.09726679</v>
      </c>
      <c r="AA325" s="25">
        <f t="shared" si="53"/>
        <v>171838.27971777396</v>
      </c>
      <c r="AB325" s="25">
        <f t="shared" si="68"/>
        <v>19198142649.242443</v>
      </c>
      <c r="AC325" s="25">
        <f>AA325/((1+'How much will I make'!$C$5/12)^(Calculations!$B$1*12-Calculations!$A325))</f>
        <v>88715.106662459366</v>
      </c>
      <c r="AD325" s="25">
        <f t="shared" si="69"/>
        <v>3140268795.0446773</v>
      </c>
      <c r="AE325" s="25">
        <f t="shared" si="54"/>
        <v>326679.28725387406</v>
      </c>
      <c r="AF325" s="25">
        <f t="shared" si="70"/>
        <v>114553723526.64769</v>
      </c>
      <c r="AG325" s="25">
        <f>AE325/((1+'How much will I make'!$C$5/12)^(Calculations!$B$1*12-Calculations!$A325))</f>
        <v>168655.01598795378</v>
      </c>
      <c r="AH325" s="25">
        <f t="shared" si="71"/>
        <v>18232038604.64558</v>
      </c>
    </row>
    <row r="326" spans="1:34" ht="15.75" customHeight="1">
      <c r="A326" s="22">
        <f t="shared" si="55"/>
        <v>322</v>
      </c>
      <c r="B326" s="22">
        <f t="shared" si="76"/>
        <v>1777.8363439721788</v>
      </c>
      <c r="C326" s="25">
        <f t="shared" si="47"/>
        <v>3429.3224023747575</v>
      </c>
      <c r="D326" s="25">
        <f t="shared" si="56"/>
        <v>1137058.8759917547</v>
      </c>
      <c r="E326" s="25">
        <f>$C326/((1+'How much will I make'!$C$5/12)^(Calculations!$B$1*12-Calculations!$A326))</f>
        <v>1777.8363439721788</v>
      </c>
      <c r="F326" s="25">
        <f t="shared" si="57"/>
        <v>324459.08599304559</v>
      </c>
      <c r="G326" s="25">
        <f t="shared" si="48"/>
        <v>6596.9533747218475</v>
      </c>
      <c r="H326" s="25">
        <f t="shared" si="58"/>
        <v>4588853.3763382128</v>
      </c>
      <c r="I326" s="25">
        <f>G326/((1+'How much will I make'!$C$5/12)^(Calculations!$B$1*12-Calculations!$A326))</f>
        <v>3420.0060807781533</v>
      </c>
      <c r="J326" s="25">
        <f t="shared" si="59"/>
        <v>1130825.9618905734</v>
      </c>
      <c r="K326" s="25">
        <f t="shared" si="49"/>
        <v>12656.301679504071</v>
      </c>
      <c r="L326" s="25">
        <f t="shared" si="60"/>
        <v>21037108.37392905</v>
      </c>
      <c r="M326" s="25">
        <f>K326/((1+'How much will I make'!$C$5/12)^(Calculations!$B$1*12-Calculations!$A326))</f>
        <v>6561.3058400449463</v>
      </c>
      <c r="N326" s="25">
        <f t="shared" si="61"/>
        <v>4533499.7997619547</v>
      </c>
      <c r="O326" s="25">
        <f t="shared" si="50"/>
        <v>24216.320244602808</v>
      </c>
      <c r="P326" s="25">
        <f t="shared" si="62"/>
        <v>106476255.13329475</v>
      </c>
      <c r="Q326" s="25">
        <f>O326/((1+'How much will I make'!$C$5/12)^(Calculations!$B$1*12-Calculations!$A326))</f>
        <v>12554.274342450495</v>
      </c>
      <c r="R326" s="25">
        <f t="shared" si="63"/>
        <v>20628220.851587489</v>
      </c>
      <c r="S326" s="25">
        <f t="shared" si="51"/>
        <v>46212.229270165015</v>
      </c>
      <c r="T326" s="25">
        <f t="shared" si="64"/>
        <v>577581095.77231872</v>
      </c>
      <c r="U326" s="25">
        <f>S326/((1+'How much will I make'!$C$5/12)^(Calculations!$B$1*12-Calculations!$A326))</f>
        <v>23957.438552753501</v>
      </c>
      <c r="V326" s="25">
        <f t="shared" si="65"/>
        <v>103582269.42229211</v>
      </c>
      <c r="W326" s="25">
        <f t="shared" si="52"/>
        <v>87955.400818278518</v>
      </c>
      <c r="X326" s="25">
        <f t="shared" si="66"/>
        <v>3280497444.3568311</v>
      </c>
      <c r="Y326" s="25">
        <f>W326/((1+'How much will I make'!$C$5/12)^(Calculations!$B$1*12-Calculations!$A326))</f>
        <v>45598.019047463029</v>
      </c>
      <c r="Z326" s="25">
        <f t="shared" si="67"/>
        <v>557372091.11631429</v>
      </c>
      <c r="AA326" s="25">
        <f t="shared" si="53"/>
        <v>166968.36895654153</v>
      </c>
      <c r="AB326" s="25">
        <f t="shared" si="68"/>
        <v>19198309617.611401</v>
      </c>
      <c r="AC326" s="25">
        <f>AA326/((1+'How much will I make'!$C$5/12)^(Calculations!$B$1*12-Calculations!$A326))</f>
        <v>86560.083828553528</v>
      </c>
      <c r="AD326" s="25">
        <f t="shared" si="69"/>
        <v>3140355355.1285057</v>
      </c>
      <c r="AE326" s="25">
        <f t="shared" si="54"/>
        <v>316141.24572955555</v>
      </c>
      <c r="AF326" s="25">
        <f t="shared" si="70"/>
        <v>114554039667.89342</v>
      </c>
      <c r="AG326" s="25">
        <f>AE326/((1+'How much will I make'!$C$5/12)^(Calculations!$B$1*12-Calculations!$A326))</f>
        <v>163894.5921495842</v>
      </c>
      <c r="AH326" s="25">
        <f t="shared" si="71"/>
        <v>18232202499.237728</v>
      </c>
    </row>
    <row r="327" spans="1:34" ht="15.75" customHeight="1">
      <c r="A327" s="22">
        <f t="shared" si="55"/>
        <v>323</v>
      </c>
      <c r="B327" s="22">
        <f t="shared" si="76"/>
        <v>1777.8363439721788</v>
      </c>
      <c r="C327" s="25">
        <f t="shared" si="47"/>
        <v>3415.0928488379336</v>
      </c>
      <c r="D327" s="25">
        <f t="shared" si="56"/>
        <v>1140473.9688405925</v>
      </c>
      <c r="E327" s="25">
        <f>$C327/((1+'How much will I make'!$C$5/12)^(Calculations!$B$1*12-Calculations!$A327))</f>
        <v>1777.8363439721788</v>
      </c>
      <c r="F327" s="25">
        <f t="shared" si="57"/>
        <v>326236.92233701778</v>
      </c>
      <c r="G327" s="25">
        <f t="shared" si="48"/>
        <v>6542.433098897699</v>
      </c>
      <c r="H327" s="25">
        <f t="shared" si="58"/>
        <v>4595395.8094371101</v>
      </c>
      <c r="I327" s="25">
        <f>G327/((1+'How much will I make'!$C$5/12)^(Calculations!$B$1*12-Calculations!$A327))</f>
        <v>3405.8738242460113</v>
      </c>
      <c r="J327" s="25">
        <f t="shared" si="59"/>
        <v>1134231.8357148194</v>
      </c>
      <c r="K327" s="25">
        <f t="shared" si="49"/>
        <v>12500.051041485498</v>
      </c>
      <c r="L327" s="25">
        <f t="shared" si="60"/>
        <v>21049608.424970534</v>
      </c>
      <c r="M327" s="25">
        <f>K327/((1+'How much will I make'!$C$5/12)^(Calculations!$B$1*12-Calculations!$A327))</f>
        <v>6507.3033228429276</v>
      </c>
      <c r="N327" s="25">
        <f t="shared" si="61"/>
        <v>4540007.103084798</v>
      </c>
      <c r="O327" s="25">
        <f t="shared" si="50"/>
        <v>23819.331388133909</v>
      </c>
      <c r="P327" s="25">
        <f t="shared" si="62"/>
        <v>106500074.46468288</v>
      </c>
      <c r="Q327" s="25">
        <f>O327/((1+'How much will I make'!$C$5/12)^(Calculations!$B$1*12-Calculations!$A327))</f>
        <v>12399.918510371184</v>
      </c>
      <c r="R327" s="25">
        <f t="shared" si="63"/>
        <v>20640620.770097859</v>
      </c>
      <c r="S327" s="25">
        <f t="shared" si="51"/>
        <v>45269.122550365741</v>
      </c>
      <c r="T327" s="25">
        <f t="shared" si="64"/>
        <v>577626364.89486909</v>
      </c>
      <c r="U327" s="25">
        <f>S327/((1+'How much will I make'!$C$5/12)^(Calculations!$B$1*12-Calculations!$A327))</f>
        <v>23566.296698831</v>
      </c>
      <c r="V327" s="25">
        <f t="shared" si="65"/>
        <v>103605835.71899094</v>
      </c>
      <c r="W327" s="25">
        <f t="shared" si="52"/>
        <v>85810.147139783949</v>
      </c>
      <c r="X327" s="25">
        <f t="shared" si="66"/>
        <v>3280583254.5039706</v>
      </c>
      <c r="Y327" s="25">
        <f>W327/((1+'How much will I make'!$C$5/12)^(Calculations!$B$1*12-Calculations!$A327))</f>
        <v>44671.230042433301</v>
      </c>
      <c r="Z327" s="25">
        <f t="shared" si="67"/>
        <v>557416762.34635675</v>
      </c>
      <c r="AA327" s="25">
        <f t="shared" si="53"/>
        <v>162236.47186060713</v>
      </c>
      <c r="AB327" s="25">
        <f t="shared" si="68"/>
        <v>19198471854.08326</v>
      </c>
      <c r="AC327" s="25">
        <f>AA327/((1+'How much will I make'!$C$5/12)^(Calculations!$B$1*12-Calculations!$A327))</f>
        <v>84457.409727455044</v>
      </c>
      <c r="AD327" s="25">
        <f t="shared" si="69"/>
        <v>3140439812.5382333</v>
      </c>
      <c r="AE327" s="25">
        <f t="shared" si="54"/>
        <v>305943.14102860208</v>
      </c>
      <c r="AF327" s="25">
        <f t="shared" si="70"/>
        <v>114554345611.03444</v>
      </c>
      <c r="AG327" s="25">
        <f>AE327/((1+'How much will I make'!$C$5/12)^(Calculations!$B$1*12-Calculations!$A327))</f>
        <v>159268.53511310395</v>
      </c>
      <c r="AH327" s="25">
        <f t="shared" si="71"/>
        <v>18232361767.772842</v>
      </c>
    </row>
    <row r="328" spans="1:34" ht="15.75" customHeight="1">
      <c r="A328" s="22">
        <f t="shared" si="55"/>
        <v>324</v>
      </c>
      <c r="B328" s="22">
        <f t="shared" si="76"/>
        <v>1777.8363439721788</v>
      </c>
      <c r="C328" s="25">
        <f t="shared" si="47"/>
        <v>3400.9223390917182</v>
      </c>
      <c r="D328" s="25">
        <f t="shared" si="56"/>
        <v>1143874.8911796843</v>
      </c>
      <c r="E328" s="25">
        <f>$C328/((1+'How much will I make'!$C$5/12)^(Calculations!$B$1*12-Calculations!$A328))</f>
        <v>1777.8363439721788</v>
      </c>
      <c r="F328" s="25">
        <f t="shared" si="57"/>
        <v>328014.75868098997</v>
      </c>
      <c r="G328" s="25">
        <f t="shared" si="48"/>
        <v>6488.3634038654882</v>
      </c>
      <c r="H328" s="25">
        <f t="shared" si="58"/>
        <v>4601884.1728409752</v>
      </c>
      <c r="I328" s="25">
        <f>G328/((1+'How much will I make'!$C$5/12)^(Calculations!$B$1*12-Calculations!$A328))</f>
        <v>3391.7999654681357</v>
      </c>
      <c r="J328" s="25">
        <f t="shared" si="59"/>
        <v>1137623.6356802876</v>
      </c>
      <c r="K328" s="25">
        <f t="shared" si="49"/>
        <v>12345.729423689383</v>
      </c>
      <c r="L328" s="25">
        <f t="shared" si="60"/>
        <v>21061954.154394224</v>
      </c>
      <c r="M328" s="25">
        <f>K328/((1+'How much will I make'!$C$5/12)^(Calculations!$B$1*12-Calculations!$A328))</f>
        <v>6453.7452708030687</v>
      </c>
      <c r="N328" s="25">
        <f t="shared" si="61"/>
        <v>4546460.8483556006</v>
      </c>
      <c r="O328" s="25">
        <f t="shared" si="50"/>
        <v>23428.850545705482</v>
      </c>
      <c r="P328" s="25">
        <f t="shared" si="62"/>
        <v>106523503.31522858</v>
      </c>
      <c r="Q328" s="25">
        <f>O328/((1+'How much will I make'!$C$5/12)^(Calculations!$B$1*12-Calculations!$A328))</f>
        <v>12247.460495899406</v>
      </c>
      <c r="R328" s="25">
        <f t="shared" si="63"/>
        <v>20652868.23059376</v>
      </c>
      <c r="S328" s="25">
        <f t="shared" si="51"/>
        <v>44345.262906480712</v>
      </c>
      <c r="T328" s="25">
        <f t="shared" si="64"/>
        <v>577670710.15777552</v>
      </c>
      <c r="U328" s="25">
        <f>S328/((1+'How much will I make'!$C$5/12)^(Calculations!$B$1*12-Calculations!$A328))</f>
        <v>23181.540834360279</v>
      </c>
      <c r="V328" s="25">
        <f t="shared" si="65"/>
        <v>103629017.2598253</v>
      </c>
      <c r="W328" s="25">
        <f t="shared" si="52"/>
        <v>83717.21672174042</v>
      </c>
      <c r="X328" s="25">
        <f t="shared" si="66"/>
        <v>3280666971.7206922</v>
      </c>
      <c r="Y328" s="25">
        <f>W328/((1+'How much will I make'!$C$5/12)^(Calculations!$B$1*12-Calculations!$A328))</f>
        <v>43763.278212302532</v>
      </c>
      <c r="Z328" s="25">
        <f t="shared" si="67"/>
        <v>557460525.62456906</v>
      </c>
      <c r="AA328" s="25">
        <f t="shared" si="53"/>
        <v>157638.6771115211</v>
      </c>
      <c r="AB328" s="25">
        <f t="shared" si="68"/>
        <v>19198629492.760372</v>
      </c>
      <c r="AC328" s="25">
        <f>AA328/((1+'How much will I make'!$C$5/12)^(Calculations!$B$1*12-Calculations!$A328))</f>
        <v>82405.812730026984</v>
      </c>
      <c r="AD328" s="25">
        <f t="shared" si="69"/>
        <v>3140522218.3509631</v>
      </c>
      <c r="AE328" s="25">
        <f t="shared" si="54"/>
        <v>296074.0074470343</v>
      </c>
      <c r="AF328" s="25">
        <f t="shared" si="70"/>
        <v>114554641685.04189</v>
      </c>
      <c r="AG328" s="25">
        <f>AE328/((1+'How much will I make'!$C$5/12)^(Calculations!$B$1*12-Calculations!$A328))</f>
        <v>154773.05226716958</v>
      </c>
      <c r="AH328" s="25">
        <f t="shared" si="71"/>
        <v>18232516540.825111</v>
      </c>
    </row>
    <row r="329" spans="1:34" ht="15.75" customHeight="1">
      <c r="A329" s="22">
        <f t="shared" si="55"/>
        <v>325</v>
      </c>
      <c r="B329" s="22">
        <f>B328*(1+'How much will I make'!$C$4)</f>
        <v>1866.7281611707879</v>
      </c>
      <c r="C329" s="25">
        <f t="shared" si="47"/>
        <v>3556.1511595481866</v>
      </c>
      <c r="D329" s="25">
        <f t="shared" si="56"/>
        <v>1147431.0423392325</v>
      </c>
      <c r="E329" s="25">
        <f>$C329/((1+'How much will I make'!$C$5/12)^(Calculations!$B$1*12-Calculations!$A329))</f>
        <v>1866.7281611707879</v>
      </c>
      <c r="F329" s="25">
        <f t="shared" si="57"/>
        <v>329881.48684216075</v>
      </c>
      <c r="G329" s="25">
        <f t="shared" si="48"/>
        <v>6756.4775941078642</v>
      </c>
      <c r="H329" s="25">
        <f t="shared" si="58"/>
        <v>4608640.6504350835</v>
      </c>
      <c r="I329" s="25">
        <f>G329/((1+'How much will I make'!$C$5/12)^(Calculations!$B$1*12-Calculations!$A329))</f>
        <v>3546.6734762880656</v>
      </c>
      <c r="J329" s="25">
        <f t="shared" si="59"/>
        <v>1141170.3091565757</v>
      </c>
      <c r="K329" s="25">
        <f t="shared" si="49"/>
        <v>12802.978661603805</v>
      </c>
      <c r="L329" s="25">
        <f t="shared" si="60"/>
        <v>21074757.133055829</v>
      </c>
      <c r="M329" s="25">
        <f>K329/((1+'How much will I make'!$C$5/12)^(Calculations!$B$1*12-Calculations!$A329))</f>
        <v>6720.6594270646783</v>
      </c>
      <c r="N329" s="25">
        <f t="shared" si="61"/>
        <v>4553181.5077826651</v>
      </c>
      <c r="O329" s="25">
        <f t="shared" si="50"/>
        <v>24197.009579990907</v>
      </c>
      <c r="P329" s="25">
        <f t="shared" si="62"/>
        <v>106547700.32480857</v>
      </c>
      <c r="Q329" s="25">
        <f>O329/((1+'How much will I make'!$C$5/12)^(Calculations!$B$1*12-Calculations!$A329))</f>
        <v>12701.720813472724</v>
      </c>
      <c r="R329" s="25">
        <f t="shared" si="63"/>
        <v>20665569.951407231</v>
      </c>
      <c r="S329" s="25">
        <f t="shared" si="51"/>
        <v>45612.270418094457</v>
      </c>
      <c r="T329" s="25">
        <f t="shared" si="64"/>
        <v>577716322.42819357</v>
      </c>
      <c r="U329" s="25">
        <f>S329/((1+'How much will I make'!$C$5/12)^(Calculations!$B$1*12-Calculations!$A329))</f>
        <v>23943.220033203554</v>
      </c>
      <c r="V329" s="25">
        <f t="shared" si="65"/>
        <v>103652960.4798585</v>
      </c>
      <c r="W329" s="25">
        <f t="shared" si="52"/>
        <v>85759.100056417024</v>
      </c>
      <c r="X329" s="25">
        <f t="shared" si="66"/>
        <v>3280752730.8207488</v>
      </c>
      <c r="Y329" s="25">
        <f>W329/((1+'How much will I make'!$C$5/12)^(Calculations!$B$1*12-Calculations!$A329))</f>
        <v>45017.469722045353</v>
      </c>
      <c r="Z329" s="25">
        <f t="shared" si="67"/>
        <v>557505543.09429109</v>
      </c>
      <c r="AA329" s="25">
        <f t="shared" si="53"/>
        <v>160829.74344981107</v>
      </c>
      <c r="AB329" s="25">
        <f t="shared" si="68"/>
        <v>19198790322.503822</v>
      </c>
      <c r="AC329" s="25">
        <f>AA329/((1+'How much will I make'!$C$5/12)^(Calculations!$B$1*12-Calculations!$A329))</f>
        <v>84424.254701754413</v>
      </c>
      <c r="AD329" s="25">
        <f t="shared" si="69"/>
        <v>3140606642.6056647</v>
      </c>
      <c r="AE329" s="25">
        <f t="shared" si="54"/>
        <v>300849.39466392185</v>
      </c>
      <c r="AF329" s="25">
        <f t="shared" si="70"/>
        <v>114554942534.43655</v>
      </c>
      <c r="AG329" s="25">
        <f>AE329/((1+'How much will I make'!$C$5/12)^(Calculations!$B$1*12-Calculations!$A329))</f>
        <v>157924.6809524486</v>
      </c>
      <c r="AH329" s="25">
        <f t="shared" si="71"/>
        <v>18232674465.506065</v>
      </c>
    </row>
    <row r="330" spans="1:34" ht="15.75" customHeight="1">
      <c r="A330" s="22">
        <f t="shared" si="55"/>
        <v>326</v>
      </c>
      <c r="B330" s="22">
        <f t="shared" ref="B330:B340" si="77">B329</f>
        <v>1866.7281611707879</v>
      </c>
      <c r="C330" s="25">
        <f t="shared" si="47"/>
        <v>3541.3953456081531</v>
      </c>
      <c r="D330" s="25">
        <f t="shared" si="56"/>
        <v>1150972.4376848408</v>
      </c>
      <c r="E330" s="25">
        <f>$C330/((1+'How much will I make'!$C$5/12)^(Calculations!$B$1*12-Calculations!$A330))</f>
        <v>1866.7281611707879</v>
      </c>
      <c r="F330" s="25">
        <f t="shared" si="57"/>
        <v>331748.21500333154</v>
      </c>
      <c r="G330" s="25">
        <f t="shared" si="48"/>
        <v>6700.6389363053195</v>
      </c>
      <c r="H330" s="25">
        <f t="shared" si="58"/>
        <v>4615341.289371389</v>
      </c>
      <c r="I330" s="25">
        <f>G330/((1+'How much will I make'!$C$5/12)^(Calculations!$B$1*12-Calculations!$A330))</f>
        <v>3532.0178007662134</v>
      </c>
      <c r="J330" s="25">
        <f t="shared" si="59"/>
        <v>1144702.326957342</v>
      </c>
      <c r="K330" s="25">
        <f t="shared" si="49"/>
        <v>12644.917196645738</v>
      </c>
      <c r="L330" s="25">
        <f t="shared" si="60"/>
        <v>21087402.050252475</v>
      </c>
      <c r="M330" s="25">
        <f>K330/((1+'How much will I make'!$C$5/12)^(Calculations!$B$1*12-Calculations!$A330))</f>
        <v>6665.3453577061218</v>
      </c>
      <c r="N330" s="25">
        <f t="shared" si="61"/>
        <v>4559846.8531403709</v>
      </c>
      <c r="O330" s="25">
        <f t="shared" si="50"/>
        <v>23800.337291794342</v>
      </c>
      <c r="P330" s="25">
        <f t="shared" si="62"/>
        <v>106571500.66210036</v>
      </c>
      <c r="Q330" s="25">
        <f>O330/((1+'How much will I make'!$C$5/12)^(Calculations!$B$1*12-Calculations!$A330))</f>
        <v>12545.552114946422</v>
      </c>
      <c r="R330" s="25">
        <f t="shared" si="63"/>
        <v>20678115.503522176</v>
      </c>
      <c r="S330" s="25">
        <f t="shared" si="51"/>
        <v>44681.40775650071</v>
      </c>
      <c r="T330" s="25">
        <f t="shared" si="64"/>
        <v>577761003.83595002</v>
      </c>
      <c r="U330" s="25">
        <f>S330/((1+'How much will I make'!$C$5/12)^(Calculations!$B$1*12-Calculations!$A330))</f>
        <v>23552.310318375745</v>
      </c>
      <c r="V330" s="25">
        <f t="shared" si="65"/>
        <v>103676512.79017688</v>
      </c>
      <c r="W330" s="25">
        <f t="shared" si="52"/>
        <v>83667.414689187339</v>
      </c>
      <c r="X330" s="25">
        <f t="shared" si="66"/>
        <v>3280836398.2354379</v>
      </c>
      <c r="Y330" s="25">
        <f>W330/((1+'How much will I make'!$C$5/12)^(Calculations!$B$1*12-Calculations!$A330))</f>
        <v>44102.480500052552</v>
      </c>
      <c r="Z330" s="25">
        <f t="shared" si="67"/>
        <v>557549645.57479119</v>
      </c>
      <c r="AA330" s="25">
        <f t="shared" si="53"/>
        <v>156271.81549779215</v>
      </c>
      <c r="AB330" s="25">
        <f t="shared" si="68"/>
        <v>19198946594.319321</v>
      </c>
      <c r="AC330" s="25">
        <f>AA330/((1+'How much will I make'!$C$5/12)^(Calculations!$B$1*12-Calculations!$A330))</f>
        <v>82373.463089566038</v>
      </c>
      <c r="AD330" s="25">
        <f t="shared" si="69"/>
        <v>3140689016.0687542</v>
      </c>
      <c r="AE330" s="25">
        <f t="shared" si="54"/>
        <v>291144.57548121468</v>
      </c>
      <c r="AF330" s="25">
        <f t="shared" si="70"/>
        <v>114555233679.01204</v>
      </c>
      <c r="AG330" s="25">
        <f>AE330/((1+'How much will I make'!$C$5/12)^(Calculations!$B$1*12-Calculations!$A330))</f>
        <v>153467.12947395202</v>
      </c>
      <c r="AH330" s="25">
        <f t="shared" si="71"/>
        <v>18232827932.63554</v>
      </c>
    </row>
    <row r="331" spans="1:34" ht="15.75" customHeight="1">
      <c r="A331" s="22">
        <f t="shared" si="55"/>
        <v>327</v>
      </c>
      <c r="B331" s="22">
        <f t="shared" si="77"/>
        <v>1866.7281611707879</v>
      </c>
      <c r="C331" s="25">
        <f t="shared" si="47"/>
        <v>3526.7007591118527</v>
      </c>
      <c r="D331" s="25">
        <f t="shared" si="56"/>
        <v>1154499.1384439527</v>
      </c>
      <c r="E331" s="25">
        <f>$C331/((1+'How much will I make'!$C$5/12)^(Calculations!$B$1*12-Calculations!$A331))</f>
        <v>1866.7281611707879</v>
      </c>
      <c r="F331" s="25">
        <f t="shared" si="57"/>
        <v>333614.94316450233</v>
      </c>
      <c r="G331" s="25">
        <f t="shared" si="48"/>
        <v>6645.2617550135401</v>
      </c>
      <c r="H331" s="25">
        <f t="shared" si="58"/>
        <v>4621986.5511264028</v>
      </c>
      <c r="I331" s="25">
        <f>G331/((1+'How much will I make'!$C$5/12)^(Calculations!$B$1*12-Calculations!$A331))</f>
        <v>3517.4226858870152</v>
      </c>
      <c r="J331" s="25">
        <f t="shared" si="59"/>
        <v>1148219.7496432289</v>
      </c>
      <c r="K331" s="25">
        <f t="shared" si="49"/>
        <v>12488.807107798257</v>
      </c>
      <c r="L331" s="25">
        <f t="shared" si="60"/>
        <v>21099890.857360274</v>
      </c>
      <c r="M331" s="25">
        <f>K331/((1+'How much will I make'!$C$5/12)^(Calculations!$B$1*12-Calculations!$A331))</f>
        <v>6610.4865481776769</v>
      </c>
      <c r="N331" s="25">
        <f t="shared" si="61"/>
        <v>4566457.3396885488</v>
      </c>
      <c r="O331" s="25">
        <f t="shared" si="50"/>
        <v>23410.167827994432</v>
      </c>
      <c r="P331" s="25">
        <f t="shared" si="62"/>
        <v>106594910.82992835</v>
      </c>
      <c r="Q331" s="25">
        <f>O331/((1+'How much will I make'!$C$5/12)^(Calculations!$B$1*12-Calculations!$A331))</f>
        <v>12391.303523369214</v>
      </c>
      <c r="R331" s="25">
        <f t="shared" si="63"/>
        <v>20690506.807045545</v>
      </c>
      <c r="S331" s="25">
        <f t="shared" si="51"/>
        <v>43769.542292082326</v>
      </c>
      <c r="T331" s="25">
        <f t="shared" si="64"/>
        <v>577804773.37824214</v>
      </c>
      <c r="U331" s="25">
        <f>S331/((1+'How much will I make'!$C$5/12)^(Calculations!$B$1*12-Calculations!$A331))</f>
        <v>23167.782802973699</v>
      </c>
      <c r="V331" s="25">
        <f t="shared" si="65"/>
        <v>103699680.57297985</v>
      </c>
      <c r="W331" s="25">
        <f t="shared" si="52"/>
        <v>81626.746038231562</v>
      </c>
      <c r="X331" s="25">
        <f t="shared" si="66"/>
        <v>3280918024.9814763</v>
      </c>
      <c r="Y331" s="25">
        <f>W331/((1+'How much will I make'!$C$5/12)^(Calculations!$B$1*12-Calculations!$A331))</f>
        <v>43206.0886199702</v>
      </c>
      <c r="Z331" s="25">
        <f t="shared" si="67"/>
        <v>557592851.66341114</v>
      </c>
      <c r="AA331" s="25">
        <f t="shared" si="53"/>
        <v>151843.05959299643</v>
      </c>
      <c r="AB331" s="25">
        <f t="shared" si="68"/>
        <v>19199098437.378914</v>
      </c>
      <c r="AC331" s="25">
        <f>AA331/((1+'How much will I make'!$C$5/12)^(Calculations!$B$1*12-Calculations!$A331))</f>
        <v>80372.48827767378</v>
      </c>
      <c r="AD331" s="25">
        <f t="shared" si="69"/>
        <v>3140769388.5570316</v>
      </c>
      <c r="AE331" s="25">
        <f t="shared" si="54"/>
        <v>281752.8149818207</v>
      </c>
      <c r="AF331" s="25">
        <f t="shared" si="70"/>
        <v>114555515431.82703</v>
      </c>
      <c r="AG331" s="25">
        <f>AE331/((1+'How much will I make'!$C$5/12)^(Calculations!$B$1*12-Calculations!$A331))</f>
        <v>149135.39598073569</v>
      </c>
      <c r="AH331" s="25">
        <f t="shared" si="71"/>
        <v>18232977068.031521</v>
      </c>
    </row>
    <row r="332" spans="1:34" ht="15.75" customHeight="1">
      <c r="A332" s="22">
        <f t="shared" si="55"/>
        <v>328</v>
      </c>
      <c r="B332" s="22">
        <f t="shared" si="77"/>
        <v>1866.7281611707879</v>
      </c>
      <c r="C332" s="25">
        <f t="shared" si="47"/>
        <v>3512.0671460035055</v>
      </c>
      <c r="D332" s="25">
        <f t="shared" si="56"/>
        <v>1158011.2055899561</v>
      </c>
      <c r="E332" s="25">
        <f>$C332/((1+'How much will I make'!$C$5/12)^(Calculations!$B$1*12-Calculations!$A332))</f>
        <v>1866.7281611707879</v>
      </c>
      <c r="F332" s="25">
        <f t="shared" si="57"/>
        <v>335481.67132567312</v>
      </c>
      <c r="G332" s="25">
        <f t="shared" si="48"/>
        <v>6590.3422363770651</v>
      </c>
      <c r="H332" s="25">
        <f t="shared" si="58"/>
        <v>4628576.8933627801</v>
      </c>
      <c r="I332" s="25">
        <f>G332/((1+'How much will I make'!$C$5/12)^(Calculations!$B$1*12-Calculations!$A332))</f>
        <v>3502.8878813998786</v>
      </c>
      <c r="J332" s="25">
        <f t="shared" si="59"/>
        <v>1151722.6375246288</v>
      </c>
      <c r="K332" s="25">
        <f t="shared" si="49"/>
        <v>12334.624303998278</v>
      </c>
      <c r="L332" s="25">
        <f t="shared" si="60"/>
        <v>21112225.48166427</v>
      </c>
      <c r="M332" s="25">
        <f>K332/((1+'How much will I make'!$C$5/12)^(Calculations!$B$1*12-Calculations!$A332))</f>
        <v>6556.0792514848563</v>
      </c>
      <c r="N332" s="25">
        <f t="shared" si="61"/>
        <v>4573013.4189400338</v>
      </c>
      <c r="O332" s="25">
        <f t="shared" si="50"/>
        <v>23026.394584912556</v>
      </c>
      <c r="P332" s="25">
        <f t="shared" si="62"/>
        <v>106617937.22451326</v>
      </c>
      <c r="Q332" s="25">
        <f>O332/((1+'How much will I make'!$C$5/12)^(Calculations!$B$1*12-Calculations!$A332))</f>
        <v>12238.95143086877</v>
      </c>
      <c r="R332" s="25">
        <f t="shared" si="63"/>
        <v>20702745.758476414</v>
      </c>
      <c r="S332" s="25">
        <f t="shared" si="51"/>
        <v>42876.286326937799</v>
      </c>
      <c r="T332" s="25">
        <f t="shared" si="64"/>
        <v>577847649.66456902</v>
      </c>
      <c r="U332" s="25">
        <f>S332/((1+'How much will I make'!$C$5/12)^(Calculations!$B$1*12-Calculations!$A332))</f>
        <v>22789.533287823109</v>
      </c>
      <c r="V332" s="25">
        <f t="shared" si="65"/>
        <v>103722470.10626768</v>
      </c>
      <c r="W332" s="25">
        <f t="shared" si="52"/>
        <v>79635.849793396657</v>
      </c>
      <c r="X332" s="25">
        <f t="shared" si="66"/>
        <v>3280997660.8312697</v>
      </c>
      <c r="Y332" s="25">
        <f>W332/((1+'How much will I make'!$C$5/12)^(Calculations!$B$1*12-Calculations!$A332))</f>
        <v>42327.916087043981</v>
      </c>
      <c r="Z332" s="25">
        <f t="shared" si="67"/>
        <v>557635179.57949817</v>
      </c>
      <c r="AA332" s="25">
        <f t="shared" si="53"/>
        <v>147539.81498914631</v>
      </c>
      <c r="AB332" s="25">
        <f t="shared" si="68"/>
        <v>19199245977.193905</v>
      </c>
      <c r="AC332" s="25">
        <f>AA332/((1+'How much will I make'!$C$5/12)^(Calculations!$B$1*12-Calculations!$A332))</f>
        <v>78420.120141373991</v>
      </c>
      <c r="AD332" s="25">
        <f t="shared" si="69"/>
        <v>3140847808.6771731</v>
      </c>
      <c r="AE332" s="25">
        <f t="shared" si="54"/>
        <v>272664.01449853613</v>
      </c>
      <c r="AF332" s="25">
        <f t="shared" si="70"/>
        <v>114555788095.84152</v>
      </c>
      <c r="AG332" s="25">
        <f>AE332/((1+'How much will I make'!$C$5/12)^(Calculations!$B$1*12-Calculations!$A332))</f>
        <v>144925.92915869877</v>
      </c>
      <c r="AH332" s="25">
        <f t="shared" si="71"/>
        <v>18233121993.960678</v>
      </c>
    </row>
    <row r="333" spans="1:34" ht="15.75" customHeight="1">
      <c r="A333" s="22">
        <f t="shared" si="55"/>
        <v>329</v>
      </c>
      <c r="B333" s="22">
        <f t="shared" si="77"/>
        <v>1866.7281611707879</v>
      </c>
      <c r="C333" s="25">
        <f t="shared" si="47"/>
        <v>3497.4942532814994</v>
      </c>
      <c r="D333" s="25">
        <f t="shared" si="56"/>
        <v>1161508.6998432376</v>
      </c>
      <c r="E333" s="25">
        <f>$C333/((1+'How much will I make'!$C$5/12)^(Calculations!$B$1*12-Calculations!$A333))</f>
        <v>1866.7281611707879</v>
      </c>
      <c r="F333" s="25">
        <f t="shared" si="57"/>
        <v>337348.3994868439</v>
      </c>
      <c r="G333" s="25">
        <f t="shared" si="48"/>
        <v>6535.8765980599001</v>
      </c>
      <c r="H333" s="25">
        <f t="shared" si="58"/>
        <v>4635112.7699608402</v>
      </c>
      <c r="I333" s="25">
        <f>G333/((1+'How much will I make'!$C$5/12)^(Calculations!$B$1*12-Calculations!$A333))</f>
        <v>3488.4131380883086</v>
      </c>
      <c r="J333" s="25">
        <f t="shared" si="59"/>
        <v>1155211.0506627171</v>
      </c>
      <c r="K333" s="25">
        <f t="shared" si="49"/>
        <v>12182.344991603237</v>
      </c>
      <c r="L333" s="25">
        <f t="shared" si="60"/>
        <v>21124407.826655872</v>
      </c>
      <c r="M333" s="25">
        <f>K333/((1+'How much will I make'!$C$5/12)^(Calculations!$B$1*12-Calculations!$A333))</f>
        <v>6502.1197514726337</v>
      </c>
      <c r="N333" s="25">
        <f t="shared" si="61"/>
        <v>4579515.5386915067</v>
      </c>
      <c r="O333" s="25">
        <f t="shared" si="50"/>
        <v>22648.912706471368</v>
      </c>
      <c r="P333" s="25">
        <f t="shared" si="62"/>
        <v>106640586.13721973</v>
      </c>
      <c r="Q333" s="25">
        <f>O333/((1+'How much will I make'!$C$5/12)^(Calculations!$B$1*12-Calculations!$A333))</f>
        <v>12088.472519833498</v>
      </c>
      <c r="R333" s="25">
        <f t="shared" si="63"/>
        <v>20714834.230996247</v>
      </c>
      <c r="S333" s="25">
        <f t="shared" si="51"/>
        <v>42001.260075367638</v>
      </c>
      <c r="T333" s="25">
        <f t="shared" si="64"/>
        <v>577889650.92464435</v>
      </c>
      <c r="U333" s="25">
        <f>S333/((1+'How much will I make'!$C$5/12)^(Calculations!$B$1*12-Calculations!$A333))</f>
        <v>22417.459274960689</v>
      </c>
      <c r="V333" s="25">
        <f t="shared" si="65"/>
        <v>103744887.56554264</v>
      </c>
      <c r="W333" s="25">
        <f t="shared" si="52"/>
        <v>77693.511993557724</v>
      </c>
      <c r="X333" s="25">
        <f t="shared" si="66"/>
        <v>3281075354.3432631</v>
      </c>
      <c r="Y333" s="25">
        <f>W333/((1+'How much will I make'!$C$5/12)^(Calculations!$B$1*12-Calculations!$A333))</f>
        <v>41467.592589339831</v>
      </c>
      <c r="Z333" s="25">
        <f t="shared" si="67"/>
        <v>557676647.17208755</v>
      </c>
      <c r="AA333" s="25">
        <f t="shared" si="53"/>
        <v>143358.52468581023</v>
      </c>
      <c r="AB333" s="25">
        <f t="shared" si="68"/>
        <v>19199389335.71859</v>
      </c>
      <c r="AC333" s="25">
        <f>AA333/((1+'How much will I make'!$C$5/12)^(Calculations!$B$1*12-Calculations!$A333))</f>
        <v>76515.177951705002</v>
      </c>
      <c r="AD333" s="25">
        <f t="shared" si="69"/>
        <v>3140924323.855125</v>
      </c>
      <c r="AE333" s="25">
        <f t="shared" si="54"/>
        <v>263868.40112761554</v>
      </c>
      <c r="AF333" s="25">
        <f t="shared" si="70"/>
        <v>114556051964.24265</v>
      </c>
      <c r="AG333" s="25">
        <f>AE333/((1+'How much will I make'!$C$5/12)^(Calculations!$B$1*12-Calculations!$A333))</f>
        <v>140835.27793244511</v>
      </c>
      <c r="AH333" s="25">
        <f t="shared" si="71"/>
        <v>18233262829.238609</v>
      </c>
    </row>
    <row r="334" spans="1:34" ht="15.75" customHeight="1">
      <c r="A334" s="22">
        <f t="shared" si="55"/>
        <v>330</v>
      </c>
      <c r="B334" s="22">
        <f t="shared" si="77"/>
        <v>1866.7281611707879</v>
      </c>
      <c r="C334" s="25">
        <f t="shared" si="47"/>
        <v>3482.9818289940235</v>
      </c>
      <c r="D334" s="25">
        <f t="shared" si="56"/>
        <v>1164991.6816722318</v>
      </c>
      <c r="E334" s="25">
        <f>$C334/((1+'How much will I make'!$C$5/12)^(Calculations!$B$1*12-Calculations!$A334))</f>
        <v>1866.7281611707879</v>
      </c>
      <c r="F334" s="25">
        <f t="shared" si="57"/>
        <v>339215.12764801469</v>
      </c>
      <c r="G334" s="25">
        <f t="shared" si="48"/>
        <v>6481.8610889850252</v>
      </c>
      <c r="H334" s="25">
        <f t="shared" si="58"/>
        <v>4641594.6310498249</v>
      </c>
      <c r="I334" s="25">
        <f>G334/((1+'How much will I make'!$C$5/12)^(Calculations!$B$1*12-Calculations!$A334))</f>
        <v>3473.9982077656309</v>
      </c>
      <c r="J334" s="25">
        <f t="shared" si="59"/>
        <v>1158685.0488704827</v>
      </c>
      <c r="K334" s="25">
        <f t="shared" si="49"/>
        <v>12031.945670719248</v>
      </c>
      <c r="L334" s="25">
        <f t="shared" si="60"/>
        <v>21136439.772326592</v>
      </c>
      <c r="M334" s="25">
        <f>K334/((1+'How much will I make'!$C$5/12)^(Calculations!$B$1*12-Calculations!$A334))</f>
        <v>6448.6043625716266</v>
      </c>
      <c r="N334" s="25">
        <f t="shared" si="61"/>
        <v>4585964.1430540783</v>
      </c>
      <c r="O334" s="25">
        <f t="shared" si="50"/>
        <v>22277.619055545612</v>
      </c>
      <c r="P334" s="25">
        <f t="shared" si="62"/>
        <v>106662863.75627527</v>
      </c>
      <c r="Q334" s="25">
        <f>O334/((1+'How much will I make'!$C$5/12)^(Calculations!$B$1*12-Calculations!$A334))</f>
        <v>11939.843759343748</v>
      </c>
      <c r="R334" s="25">
        <f t="shared" si="63"/>
        <v>20726774.07475559</v>
      </c>
      <c r="S334" s="25">
        <f t="shared" si="51"/>
        <v>41144.091502400959</v>
      </c>
      <c r="T334" s="25">
        <f t="shared" si="64"/>
        <v>577930795.01614678</v>
      </c>
      <c r="U334" s="25">
        <f>S334/((1+'How much will I make'!$C$5/12)^(Calculations!$B$1*12-Calculations!$A334))</f>
        <v>22051.459939859298</v>
      </c>
      <c r="V334" s="25">
        <f t="shared" si="65"/>
        <v>103766939.02548249</v>
      </c>
      <c r="W334" s="25">
        <f t="shared" si="52"/>
        <v>75798.548286397767</v>
      </c>
      <c r="X334" s="25">
        <f t="shared" si="66"/>
        <v>3281151152.8915496</v>
      </c>
      <c r="Y334" s="25">
        <f>W334/((1+'How much will I make'!$C$5/12)^(Calculations!$B$1*12-Calculations!$A334))</f>
        <v>40624.755341589029</v>
      </c>
      <c r="Z334" s="25">
        <f t="shared" si="67"/>
        <v>557717271.92742908</v>
      </c>
      <c r="AA334" s="25">
        <f t="shared" si="53"/>
        <v>139295.73248823665</v>
      </c>
      <c r="AB334" s="25">
        <f t="shared" si="68"/>
        <v>19199528631.451077</v>
      </c>
      <c r="AC334" s="25">
        <f>AA334/((1+'How much will I make'!$C$5/12)^(Calculations!$B$1*12-Calculations!$A334))</f>
        <v>74656.509661380202</v>
      </c>
      <c r="AD334" s="25">
        <f t="shared" si="69"/>
        <v>3140998980.3647861</v>
      </c>
      <c r="AE334" s="25">
        <f t="shared" si="54"/>
        <v>255356.51722027309</v>
      </c>
      <c r="AF334" s="25">
        <f t="shared" si="70"/>
        <v>114556307320.75987</v>
      </c>
      <c r="AG334" s="25">
        <f>AE334/((1+'How much will I make'!$C$5/12)^(Calculations!$B$1*12-Calculations!$A334))</f>
        <v>136860.08863596484</v>
      </c>
      <c r="AH334" s="25">
        <f t="shared" si="71"/>
        <v>18233399689.327244</v>
      </c>
    </row>
    <row r="335" spans="1:34" ht="15.75" customHeight="1">
      <c r="A335" s="22">
        <f t="shared" si="55"/>
        <v>331</v>
      </c>
      <c r="B335" s="22">
        <f t="shared" si="77"/>
        <v>1866.7281611707879</v>
      </c>
      <c r="C335" s="25">
        <f t="shared" si="47"/>
        <v>3468.5296222347124</v>
      </c>
      <c r="D335" s="25">
        <f t="shared" si="56"/>
        <v>1168460.2112944664</v>
      </c>
      <c r="E335" s="25">
        <f>$C335/((1+'How much will I make'!$C$5/12)^(Calculations!$B$1*12-Calculations!$A335))</f>
        <v>1866.7281611707879</v>
      </c>
      <c r="F335" s="25">
        <f t="shared" si="57"/>
        <v>341081.85580918548</v>
      </c>
      <c r="G335" s="25">
        <f t="shared" si="48"/>
        <v>6428.2919890760568</v>
      </c>
      <c r="H335" s="25">
        <f t="shared" si="58"/>
        <v>4648022.9230389008</v>
      </c>
      <c r="I335" s="25">
        <f>G335/((1+'How much will I make'!$C$5/12)^(Calculations!$B$1*12-Calculations!$A335))</f>
        <v>3459.6428432707307</v>
      </c>
      <c r="J335" s="25">
        <f t="shared" si="59"/>
        <v>1162144.6917137534</v>
      </c>
      <c r="K335" s="25">
        <f t="shared" si="49"/>
        <v>11883.403131574565</v>
      </c>
      <c r="L335" s="25">
        <f t="shared" si="60"/>
        <v>21148323.175458167</v>
      </c>
      <c r="M335" s="25">
        <f>K335/((1+'How much will I make'!$C$5/12)^(Calculations!$B$1*12-Calculations!$A335))</f>
        <v>6395.5294295463445</v>
      </c>
      <c r="N335" s="25">
        <f t="shared" si="61"/>
        <v>4592359.6724836249</v>
      </c>
      <c r="O335" s="25">
        <f t="shared" si="50"/>
        <v>21912.412185782567</v>
      </c>
      <c r="P335" s="25">
        <f t="shared" si="62"/>
        <v>106684776.16846105</v>
      </c>
      <c r="Q335" s="25">
        <f>O335/((1+'How much will I make'!$C$5/12)^(Calculations!$B$1*12-Calculations!$A335))</f>
        <v>11793.042401646895</v>
      </c>
      <c r="R335" s="25">
        <f t="shared" si="63"/>
        <v>20738567.117157236</v>
      </c>
      <c r="S335" s="25">
        <f t="shared" si="51"/>
        <v>40304.416165617273</v>
      </c>
      <c r="T335" s="25">
        <f t="shared" si="64"/>
        <v>577971099.43231237</v>
      </c>
      <c r="U335" s="25">
        <f>S335/((1+'How much will I make'!$C$5/12)^(Calculations!$B$1*12-Calculations!$A335))</f>
        <v>21691.436104106495</v>
      </c>
      <c r="V335" s="25">
        <f t="shared" si="65"/>
        <v>103788630.46158659</v>
      </c>
      <c r="W335" s="25">
        <f t="shared" si="52"/>
        <v>73949.803206241733</v>
      </c>
      <c r="X335" s="25">
        <f t="shared" si="66"/>
        <v>3281225102.694756</v>
      </c>
      <c r="Y335" s="25">
        <f>W335/((1+'How much will I make'!$C$5/12)^(Calculations!$B$1*12-Calculations!$A335))</f>
        <v>39799.048932207137</v>
      </c>
      <c r="Z335" s="25">
        <f t="shared" si="67"/>
        <v>557757070.97636127</v>
      </c>
      <c r="AA335" s="25">
        <f t="shared" si="53"/>
        <v>135348.08015051339</v>
      </c>
      <c r="AB335" s="25">
        <f t="shared" si="68"/>
        <v>19199663979.531227</v>
      </c>
      <c r="AC335" s="25">
        <f>AA335/((1+'How much will I make'!$C$5/12)^(Calculations!$B$1*12-Calculations!$A335))</f>
        <v>72842.991208067324</v>
      </c>
      <c r="AD335" s="25">
        <f t="shared" si="69"/>
        <v>3141071823.3559942</v>
      </c>
      <c r="AE335" s="25">
        <f t="shared" si="54"/>
        <v>247119.21021316748</v>
      </c>
      <c r="AF335" s="25">
        <f t="shared" si="70"/>
        <v>114556554439.97009</v>
      </c>
      <c r="AG335" s="25">
        <f>AE335/((1+'How much will I make'!$C$5/12)^(Calculations!$B$1*12-Calculations!$A335))</f>
        <v>132997.10226317547</v>
      </c>
      <c r="AH335" s="25">
        <f t="shared" si="71"/>
        <v>18233532686.429508</v>
      </c>
    </row>
    <row r="336" spans="1:34" ht="15.75" customHeight="1">
      <c r="A336" s="22">
        <f t="shared" si="55"/>
        <v>332</v>
      </c>
      <c r="B336" s="22">
        <f t="shared" si="77"/>
        <v>1866.7281611707879</v>
      </c>
      <c r="C336" s="25">
        <f t="shared" si="47"/>
        <v>3454.137383138303</v>
      </c>
      <c r="D336" s="25">
        <f t="shared" si="56"/>
        <v>1171914.3486776047</v>
      </c>
      <c r="E336" s="25">
        <f>$C336/((1+'How much will I make'!$C$5/12)^(Calculations!$B$1*12-Calculations!$A336))</f>
        <v>1866.7281611707879</v>
      </c>
      <c r="F336" s="25">
        <f t="shared" si="57"/>
        <v>342948.58397035627</v>
      </c>
      <c r="G336" s="25">
        <f t="shared" si="48"/>
        <v>6375.1656090010483</v>
      </c>
      <c r="H336" s="25">
        <f t="shared" si="58"/>
        <v>4654398.088647902</v>
      </c>
      <c r="I336" s="25">
        <f>G336/((1+'How much will I make'!$C$5/12)^(Calculations!$B$1*12-Calculations!$A336))</f>
        <v>3445.3467984638269</v>
      </c>
      <c r="J336" s="25">
        <f t="shared" si="59"/>
        <v>1165590.0385122171</v>
      </c>
      <c r="K336" s="25">
        <f t="shared" si="49"/>
        <v>11736.694450937843</v>
      </c>
      <c r="L336" s="25">
        <f t="shared" si="60"/>
        <v>21160059.869909104</v>
      </c>
      <c r="M336" s="25">
        <f>K336/((1+'How much will I make'!$C$5/12)^(Calculations!$B$1*12-Calculations!$A336))</f>
        <v>6342.891327245552</v>
      </c>
      <c r="N336" s="25">
        <f t="shared" si="61"/>
        <v>4598702.5638108701</v>
      </c>
      <c r="O336" s="25">
        <f t="shared" si="50"/>
        <v>21553.192313884494</v>
      </c>
      <c r="P336" s="25">
        <f t="shared" si="62"/>
        <v>106706329.36077493</v>
      </c>
      <c r="Q336" s="25">
        <f>O336/((1+'How much will I make'!$C$5/12)^(Calculations!$B$1*12-Calculations!$A336))</f>
        <v>11648.045978675829</v>
      </c>
      <c r="R336" s="25">
        <f t="shared" si="63"/>
        <v>20750215.163135912</v>
      </c>
      <c r="S336" s="25">
        <f t="shared" si="51"/>
        <v>39481.877060196508</v>
      </c>
      <c r="T336" s="25">
        <f t="shared" si="64"/>
        <v>578010581.30937254</v>
      </c>
      <c r="U336" s="25">
        <f>S336/((1+'How much will I make'!$C$5/12)^(Calculations!$B$1*12-Calculations!$A336))</f>
        <v>21337.290208529244</v>
      </c>
      <c r="V336" s="25">
        <f t="shared" si="65"/>
        <v>103809967.75179513</v>
      </c>
      <c r="W336" s="25">
        <f t="shared" si="52"/>
        <v>72146.149469504133</v>
      </c>
      <c r="X336" s="25">
        <f t="shared" si="66"/>
        <v>3281297248.8442254</v>
      </c>
      <c r="Y336" s="25">
        <f>W336/((1+'How much will I make'!$C$5/12)^(Calculations!$B$1*12-Calculations!$A336))</f>
        <v>38990.125173422442</v>
      </c>
      <c r="Z336" s="25">
        <f t="shared" si="67"/>
        <v>557796061.10153472</v>
      </c>
      <c r="AA336" s="25">
        <f t="shared" si="53"/>
        <v>131512.30459968912</v>
      </c>
      <c r="AB336" s="25">
        <f t="shared" si="68"/>
        <v>19199795491.835827</v>
      </c>
      <c r="AC336" s="25">
        <f>AA336/((1+'How much will I make'!$C$5/12)^(Calculations!$B$1*12-Calculations!$A336))</f>
        <v>71073.525834592016</v>
      </c>
      <c r="AD336" s="25">
        <f t="shared" si="69"/>
        <v>3141142896.8818288</v>
      </c>
      <c r="AE336" s="25">
        <f t="shared" si="54"/>
        <v>239147.62278693626</v>
      </c>
      <c r="AF336" s="25">
        <f t="shared" si="70"/>
        <v>114556793587.59288</v>
      </c>
      <c r="AG336" s="25">
        <f>AE336/((1+'How much will I make'!$C$5/12)^(Calculations!$B$1*12-Calculations!$A336))</f>
        <v>129243.15179606972</v>
      </c>
      <c r="AH336" s="25">
        <f t="shared" si="71"/>
        <v>18233661929.581303</v>
      </c>
    </row>
    <row r="337" spans="1:34" ht="15.75" customHeight="1">
      <c r="A337" s="22">
        <f t="shared" si="55"/>
        <v>333</v>
      </c>
      <c r="B337" s="22">
        <f t="shared" si="77"/>
        <v>1866.7281611707879</v>
      </c>
      <c r="C337" s="25">
        <f t="shared" si="47"/>
        <v>3439.8048628763181</v>
      </c>
      <c r="D337" s="25">
        <f t="shared" si="56"/>
        <v>1175354.1535404811</v>
      </c>
      <c r="E337" s="25">
        <f>$C337/((1+'How much will I make'!$C$5/12)^(Calculations!$B$1*12-Calculations!$A337))</f>
        <v>1866.7281611707879</v>
      </c>
      <c r="F337" s="25">
        <f t="shared" si="57"/>
        <v>344815.31213152705</v>
      </c>
      <c r="G337" s="25">
        <f t="shared" si="48"/>
        <v>6322.4782899183965</v>
      </c>
      <c r="H337" s="25">
        <f t="shared" si="58"/>
        <v>4660720.5669378201</v>
      </c>
      <c r="I337" s="25">
        <f>G337/((1+'How much will I make'!$C$5/12)^(Calculations!$B$1*12-Calculations!$A337))</f>
        <v>3431.109828222242</v>
      </c>
      <c r="J337" s="25">
        <f t="shared" si="59"/>
        <v>1169021.1483404394</v>
      </c>
      <c r="K337" s="25">
        <f t="shared" si="49"/>
        <v>11591.796988580587</v>
      </c>
      <c r="L337" s="25">
        <f t="shared" si="60"/>
        <v>21171651.666897684</v>
      </c>
      <c r="M337" s="25">
        <f>K337/((1+'How much will I make'!$C$5/12)^(Calculations!$B$1*12-Calculations!$A337))</f>
        <v>6290.6864603546437</v>
      </c>
      <c r="N337" s="25">
        <f t="shared" si="61"/>
        <v>4604993.2502712244</v>
      </c>
      <c r="O337" s="25">
        <f t="shared" si="50"/>
        <v>21199.861292345402</v>
      </c>
      <c r="P337" s="25">
        <f t="shared" si="62"/>
        <v>106727529.22206728</v>
      </c>
      <c r="Q337" s="25">
        <f>O337/((1+'How much will I make'!$C$5/12)^(Calculations!$B$1*12-Calculations!$A337))</f>
        <v>11504.832298610143</v>
      </c>
      <c r="R337" s="25">
        <f t="shared" si="63"/>
        <v>20761719.995434523</v>
      </c>
      <c r="S337" s="25">
        <f t="shared" si="51"/>
        <v>38676.124467131282</v>
      </c>
      <c r="T337" s="25">
        <f t="shared" si="64"/>
        <v>578049257.43383968</v>
      </c>
      <c r="U337" s="25">
        <f>S337/((1+'How much will I make'!$C$5/12)^(Calculations!$B$1*12-Calculations!$A337))</f>
        <v>20988.926286757345</v>
      </c>
      <c r="V337" s="25">
        <f t="shared" si="65"/>
        <v>103830956.67808188</v>
      </c>
      <c r="W337" s="25">
        <f t="shared" si="52"/>
        <v>70386.487287321128</v>
      </c>
      <c r="X337" s="25">
        <f t="shared" si="66"/>
        <v>3281367635.3315129</v>
      </c>
      <c r="Y337" s="25">
        <f>W337/((1+'How much will I make'!$C$5/12)^(Calculations!$B$1*12-Calculations!$A337))</f>
        <v>38197.642954450457</v>
      </c>
      <c r="Z337" s="25">
        <f t="shared" si="67"/>
        <v>557834258.74448919</v>
      </c>
      <c r="AA337" s="25">
        <f t="shared" si="53"/>
        <v>127785.23523856436</v>
      </c>
      <c r="AB337" s="25">
        <f t="shared" si="68"/>
        <v>19199923277.071064</v>
      </c>
      <c r="AC337" s="25">
        <f>AA337/((1+'How much will I make'!$C$5/12)^(Calculations!$B$1*12-Calculations!$A337))</f>
        <v>69347.04342565457</v>
      </c>
      <c r="AD337" s="25">
        <f t="shared" si="69"/>
        <v>3141212243.9252543</v>
      </c>
      <c r="AE337" s="25">
        <f t="shared" si="54"/>
        <v>231433.18334219631</v>
      </c>
      <c r="AF337" s="25">
        <f t="shared" si="70"/>
        <v>114557025020.77623</v>
      </c>
      <c r="AG337" s="25">
        <f>AE337/((1+'How much will I make'!$C$5/12)^(Calculations!$B$1*12-Calculations!$A337))</f>
        <v>125595.1596082774</v>
      </c>
      <c r="AH337" s="25">
        <f t="shared" si="71"/>
        <v>18233787524.74091</v>
      </c>
    </row>
    <row r="338" spans="1:34" ht="15.75" customHeight="1">
      <c r="A338" s="22">
        <f t="shared" si="55"/>
        <v>334</v>
      </c>
      <c r="B338" s="22">
        <f t="shared" si="77"/>
        <v>1866.7281611707879</v>
      </c>
      <c r="C338" s="25">
        <f t="shared" si="47"/>
        <v>3425.5318136527644</v>
      </c>
      <c r="D338" s="25">
        <f t="shared" si="56"/>
        <v>1178779.6853541338</v>
      </c>
      <c r="E338" s="25">
        <f>$C338/((1+'How much will I make'!$C$5/12)^(Calculations!$B$1*12-Calculations!$A338))</f>
        <v>1866.7281611707879</v>
      </c>
      <c r="F338" s="25">
        <f t="shared" si="57"/>
        <v>346682.04029269784</v>
      </c>
      <c r="G338" s="25">
        <f t="shared" si="48"/>
        <v>6270.2264032248568</v>
      </c>
      <c r="H338" s="25">
        <f t="shared" si="58"/>
        <v>4666990.7933410453</v>
      </c>
      <c r="I338" s="25">
        <f>G338/((1+'How much will I make'!$C$5/12)^(Calculations!$B$1*12-Calculations!$A338))</f>
        <v>3416.9316884362001</v>
      </c>
      <c r="J338" s="25">
        <f t="shared" si="59"/>
        <v>1172438.0800288757</v>
      </c>
      <c r="K338" s="25">
        <f t="shared" si="49"/>
        <v>11448.688383783297</v>
      </c>
      <c r="L338" s="25">
        <f t="shared" si="60"/>
        <v>21183100.355281468</v>
      </c>
      <c r="M338" s="25">
        <f>K338/((1+'How much will I make'!$C$5/12)^(Calculations!$B$1*12-Calculations!$A338))</f>
        <v>6238.9112631500802</v>
      </c>
      <c r="N338" s="25">
        <f t="shared" si="61"/>
        <v>4611232.1615343746</v>
      </c>
      <c r="O338" s="25">
        <f t="shared" si="50"/>
        <v>20852.322582634824</v>
      </c>
      <c r="P338" s="25">
        <f t="shared" si="62"/>
        <v>106748381.54464991</v>
      </c>
      <c r="Q338" s="25">
        <f>O338/((1+'How much will I make'!$C$5/12)^(Calculations!$B$1*12-Calculations!$A338))</f>
        <v>11363.379442479692</v>
      </c>
      <c r="R338" s="25">
        <f t="shared" si="63"/>
        <v>20773083.374877002</v>
      </c>
      <c r="S338" s="25">
        <f t="shared" si="51"/>
        <v>37886.815804536767</v>
      </c>
      <c r="T338" s="25">
        <f t="shared" si="64"/>
        <v>578087144.24964416</v>
      </c>
      <c r="U338" s="25">
        <f>S338/((1+'How much will I make'!$C$5/12)^(Calculations!$B$1*12-Calculations!$A338))</f>
        <v>20646.249939218451</v>
      </c>
      <c r="V338" s="25">
        <f t="shared" si="65"/>
        <v>103851602.9280211</v>
      </c>
      <c r="W338" s="25">
        <f t="shared" si="52"/>
        <v>68669.743694947436</v>
      </c>
      <c r="X338" s="25">
        <f t="shared" si="66"/>
        <v>3281436305.0752077</v>
      </c>
      <c r="Y338" s="25">
        <f>W338/((1+'How much will I make'!$C$5/12)^(Calculations!$B$1*12-Calculations!$A338))</f>
        <v>37421.268097652683</v>
      </c>
      <c r="Z338" s="25">
        <f t="shared" si="67"/>
        <v>557871680.01258683</v>
      </c>
      <c r="AA338" s="25">
        <f t="shared" si="53"/>
        <v>124163.79132492084</v>
      </c>
      <c r="AB338" s="25">
        <f t="shared" si="68"/>
        <v>19200047440.862389</v>
      </c>
      <c r="AC338" s="25">
        <f>AA338/((1+'How much will I make'!$C$5/12)^(Calculations!$B$1*12-Calculations!$A338))</f>
        <v>67662.499860658922</v>
      </c>
      <c r="AD338" s="25">
        <f t="shared" si="69"/>
        <v>3141279906.4251151</v>
      </c>
      <c r="AE338" s="25">
        <f t="shared" si="54"/>
        <v>223967.59678277062</v>
      </c>
      <c r="AF338" s="25">
        <f t="shared" si="70"/>
        <v>114557248988.37302</v>
      </c>
      <c r="AG338" s="25">
        <f>AE338/((1+'How much will I make'!$C$5/12)^(Calculations!$B$1*12-Calculations!$A338))</f>
        <v>122050.13494191474</v>
      </c>
      <c r="AH338" s="25">
        <f t="shared" si="71"/>
        <v>18233909574.875851</v>
      </c>
    </row>
    <row r="339" spans="1:34" ht="15.75" customHeight="1">
      <c r="A339" s="22">
        <f t="shared" si="55"/>
        <v>335</v>
      </c>
      <c r="B339" s="22">
        <f t="shared" si="77"/>
        <v>1866.7281611707879</v>
      </c>
      <c r="C339" s="25">
        <f t="shared" si="47"/>
        <v>3411.3179886998487</v>
      </c>
      <c r="D339" s="25">
        <f t="shared" si="56"/>
        <v>1182191.0033428336</v>
      </c>
      <c r="E339" s="25">
        <f>$C339/((1+'How much will I make'!$C$5/12)^(Calculations!$B$1*12-Calculations!$A339))</f>
        <v>1866.7281611707879</v>
      </c>
      <c r="F339" s="25">
        <f t="shared" si="57"/>
        <v>348548.76845386863</v>
      </c>
      <c r="G339" s="25">
        <f t="shared" si="48"/>
        <v>6218.4063503056423</v>
      </c>
      <c r="H339" s="25">
        <f t="shared" si="58"/>
        <v>4673209.1996913506</v>
      </c>
      <c r="I339" s="25">
        <f>G339/((1+'How much will I make'!$C$5/12)^(Calculations!$B$1*12-Calculations!$A339))</f>
        <v>3402.8121360046448</v>
      </c>
      <c r="J339" s="25">
        <f t="shared" si="59"/>
        <v>1175840.8921648804</v>
      </c>
      <c r="K339" s="25">
        <f t="shared" si="49"/>
        <v>11307.346551884735</v>
      </c>
      <c r="L339" s="25">
        <f t="shared" si="60"/>
        <v>21194407.701833352</v>
      </c>
      <c r="M339" s="25">
        <f>K339/((1+'How much will I make'!$C$5/12)^(Calculations!$B$1*12-Calculations!$A339))</f>
        <v>6187.562199255839</v>
      </c>
      <c r="N339" s="25">
        <f t="shared" si="61"/>
        <v>4617419.72373363</v>
      </c>
      <c r="O339" s="25">
        <f t="shared" si="50"/>
        <v>20510.48122882114</v>
      </c>
      <c r="P339" s="25">
        <f t="shared" si="62"/>
        <v>106768892.02587874</v>
      </c>
      <c r="Q339" s="25">
        <f>O339/((1+'How much will I make'!$C$5/12)^(Calculations!$B$1*12-Calculations!$A339))</f>
        <v>11223.665760809859</v>
      </c>
      <c r="R339" s="25">
        <f t="shared" si="63"/>
        <v>20784307.040637814</v>
      </c>
      <c r="S339" s="25">
        <f t="shared" si="51"/>
        <v>37113.615481995206</v>
      </c>
      <c r="T339" s="25">
        <f t="shared" si="64"/>
        <v>578124257.86512613</v>
      </c>
      <c r="U339" s="25">
        <f>S339/((1+'How much will I make'!$C$5/12)^(Calculations!$B$1*12-Calculations!$A339))</f>
        <v>20309.168307557742</v>
      </c>
      <c r="V339" s="25">
        <f t="shared" si="65"/>
        <v>103871912.09632866</v>
      </c>
      <c r="W339" s="25">
        <f t="shared" si="52"/>
        <v>66994.871897509685</v>
      </c>
      <c r="X339" s="25">
        <f t="shared" si="66"/>
        <v>3281503299.9471054</v>
      </c>
      <c r="Y339" s="25">
        <f>W339/((1+'How much will I make'!$C$5/12)^(Calculations!$B$1*12-Calculations!$A339))</f>
        <v>36660.673217619085</v>
      </c>
      <c r="Z339" s="25">
        <f t="shared" si="67"/>
        <v>557908340.68580449</v>
      </c>
      <c r="AA339" s="25">
        <f t="shared" si="53"/>
        <v>120644.97942502431</v>
      </c>
      <c r="AB339" s="25">
        <f t="shared" si="68"/>
        <v>19200168085.841812</v>
      </c>
      <c r="AC339" s="25">
        <f>AA339/((1+'How much will I make'!$C$5/12)^(Calculations!$B$1*12-Calculations!$A339))</f>
        <v>66018.876382262359</v>
      </c>
      <c r="AD339" s="25">
        <f t="shared" si="69"/>
        <v>3141345925.3014975</v>
      </c>
      <c r="AE339" s="25">
        <f t="shared" si="54"/>
        <v>216742.83559622962</v>
      </c>
      <c r="AF339" s="25">
        <f t="shared" si="70"/>
        <v>114557465731.20862</v>
      </c>
      <c r="AG339" s="25">
        <f>AE339/((1+'How much will I make'!$C$5/12)^(Calculations!$B$1*12-Calculations!$A339))</f>
        <v>118605.171455651</v>
      </c>
      <c r="AH339" s="25">
        <f t="shared" si="71"/>
        <v>18234028180.047306</v>
      </c>
    </row>
    <row r="340" spans="1:34" ht="15.75" customHeight="1">
      <c r="A340" s="22">
        <f t="shared" si="55"/>
        <v>336</v>
      </c>
      <c r="B340" s="22">
        <f t="shared" si="77"/>
        <v>1866.7281611707879</v>
      </c>
      <c r="C340" s="25">
        <f t="shared" si="47"/>
        <v>3397.1631422737082</v>
      </c>
      <c r="D340" s="25">
        <f t="shared" si="56"/>
        <v>1185588.1664851073</v>
      </c>
      <c r="E340" s="25">
        <f>$C340/((1+'How much will I make'!$C$5/12)^(Calculations!$B$1*12-Calculations!$A340))</f>
        <v>1866.7281611707879</v>
      </c>
      <c r="F340" s="25">
        <f t="shared" si="57"/>
        <v>350415.49661503942</v>
      </c>
      <c r="G340" s="25">
        <f t="shared" si="48"/>
        <v>6167.0145622865875</v>
      </c>
      <c r="H340" s="25">
        <f t="shared" si="58"/>
        <v>4679376.214253637</v>
      </c>
      <c r="I340" s="25">
        <f>G340/((1+'How much will I make'!$C$5/12)^(Calculations!$B$1*12-Calculations!$A340))</f>
        <v>3388.7509288310721</v>
      </c>
      <c r="J340" s="25">
        <f t="shared" si="59"/>
        <v>1179229.6430937115</v>
      </c>
      <c r="K340" s="25">
        <f t="shared" si="49"/>
        <v>11167.749680873814</v>
      </c>
      <c r="L340" s="25">
        <f t="shared" si="60"/>
        <v>21205575.451514225</v>
      </c>
      <c r="M340" s="25">
        <f>K340/((1+'How much will I make'!$C$5/12)^(Calculations!$B$1*12-Calculations!$A340))</f>
        <v>6136.6357614018825</v>
      </c>
      <c r="N340" s="25">
        <f t="shared" si="61"/>
        <v>4623556.3594950316</v>
      </c>
      <c r="O340" s="25">
        <f t="shared" si="50"/>
        <v>20174.243831627347</v>
      </c>
      <c r="P340" s="25">
        <f t="shared" si="62"/>
        <v>106789066.26971038</v>
      </c>
      <c r="Q340" s="25">
        <f>O340/((1+'How much will I make'!$C$5/12)^(Calculations!$B$1*12-Calculations!$A340))</f>
        <v>11085.669870308097</v>
      </c>
      <c r="R340" s="25">
        <f t="shared" si="63"/>
        <v>20795392.710508123</v>
      </c>
      <c r="S340" s="25">
        <f t="shared" si="51"/>
        <v>36356.194757872858</v>
      </c>
      <c r="T340" s="25">
        <f t="shared" si="64"/>
        <v>578160614.05988395</v>
      </c>
      <c r="U340" s="25">
        <f>S340/((1+'How much will I make'!$C$5/12)^(Calculations!$B$1*12-Calculations!$A340))</f>
        <v>19977.59004947517</v>
      </c>
      <c r="V340" s="25">
        <f t="shared" si="65"/>
        <v>103891889.68637814</v>
      </c>
      <c r="W340" s="25">
        <f t="shared" si="52"/>
        <v>65360.850631716785</v>
      </c>
      <c r="X340" s="25">
        <f t="shared" si="66"/>
        <v>3281568660.7977371</v>
      </c>
      <c r="Y340" s="25">
        <f>W340/((1+'How much will I make'!$C$5/12)^(Calculations!$B$1*12-Calculations!$A340))</f>
        <v>35915.537583114645</v>
      </c>
      <c r="Z340" s="25">
        <f t="shared" si="67"/>
        <v>557944256.2233876</v>
      </c>
      <c r="AA340" s="25">
        <f t="shared" si="53"/>
        <v>117225.89093929488</v>
      </c>
      <c r="AB340" s="25">
        <f t="shared" si="68"/>
        <v>19200285311.73275</v>
      </c>
      <c r="AC340" s="25">
        <f>AA340/((1+'How much will I make'!$C$5/12)^(Calculations!$B$1*12-Calculations!$A340))</f>
        <v>64415.178980264085</v>
      </c>
      <c r="AD340" s="25">
        <f t="shared" si="69"/>
        <v>3141410340.4804778</v>
      </c>
      <c r="AE340" s="25">
        <f t="shared" si="54"/>
        <v>209751.13122215768</v>
      </c>
      <c r="AF340" s="25">
        <f t="shared" si="70"/>
        <v>114557675482.33984</v>
      </c>
      <c r="AG340" s="25">
        <f>AE340/((1+'How much will I make'!$C$5/12)^(Calculations!$B$1*12-Calculations!$A340))</f>
        <v>115257.44484198342</v>
      </c>
      <c r="AH340" s="25">
        <f t="shared" si="71"/>
        <v>18234143437.492149</v>
      </c>
    </row>
    <row r="341" spans="1:34" ht="15.75" customHeight="1">
      <c r="A341" s="22">
        <f t="shared" si="55"/>
        <v>337</v>
      </c>
      <c r="B341" s="22">
        <f>B340*(1+'How much will I make'!$C$4)</f>
        <v>1960.0645692293274</v>
      </c>
      <c r="C341" s="25">
        <f t="shared" si="47"/>
        <v>3552.2203811326749</v>
      </c>
      <c r="D341" s="25">
        <f t="shared" si="56"/>
        <v>1189140.3868662398</v>
      </c>
      <c r="E341" s="25">
        <f>$C341/((1+'How much will I make'!$C$5/12)^(Calculations!$B$1*12-Calculations!$A341))</f>
        <v>1960.0645692293272</v>
      </c>
      <c r="F341" s="25">
        <f t="shared" si="57"/>
        <v>352375.56118426874</v>
      </c>
      <c r="G341" s="25">
        <f t="shared" si="48"/>
        <v>6421.8498747777694</v>
      </c>
      <c r="H341" s="25">
        <f t="shared" si="58"/>
        <v>4685798.0641284147</v>
      </c>
      <c r="I341" s="25">
        <f>G341/((1+'How much will I make'!$C$5/12)^(Calculations!$B$1*12-Calculations!$A341))</f>
        <v>3543.4852171103416</v>
      </c>
      <c r="J341" s="25">
        <f t="shared" si="59"/>
        <v>1182773.1283108217</v>
      </c>
      <c r="K341" s="25">
        <f t="shared" si="49"/>
        <v>11581.370039424693</v>
      </c>
      <c r="L341" s="25">
        <f t="shared" si="60"/>
        <v>21217156.821553651</v>
      </c>
      <c r="M341" s="25">
        <f>K341/((1+'How much will I make'!$C$5/12)^(Calculations!$B$1*12-Calculations!$A341))</f>
        <v>6390.4348947438093</v>
      </c>
      <c r="N341" s="25">
        <f t="shared" si="61"/>
        <v>4629946.794389775</v>
      </c>
      <c r="O341" s="25">
        <f t="shared" si="50"/>
        <v>20835.694449057759</v>
      </c>
      <c r="P341" s="25">
        <f t="shared" si="62"/>
        <v>106809901.96415943</v>
      </c>
      <c r="Q341" s="25">
        <f>O341/((1+'How much will I make'!$C$5/12)^(Calculations!$B$1*12-Calculations!$A341))</f>
        <v>11496.839183120755</v>
      </c>
      <c r="R341" s="25">
        <f t="shared" si="63"/>
        <v>20806889.549691245</v>
      </c>
      <c r="S341" s="25">
        <f t="shared" si="51"/>
        <v>37394.943179526381</v>
      </c>
      <c r="T341" s="25">
        <f t="shared" si="64"/>
        <v>578198009.00306344</v>
      </c>
      <c r="U341" s="25">
        <f>S341/((1+'How much will I make'!$C$5/12)^(Calculations!$B$1*12-Calculations!$A341))</f>
        <v>20633.996579672214</v>
      </c>
      <c r="V341" s="25">
        <f t="shared" si="65"/>
        <v>103912523.68295781</v>
      </c>
      <c r="W341" s="25">
        <f t="shared" si="52"/>
        <v>66955.017720295247</v>
      </c>
      <c r="X341" s="25">
        <f t="shared" si="66"/>
        <v>3281635615.8154573</v>
      </c>
      <c r="Y341" s="25">
        <f>W341/((1+'How much will I make'!$C$5/12)^(Calculations!$B$1*12-Calculations!$A341))</f>
        <v>36944.824330923409</v>
      </c>
      <c r="Z341" s="25">
        <f t="shared" si="67"/>
        <v>557981201.04771852</v>
      </c>
      <c r="AA341" s="25">
        <f t="shared" si="53"/>
        <v>119598.88468300535</v>
      </c>
      <c r="AB341" s="25">
        <f t="shared" si="68"/>
        <v>19200404910.617432</v>
      </c>
      <c r="AC341" s="25">
        <f>AA341/((1+'How much will I make'!$C$5/12)^(Calculations!$B$1*12-Calculations!$A341))</f>
        <v>65992.95967998312</v>
      </c>
      <c r="AD341" s="25">
        <f t="shared" si="69"/>
        <v>3141476333.4401579</v>
      </c>
      <c r="AE341" s="25">
        <f t="shared" si="54"/>
        <v>213134.21398380536</v>
      </c>
      <c r="AF341" s="25">
        <f t="shared" si="70"/>
        <v>114557888616.55383</v>
      </c>
      <c r="AG341" s="25">
        <f>AE341/((1+'How much will I make'!$C$5/12)^(Calculations!$B$1*12-Calculations!$A341))</f>
        <v>117604.42103735442</v>
      </c>
      <c r="AH341" s="25">
        <f t="shared" si="71"/>
        <v>18234261041.913185</v>
      </c>
    </row>
    <row r="342" spans="1:34" ht="15.75" customHeight="1">
      <c r="A342" s="22">
        <f t="shared" si="55"/>
        <v>338</v>
      </c>
      <c r="B342" s="22">
        <f t="shared" ref="B342:B352" si="78">B341</f>
        <v>1960.0645692293274</v>
      </c>
      <c r="C342" s="25">
        <f t="shared" si="47"/>
        <v>3537.4808774765215</v>
      </c>
      <c r="D342" s="25">
        <f t="shared" si="56"/>
        <v>1192677.8677437163</v>
      </c>
      <c r="E342" s="25">
        <f>$C342/((1+'How much will I make'!$C$5/12)^(Calculations!$B$1*12-Calculations!$A342))</f>
        <v>1960.0645692293272</v>
      </c>
      <c r="F342" s="25">
        <f t="shared" si="57"/>
        <v>354335.62575349805</v>
      </c>
      <c r="G342" s="25">
        <f t="shared" si="48"/>
        <v>6368.7767353167965</v>
      </c>
      <c r="H342" s="25">
        <f t="shared" si="58"/>
        <v>4692166.8408637317</v>
      </c>
      <c r="I342" s="25">
        <f>G342/((1+'How much will I make'!$C$5/12)^(Calculations!$B$1*12-Calculations!$A342))</f>
        <v>3528.8427162131929</v>
      </c>
      <c r="J342" s="25">
        <f t="shared" si="59"/>
        <v>1186301.9710270348</v>
      </c>
      <c r="K342" s="25">
        <f t="shared" si="49"/>
        <v>11438.390162394762</v>
      </c>
      <c r="L342" s="25">
        <f t="shared" si="60"/>
        <v>21228595.211716045</v>
      </c>
      <c r="M342" s="25">
        <f>K342/((1+'How much will I make'!$C$5/12)^(Calculations!$B$1*12-Calculations!$A342))</f>
        <v>6337.8387227706125</v>
      </c>
      <c r="N342" s="25">
        <f t="shared" si="61"/>
        <v>4636284.6331125461</v>
      </c>
      <c r="O342" s="25">
        <f t="shared" si="50"/>
        <v>20494.1256875978</v>
      </c>
      <c r="P342" s="25">
        <f t="shared" si="62"/>
        <v>106830396.08984703</v>
      </c>
      <c r="Q342" s="25">
        <f>O342/((1+'How much will I make'!$C$5/12)^(Calculations!$B$1*12-Calculations!$A342))</f>
        <v>11355.484603000425</v>
      </c>
      <c r="R342" s="25">
        <f t="shared" si="63"/>
        <v>20818245.034294244</v>
      </c>
      <c r="S342" s="25">
        <f t="shared" si="51"/>
        <v>36631.781073821759</v>
      </c>
      <c r="T342" s="25">
        <f t="shared" si="64"/>
        <v>578234640.78413725</v>
      </c>
      <c r="U342" s="25">
        <f>S342/((1+'How much will I make'!$C$5/12)^(Calculations!$B$1*12-Calculations!$A342))</f>
        <v>20297.115002861246</v>
      </c>
      <c r="V342" s="25">
        <f t="shared" si="65"/>
        <v>103932820.79796067</v>
      </c>
      <c r="W342" s="25">
        <f t="shared" si="52"/>
        <v>65321.96850760511</v>
      </c>
      <c r="X342" s="25">
        <f t="shared" si="66"/>
        <v>3281700937.7839651</v>
      </c>
      <c r="Y342" s="25">
        <f>W342/((1+'How much will I make'!$C$5/12)^(Calculations!$B$1*12-Calculations!$A342))</f>
        <v>36193.913267286764</v>
      </c>
      <c r="Z342" s="25">
        <f t="shared" si="67"/>
        <v>558017394.96098578</v>
      </c>
      <c r="AA342" s="25">
        <f t="shared" si="53"/>
        <v>116209.44260696876</v>
      </c>
      <c r="AB342" s="25">
        <f t="shared" si="68"/>
        <v>19200521120.06004</v>
      </c>
      <c r="AC342" s="25">
        <f>AA342/((1+'How much will I make'!$C$5/12)^(Calculations!$B$1*12-Calculations!$A342))</f>
        <v>64389.891833505812</v>
      </c>
      <c r="AD342" s="25">
        <f t="shared" si="69"/>
        <v>3141540723.3319912</v>
      </c>
      <c r="AE342" s="25">
        <f t="shared" si="54"/>
        <v>206258.91675852129</v>
      </c>
      <c r="AF342" s="25">
        <f t="shared" si="70"/>
        <v>114558094875.4706</v>
      </c>
      <c r="AG342" s="25">
        <f>AE342/((1+'How much will I make'!$C$5/12)^(Calculations!$B$1*12-Calculations!$A342))</f>
        <v>114284.9414113001</v>
      </c>
      <c r="AH342" s="25">
        <f t="shared" si="71"/>
        <v>18234375326.854595</v>
      </c>
    </row>
    <row r="343" spans="1:34" ht="15.75" customHeight="1">
      <c r="A343" s="22">
        <f t="shared" si="55"/>
        <v>339</v>
      </c>
      <c r="B343" s="22">
        <f t="shared" si="78"/>
        <v>1960.0645692293274</v>
      </c>
      <c r="C343" s="25">
        <f t="shared" si="47"/>
        <v>3522.8025335865777</v>
      </c>
      <c r="D343" s="25">
        <f t="shared" si="56"/>
        <v>1196200.6702773029</v>
      </c>
      <c r="E343" s="25">
        <f>$C343/((1+'How much will I make'!$C$5/12)^(Calculations!$B$1*12-Calculations!$A343))</f>
        <v>1960.0645692293274</v>
      </c>
      <c r="F343" s="25">
        <f t="shared" si="57"/>
        <v>356295.69032272737</v>
      </c>
      <c r="G343" s="25">
        <f t="shared" si="48"/>
        <v>6316.1422168431045</v>
      </c>
      <c r="H343" s="25">
        <f t="shared" si="58"/>
        <v>4698482.9830805752</v>
      </c>
      <c r="I343" s="25">
        <f>G343/((1+'How much will I make'!$C$5/12)^(Calculations!$B$1*12-Calculations!$A343))</f>
        <v>3514.2607215180979</v>
      </c>
      <c r="J343" s="25">
        <f t="shared" si="59"/>
        <v>1189816.231748553</v>
      </c>
      <c r="K343" s="25">
        <f t="shared" si="49"/>
        <v>11297.175469031861</v>
      </c>
      <c r="L343" s="25">
        <f t="shared" si="60"/>
        <v>21239892.387185078</v>
      </c>
      <c r="M343" s="25">
        <f>K343/((1+'How much will I make'!$C$5/12)^(Calculations!$B$1*12-Calculations!$A343))</f>
        <v>6285.6754411017173</v>
      </c>
      <c r="N343" s="25">
        <f t="shared" si="61"/>
        <v>4642570.3085536482</v>
      </c>
      <c r="O343" s="25">
        <f t="shared" si="50"/>
        <v>20158.156414030622</v>
      </c>
      <c r="P343" s="25">
        <f t="shared" si="62"/>
        <v>106850554.24626106</v>
      </c>
      <c r="Q343" s="25">
        <f>O343/((1+'How much will I make'!$C$5/12)^(Calculations!$B$1*12-Calculations!$A343))</f>
        <v>11215.867989029108</v>
      </c>
      <c r="R343" s="25">
        <f t="shared" si="63"/>
        <v>20829460.902283274</v>
      </c>
      <c r="S343" s="25">
        <f t="shared" si="51"/>
        <v>35884.19370496826</v>
      </c>
      <c r="T343" s="25">
        <f t="shared" si="64"/>
        <v>578270524.97784221</v>
      </c>
      <c r="U343" s="25">
        <f>S343/((1+'How much will I make'!$C$5/12)^(Calculations!$B$1*12-Calculations!$A343))</f>
        <v>19965.733533426781</v>
      </c>
      <c r="V343" s="25">
        <f t="shared" si="65"/>
        <v>103952786.5314941</v>
      </c>
      <c r="W343" s="25">
        <f t="shared" si="52"/>
        <v>63728.749763517189</v>
      </c>
      <c r="X343" s="25">
        <f t="shared" si="66"/>
        <v>3281764666.5337286</v>
      </c>
      <c r="Y343" s="25">
        <f>W343/((1+'How much will I make'!$C$5/12)^(Calculations!$B$1*12-Calculations!$A343))</f>
        <v>35458.264623642732</v>
      </c>
      <c r="Z343" s="25">
        <f t="shared" si="67"/>
        <v>558052853.22560942</v>
      </c>
      <c r="AA343" s="25">
        <f t="shared" si="53"/>
        <v>112916.0575938158</v>
      </c>
      <c r="AB343" s="25">
        <f t="shared" si="68"/>
        <v>19200634036.117634</v>
      </c>
      <c r="AC343" s="25">
        <f>AA343/((1+'How much will I make'!$C$5/12)^(Calculations!$B$1*12-Calculations!$A343))</f>
        <v>62825.76490637612</v>
      </c>
      <c r="AD343" s="25">
        <f t="shared" si="69"/>
        <v>3141603549.0968976</v>
      </c>
      <c r="AE343" s="25">
        <f t="shared" si="54"/>
        <v>199605.40331469802</v>
      </c>
      <c r="AF343" s="25">
        <f t="shared" si="70"/>
        <v>114558294480.87392</v>
      </c>
      <c r="AG343" s="25">
        <f>AE343/((1+'How much will I make'!$C$5/12)^(Calculations!$B$1*12-Calculations!$A343))</f>
        <v>111059.15677469081</v>
      </c>
      <c r="AH343" s="25">
        <f t="shared" si="71"/>
        <v>18234486386.011372</v>
      </c>
    </row>
    <row r="344" spans="1:34" ht="15.75" customHeight="1">
      <c r="A344" s="22">
        <f t="shared" si="55"/>
        <v>340</v>
      </c>
      <c r="B344" s="22">
        <f t="shared" si="78"/>
        <v>1960.0645692293274</v>
      </c>
      <c r="C344" s="25">
        <f t="shared" si="47"/>
        <v>3508.1850956878789</v>
      </c>
      <c r="D344" s="25">
        <f t="shared" si="56"/>
        <v>1199708.8553729907</v>
      </c>
      <c r="E344" s="25">
        <f>$C344/((1+'How much will I make'!$C$5/12)^(Calculations!$B$1*12-Calculations!$A344))</f>
        <v>1960.0645692293276</v>
      </c>
      <c r="F344" s="25">
        <f t="shared" si="57"/>
        <v>358255.75489195669</v>
      </c>
      <c r="G344" s="25">
        <f t="shared" si="48"/>
        <v>6263.942694389857</v>
      </c>
      <c r="H344" s="25">
        <f t="shared" si="58"/>
        <v>4704746.9257749654</v>
      </c>
      <c r="I344" s="25">
        <f>G344/((1+'How much will I make'!$C$5/12)^(Calculations!$B$1*12-Calculations!$A344))</f>
        <v>3499.7389829994281</v>
      </c>
      <c r="J344" s="25">
        <f t="shared" si="59"/>
        <v>1193315.9707315525</v>
      </c>
      <c r="K344" s="25">
        <f t="shared" si="49"/>
        <v>11157.704166945052</v>
      </c>
      <c r="L344" s="25">
        <f t="shared" si="60"/>
        <v>21251050.091352023</v>
      </c>
      <c r="M344" s="25">
        <f>K344/((1+'How much will I make'!$C$5/12)^(Calculations!$B$1*12-Calculations!$A344))</f>
        <v>6233.9414868539679</v>
      </c>
      <c r="N344" s="25">
        <f t="shared" si="61"/>
        <v>4648804.2500405023</v>
      </c>
      <c r="O344" s="25">
        <f t="shared" si="50"/>
        <v>19827.694833472742</v>
      </c>
      <c r="P344" s="25">
        <f t="shared" si="62"/>
        <v>106870381.94109453</v>
      </c>
      <c r="Q344" s="25">
        <f>O344/((1+'How much will I make'!$C$5/12)^(Calculations!$B$1*12-Calculations!$A344))</f>
        <v>11077.967972770552</v>
      </c>
      <c r="R344" s="25">
        <f t="shared" si="63"/>
        <v>20840538.870256044</v>
      </c>
      <c r="S344" s="25">
        <f t="shared" si="51"/>
        <v>35151.863221193395</v>
      </c>
      <c r="T344" s="25">
        <f t="shared" si="64"/>
        <v>578305676.84106338</v>
      </c>
      <c r="U344" s="25">
        <f>S344/((1+'How much will I make'!$C$5/12)^(Calculations!$B$1*12-Calculations!$A344))</f>
        <v>19639.762373697358</v>
      </c>
      <c r="V344" s="25">
        <f t="shared" si="65"/>
        <v>103972426.2938678</v>
      </c>
      <c r="W344" s="25">
        <f t="shared" si="52"/>
        <v>62174.390013187498</v>
      </c>
      <c r="X344" s="25">
        <f t="shared" si="66"/>
        <v>3281826840.9237418</v>
      </c>
      <c r="Y344" s="25">
        <f>W344/((1+'How much will I make'!$C$5/12)^(Calculations!$B$1*12-Calculations!$A344))</f>
        <v>34737.568188202829</v>
      </c>
      <c r="Z344" s="25">
        <f t="shared" si="67"/>
        <v>558087590.79379761</v>
      </c>
      <c r="AA344" s="25">
        <f t="shared" si="53"/>
        <v>109716.00737860647</v>
      </c>
      <c r="AB344" s="25">
        <f t="shared" si="68"/>
        <v>19200743752.125011</v>
      </c>
      <c r="AC344" s="25">
        <f>AA344/((1+'How much will I make'!$C$5/12)^(Calculations!$B$1*12-Calculations!$A344))</f>
        <v>61299.632965330551</v>
      </c>
      <c r="AD344" s="25">
        <f t="shared" si="69"/>
        <v>3141664848.7298632</v>
      </c>
      <c r="AE344" s="25">
        <f t="shared" si="54"/>
        <v>193166.51933680451</v>
      </c>
      <c r="AF344" s="25">
        <f t="shared" si="70"/>
        <v>114558487647.39325</v>
      </c>
      <c r="AG344" s="25">
        <f>AE344/((1+'How much will I make'!$C$5/12)^(Calculations!$B$1*12-Calculations!$A344))</f>
        <v>107924.42251088904</v>
      </c>
      <c r="AH344" s="25">
        <f t="shared" si="71"/>
        <v>18234594310.433884</v>
      </c>
    </row>
    <row r="345" spans="1:34" ht="15.75" customHeight="1">
      <c r="A345" s="22">
        <f t="shared" si="55"/>
        <v>341</v>
      </c>
      <c r="B345" s="22">
        <f t="shared" si="78"/>
        <v>1960.0645692293274</v>
      </c>
      <c r="C345" s="25">
        <f t="shared" si="47"/>
        <v>3493.6283110584677</v>
      </c>
      <c r="D345" s="25">
        <f t="shared" si="56"/>
        <v>1203202.4836840492</v>
      </c>
      <c r="E345" s="25">
        <f>$C345/((1+'How much will I make'!$C$5/12)^(Calculations!$B$1*12-Calculations!$A345))</f>
        <v>1960.0645692293274</v>
      </c>
      <c r="F345" s="25">
        <f t="shared" si="57"/>
        <v>360215.81946118601</v>
      </c>
      <c r="G345" s="25">
        <f t="shared" si="48"/>
        <v>6212.1745729486174</v>
      </c>
      <c r="H345" s="25">
        <f t="shared" si="58"/>
        <v>4710959.1003479138</v>
      </c>
      <c r="I345" s="25">
        <f>G345/((1+'How much will I make'!$C$5/12)^(Calculations!$B$1*12-Calculations!$A345))</f>
        <v>3485.2772516647196</v>
      </c>
      <c r="J345" s="25">
        <f t="shared" si="59"/>
        <v>1196801.2479832172</v>
      </c>
      <c r="K345" s="25">
        <f t="shared" si="49"/>
        <v>11019.954732785234</v>
      </c>
      <c r="L345" s="25">
        <f t="shared" si="60"/>
        <v>21262070.04608481</v>
      </c>
      <c r="M345" s="25">
        <f>K345/((1+'How much will I make'!$C$5/12)^(Calculations!$B$1*12-Calculations!$A345))</f>
        <v>6182.633326468339</v>
      </c>
      <c r="N345" s="25">
        <f t="shared" si="61"/>
        <v>4654986.8833669703</v>
      </c>
      <c r="O345" s="25">
        <f t="shared" si="50"/>
        <v>19502.650655874826</v>
      </c>
      <c r="P345" s="25">
        <f t="shared" si="62"/>
        <v>106889884.59175041</v>
      </c>
      <c r="Q345" s="25">
        <f>O345/((1+'How much will I make'!$C$5/12)^(Calculations!$B$1*12-Calculations!$A345))</f>
        <v>10941.763448515176</v>
      </c>
      <c r="R345" s="25">
        <f t="shared" si="63"/>
        <v>20851480.633704558</v>
      </c>
      <c r="S345" s="25">
        <f t="shared" si="51"/>
        <v>34434.478257495583</v>
      </c>
      <c r="T345" s="25">
        <f t="shared" si="64"/>
        <v>578340111.31932092</v>
      </c>
      <c r="U345" s="25">
        <f>S345/((1+'How much will I make'!$C$5/12)^(Calculations!$B$1*12-Calculations!$A345))</f>
        <v>19319.113192085984</v>
      </c>
      <c r="V345" s="25">
        <f t="shared" si="65"/>
        <v>103991745.40705988</v>
      </c>
      <c r="W345" s="25">
        <f t="shared" si="52"/>
        <v>60657.941476280495</v>
      </c>
      <c r="X345" s="25">
        <f t="shared" si="66"/>
        <v>3281887498.8652182</v>
      </c>
      <c r="Y345" s="25">
        <f>W345/((1+'How much will I make'!$C$5/12)^(Calculations!$B$1*12-Calculations!$A345))</f>
        <v>34031.520054296278</v>
      </c>
      <c r="Z345" s="25">
        <f t="shared" si="67"/>
        <v>558121622.31385195</v>
      </c>
      <c r="AA345" s="25">
        <f t="shared" si="53"/>
        <v>106606.64684560955</v>
      </c>
      <c r="AB345" s="25">
        <f t="shared" si="68"/>
        <v>19200850358.771858</v>
      </c>
      <c r="AC345" s="25">
        <f>AA345/((1+'How much will I make'!$C$5/12)^(Calculations!$B$1*12-Calculations!$A345))</f>
        <v>59810.57305524157</v>
      </c>
      <c r="AD345" s="25">
        <f t="shared" si="69"/>
        <v>3141724659.3029184</v>
      </c>
      <c r="AE345" s="25">
        <f t="shared" si="54"/>
        <v>186935.34129368176</v>
      </c>
      <c r="AF345" s="25">
        <f t="shared" si="70"/>
        <v>114558674582.73454</v>
      </c>
      <c r="AG345" s="25">
        <f>AE345/((1+'How much will I make'!$C$5/12)^(Calculations!$B$1*12-Calculations!$A345))</f>
        <v>104878.16864969459</v>
      </c>
      <c r="AH345" s="25">
        <f t="shared" si="71"/>
        <v>18234699188.602535</v>
      </c>
    </row>
    <row r="346" spans="1:34" ht="15.75" customHeight="1">
      <c r="A346" s="22">
        <f t="shared" si="55"/>
        <v>342</v>
      </c>
      <c r="B346" s="22">
        <f t="shared" si="78"/>
        <v>1960.0645692293274</v>
      </c>
      <c r="C346" s="25">
        <f t="shared" si="47"/>
        <v>3479.1319280250304</v>
      </c>
      <c r="D346" s="25">
        <f t="shared" si="56"/>
        <v>1206681.6156120743</v>
      </c>
      <c r="E346" s="25">
        <f>$C346/((1+'How much will I make'!$C$5/12)^(Calculations!$B$1*12-Calculations!$A346))</f>
        <v>1960.0645692293274</v>
      </c>
      <c r="F346" s="25">
        <f t="shared" si="57"/>
        <v>362175.88403041533</v>
      </c>
      <c r="G346" s="25">
        <f t="shared" si="48"/>
        <v>6160.83428722177</v>
      </c>
      <c r="H346" s="25">
        <f t="shared" si="58"/>
        <v>4717119.9346351353</v>
      </c>
      <c r="I346" s="25">
        <f>G346/((1+'How much will I make'!$C$5/12)^(Calculations!$B$1*12-Calculations!$A346))</f>
        <v>3470.8752795504024</v>
      </c>
      <c r="J346" s="25">
        <f t="shared" si="59"/>
        <v>1200272.1232627677</v>
      </c>
      <c r="K346" s="25">
        <f t="shared" si="49"/>
        <v>10883.905908923691</v>
      </c>
      <c r="L346" s="25">
        <f t="shared" si="60"/>
        <v>21272953.951993734</v>
      </c>
      <c r="M346" s="25">
        <f>K346/((1+'How much will I make'!$C$5/12)^(Calculations!$B$1*12-Calculations!$A346))</f>
        <v>6131.7474554685996</v>
      </c>
      <c r="N346" s="25">
        <f t="shared" si="61"/>
        <v>4661118.6308224387</v>
      </c>
      <c r="O346" s="25">
        <f t="shared" si="50"/>
        <v>19182.935071352294</v>
      </c>
      <c r="P346" s="25">
        <f t="shared" si="62"/>
        <v>106909067.52682176</v>
      </c>
      <c r="Q346" s="25">
        <f>O346/((1+'How much will I make'!$C$5/12)^(Calculations!$B$1*12-Calculations!$A346))</f>
        <v>10807.233570049828</v>
      </c>
      <c r="R346" s="25">
        <f t="shared" si="63"/>
        <v>20862287.867274608</v>
      </c>
      <c r="S346" s="25">
        <f t="shared" si="51"/>
        <v>33731.733803260984</v>
      </c>
      <c r="T346" s="25">
        <f t="shared" si="64"/>
        <v>578373843.05312419</v>
      </c>
      <c r="U346" s="25">
        <f>S346/((1+'How much will I make'!$C$5/12)^(Calculations!$B$1*12-Calculations!$A346))</f>
        <v>19003.699099153968</v>
      </c>
      <c r="V346" s="25">
        <f t="shared" si="65"/>
        <v>104010749.10615903</v>
      </c>
      <c r="W346" s="25">
        <f t="shared" si="52"/>
        <v>59178.479489054138</v>
      </c>
      <c r="X346" s="25">
        <f t="shared" si="66"/>
        <v>3281946677.344707</v>
      </c>
      <c r="Y346" s="25">
        <f>W346/((1+'How much will I make'!$C$5/12)^(Calculations!$B$1*12-Calculations!$A346))</f>
        <v>33339.822492217078</v>
      </c>
      <c r="Z346" s="25">
        <f t="shared" si="67"/>
        <v>558154962.13634419</v>
      </c>
      <c r="AA346" s="25">
        <f t="shared" si="53"/>
        <v>103585.40584188783</v>
      </c>
      <c r="AB346" s="25">
        <f t="shared" si="68"/>
        <v>19200953944.1777</v>
      </c>
      <c r="AC346" s="25">
        <f>AA346/((1+'How much will I make'!$C$5/12)^(Calculations!$B$1*12-Calculations!$A346))</f>
        <v>58357.684640944201</v>
      </c>
      <c r="AD346" s="25">
        <f t="shared" si="69"/>
        <v>3141783016.9875593</v>
      </c>
      <c r="AE346" s="25">
        <f t="shared" si="54"/>
        <v>180905.16899388557</v>
      </c>
      <c r="AF346" s="25">
        <f t="shared" si="70"/>
        <v>114558855487.90353</v>
      </c>
      <c r="AG346" s="25">
        <f>AE346/((1+'How much will I make'!$C$5/12)^(Calculations!$B$1*12-Calculations!$A346))</f>
        <v>101917.89776038867</v>
      </c>
      <c r="AH346" s="25">
        <f t="shared" si="71"/>
        <v>18234801106.500294</v>
      </c>
    </row>
    <row r="347" spans="1:34" ht="15.75" customHeight="1">
      <c r="A347" s="22">
        <f t="shared" si="55"/>
        <v>343</v>
      </c>
      <c r="B347" s="22">
        <f t="shared" si="78"/>
        <v>1960.0645692293274</v>
      </c>
      <c r="C347" s="25">
        <f t="shared" si="47"/>
        <v>3464.6956959585364</v>
      </c>
      <c r="D347" s="25">
        <f t="shared" si="56"/>
        <v>1210146.3113080328</v>
      </c>
      <c r="E347" s="25">
        <f>$C347/((1+'How much will I make'!$C$5/12)^(Calculations!$B$1*12-Calculations!$A347))</f>
        <v>1960.0645692293274</v>
      </c>
      <c r="F347" s="25">
        <f t="shared" si="57"/>
        <v>364135.94859964465</v>
      </c>
      <c r="G347" s="25">
        <f t="shared" si="48"/>
        <v>6109.9183013769616</v>
      </c>
      <c r="H347" s="25">
        <f t="shared" si="58"/>
        <v>4723229.8529365119</v>
      </c>
      <c r="I347" s="25">
        <f>G347/((1+'How much will I make'!$C$5/12)^(Calculations!$B$1*12-Calculations!$A347))</f>
        <v>3456.53281971755</v>
      </c>
      <c r="J347" s="25">
        <f t="shared" si="59"/>
        <v>1203728.6560824853</v>
      </c>
      <c r="K347" s="25">
        <f t="shared" si="49"/>
        <v>10749.536700171544</v>
      </c>
      <c r="L347" s="25">
        <f t="shared" si="60"/>
        <v>21283703.488693904</v>
      </c>
      <c r="M347" s="25">
        <f>K347/((1+'How much will I make'!$C$5/12)^(Calculations!$B$1*12-Calculations!$A347))</f>
        <v>6081.2803982219439</v>
      </c>
      <c r="N347" s="25">
        <f t="shared" si="61"/>
        <v>4667199.9112206604</v>
      </c>
      <c r="O347" s="25">
        <f t="shared" si="50"/>
        <v>18868.460725920289</v>
      </c>
      <c r="P347" s="25">
        <f t="shared" si="62"/>
        <v>106927935.98754768</v>
      </c>
      <c r="Q347" s="25">
        <f>O347/((1+'How much will I make'!$C$5/12)^(Calculations!$B$1*12-Calculations!$A347))</f>
        <v>10674.357747467249</v>
      </c>
      <c r="R347" s="25">
        <f t="shared" si="63"/>
        <v>20872962.225022078</v>
      </c>
      <c r="S347" s="25">
        <f t="shared" si="51"/>
        <v>33043.331072582187</v>
      </c>
      <c r="T347" s="25">
        <f t="shared" si="64"/>
        <v>578406886.38419676</v>
      </c>
      <c r="U347" s="25">
        <f>S347/((1+'How much will I make'!$C$5/12)^(Calculations!$B$1*12-Calculations!$A347))</f>
        <v>18693.43462406574</v>
      </c>
      <c r="V347" s="25">
        <f t="shared" si="65"/>
        <v>104029442.54078309</v>
      </c>
      <c r="W347" s="25">
        <f t="shared" si="52"/>
        <v>57735.101940540626</v>
      </c>
      <c r="X347" s="25">
        <f t="shared" si="66"/>
        <v>3282004412.4466476</v>
      </c>
      <c r="Y347" s="25">
        <f>W347/((1+'How much will I make'!$C$5/12)^(Calculations!$B$1*12-Calculations!$A347))</f>
        <v>32662.183823676085</v>
      </c>
      <c r="Z347" s="25">
        <f t="shared" si="67"/>
        <v>558187624.3201679</v>
      </c>
      <c r="AA347" s="25">
        <f t="shared" si="53"/>
        <v>100649.78705284647</v>
      </c>
      <c r="AB347" s="25">
        <f t="shared" si="68"/>
        <v>19201054593.964752</v>
      </c>
      <c r="AC347" s="25">
        <f>AA347/((1+'How much will I make'!$C$5/12)^(Calculations!$B$1*12-Calculations!$A347))</f>
        <v>56940.089062621679</v>
      </c>
      <c r="AD347" s="25">
        <f t="shared" si="69"/>
        <v>3141839957.076622</v>
      </c>
      <c r="AE347" s="25">
        <f t="shared" si="54"/>
        <v>175069.51838117957</v>
      </c>
      <c r="AF347" s="25">
        <f t="shared" si="70"/>
        <v>114559030557.42192</v>
      </c>
      <c r="AG347" s="25">
        <f>AE347/((1+'How much will I make'!$C$5/12)^(Calculations!$B$1*12-Calculations!$A347))</f>
        <v>99041.182904248679</v>
      </c>
      <c r="AH347" s="25">
        <f t="shared" si="71"/>
        <v>18234900147.683197</v>
      </c>
    </row>
    <row r="348" spans="1:34" ht="15.75" customHeight="1">
      <c r="A348" s="22">
        <f t="shared" si="55"/>
        <v>344</v>
      </c>
      <c r="B348" s="22">
        <f t="shared" si="78"/>
        <v>1960.0645692293274</v>
      </c>
      <c r="C348" s="25">
        <f t="shared" si="47"/>
        <v>3450.3193652699119</v>
      </c>
      <c r="D348" s="25">
        <f t="shared" si="56"/>
        <v>1213596.6306733028</v>
      </c>
      <c r="E348" s="25">
        <f>$C348/((1+'How much will I make'!$C$5/12)^(Calculations!$B$1*12-Calculations!$A348))</f>
        <v>1960.0645692293274</v>
      </c>
      <c r="F348" s="25">
        <f t="shared" si="57"/>
        <v>366096.01316887396</v>
      </c>
      <c r="G348" s="25">
        <f t="shared" si="48"/>
        <v>6059.4231088035995</v>
      </c>
      <c r="H348" s="25">
        <f t="shared" si="58"/>
        <v>4729289.2760453159</v>
      </c>
      <c r="I348" s="25">
        <f>G348/((1+'How much will I make'!$C$5/12)^(Calculations!$B$1*12-Calculations!$A348))</f>
        <v>3442.2496262476429</v>
      </c>
      <c r="J348" s="25">
        <f t="shared" si="59"/>
        <v>1207170.905708733</v>
      </c>
      <c r="K348" s="25">
        <f t="shared" si="49"/>
        <v>10616.826370539799</v>
      </c>
      <c r="L348" s="25">
        <f t="shared" si="60"/>
        <v>21294320.315064445</v>
      </c>
      <c r="M348" s="25">
        <f>K348/((1+'How much will I make'!$C$5/12)^(Calculations!$B$1*12-Calculations!$A348))</f>
        <v>6031.2287077015999</v>
      </c>
      <c r="N348" s="25">
        <f t="shared" si="61"/>
        <v>4673231.1399283623</v>
      </c>
      <c r="O348" s="25">
        <f t="shared" si="50"/>
        <v>18559.141697626514</v>
      </c>
      <c r="P348" s="25">
        <f t="shared" si="62"/>
        <v>106946495.12924531</v>
      </c>
      <c r="Q348" s="25">
        <f>O348/((1+'How much will I make'!$C$5/12)^(Calculations!$B$1*12-Calculations!$A348))</f>
        <v>10543.115644014782</v>
      </c>
      <c r="R348" s="25">
        <f t="shared" si="63"/>
        <v>20883505.340666093</v>
      </c>
      <c r="S348" s="25">
        <f t="shared" si="51"/>
        <v>32368.977377223371</v>
      </c>
      <c r="T348" s="25">
        <f t="shared" si="64"/>
        <v>578439255.36157393</v>
      </c>
      <c r="U348" s="25">
        <f>S348/((1+'How much will I make'!$C$5/12)^(Calculations!$B$1*12-Calculations!$A348))</f>
        <v>18388.235691427933</v>
      </c>
      <c r="V348" s="25">
        <f t="shared" si="65"/>
        <v>104047830.77647452</v>
      </c>
      <c r="W348" s="25">
        <f t="shared" si="52"/>
        <v>56326.928722478668</v>
      </c>
      <c r="X348" s="25">
        <f t="shared" si="66"/>
        <v>3282060739.37537</v>
      </c>
      <c r="Y348" s="25">
        <f>W348/((1+'How much will I make'!$C$5/12)^(Calculations!$B$1*12-Calculations!$A348))</f>
        <v>31998.318298804625</v>
      </c>
      <c r="Z348" s="25">
        <f t="shared" si="67"/>
        <v>558219622.63846672</v>
      </c>
      <c r="AA348" s="25">
        <f t="shared" si="53"/>
        <v>97797.363937988484</v>
      </c>
      <c r="AB348" s="25">
        <f t="shared" si="68"/>
        <v>19201152391.32869</v>
      </c>
      <c r="AC348" s="25">
        <f>AA348/((1+'How much will I make'!$C$5/12)^(Calculations!$B$1*12-Calculations!$A348))</f>
        <v>55556.929004420344</v>
      </c>
      <c r="AD348" s="25">
        <f t="shared" si="69"/>
        <v>3141895514.0056262</v>
      </c>
      <c r="AE348" s="25">
        <f t="shared" si="54"/>
        <v>169422.11456243182</v>
      </c>
      <c r="AF348" s="25">
        <f t="shared" si="70"/>
        <v>114559199979.53648</v>
      </c>
      <c r="AG348" s="25">
        <f>AE348/((1+'How much will I make'!$C$5/12)^(Calculations!$B$1*12-Calculations!$A348))</f>
        <v>96245.66564485454</v>
      </c>
      <c r="AH348" s="25">
        <f t="shared" si="71"/>
        <v>18234996393.348843</v>
      </c>
    </row>
    <row r="349" spans="1:34" ht="15.75" customHeight="1">
      <c r="A349" s="22">
        <f t="shared" si="55"/>
        <v>345</v>
      </c>
      <c r="B349" s="22">
        <f t="shared" si="78"/>
        <v>1960.0645692293274</v>
      </c>
      <c r="C349" s="25">
        <f t="shared" si="47"/>
        <v>3436.0026874057221</v>
      </c>
      <c r="D349" s="25">
        <f t="shared" si="56"/>
        <v>1217032.6333607086</v>
      </c>
      <c r="E349" s="25">
        <f>$C349/((1+'How much will I make'!$C$5/12)^(Calculations!$B$1*12-Calculations!$A349))</f>
        <v>1960.0645692293274</v>
      </c>
      <c r="F349" s="25">
        <f t="shared" si="57"/>
        <v>368056.07773810328</v>
      </c>
      <c r="G349" s="25">
        <f t="shared" si="48"/>
        <v>6009.3452318713371</v>
      </c>
      <c r="H349" s="25">
        <f t="shared" si="58"/>
        <v>4735298.621277187</v>
      </c>
      <c r="I349" s="25">
        <f>G349/((1+'How much will I make'!$C$5/12)^(Calculations!$B$1*12-Calculations!$A349))</f>
        <v>3428.0254542383541</v>
      </c>
      <c r="J349" s="25">
        <f t="shared" si="59"/>
        <v>1210598.9311629713</v>
      </c>
      <c r="K349" s="25">
        <f t="shared" si="49"/>
        <v>10485.754440039305</v>
      </c>
      <c r="L349" s="25">
        <f t="shared" si="60"/>
        <v>21304806.069504485</v>
      </c>
      <c r="M349" s="25">
        <f>K349/((1+'How much will I make'!$C$5/12)^(Calculations!$B$1*12-Calculations!$A349))</f>
        <v>5981.5889652513788</v>
      </c>
      <c r="N349" s="25">
        <f t="shared" si="61"/>
        <v>4679212.7288936134</v>
      </c>
      <c r="O349" s="25">
        <f t="shared" si="50"/>
        <v>18254.893473075255</v>
      </c>
      <c r="P349" s="25">
        <f t="shared" si="62"/>
        <v>106964750.02271838</v>
      </c>
      <c r="Q349" s="25">
        <f>O349/((1+'How much will I make'!$C$5/12)^(Calculations!$B$1*12-Calculations!$A349))</f>
        <v>10413.48717298181</v>
      </c>
      <c r="R349" s="25">
        <f t="shared" si="63"/>
        <v>20893918.827839077</v>
      </c>
      <c r="S349" s="25">
        <f t="shared" si="51"/>
        <v>31708.386002177995</v>
      </c>
      <c r="T349" s="25">
        <f t="shared" si="64"/>
        <v>578470963.74757612</v>
      </c>
      <c r="U349" s="25">
        <f>S349/((1+'How much will I make'!$C$5/12)^(Calculations!$B$1*12-Calculations!$A349))</f>
        <v>18088.019598506657</v>
      </c>
      <c r="V349" s="25">
        <f t="shared" si="65"/>
        <v>104065918.79607303</v>
      </c>
      <c r="W349" s="25">
        <f t="shared" si="52"/>
        <v>54953.101192662121</v>
      </c>
      <c r="X349" s="25">
        <f t="shared" si="66"/>
        <v>3282115692.4765625</v>
      </c>
      <c r="Y349" s="25">
        <f>W349/((1+'How much will I make'!$C$5/12)^(Calculations!$B$1*12-Calculations!$A349))</f>
        <v>31347.945975658185</v>
      </c>
      <c r="Z349" s="25">
        <f t="shared" si="67"/>
        <v>558250970.58444238</v>
      </c>
      <c r="AA349" s="25">
        <f t="shared" si="53"/>
        <v>95025.77872517104</v>
      </c>
      <c r="AB349" s="25">
        <f t="shared" si="68"/>
        <v>19201247417.107414</v>
      </c>
      <c r="AC349" s="25">
        <f>AA349/((1+'How much will I make'!$C$5/12)^(Calculations!$B$1*12-Calculations!$A349))</f>
        <v>54207.367975972898</v>
      </c>
      <c r="AD349" s="25">
        <f t="shared" si="69"/>
        <v>3141949721.3736024</v>
      </c>
      <c r="AE349" s="25">
        <f t="shared" si="54"/>
        <v>163956.88506041787</v>
      </c>
      <c r="AF349" s="25">
        <f t="shared" si="70"/>
        <v>114559363936.42154</v>
      </c>
      <c r="AG349" s="25">
        <f>AE349/((1+'How much will I make'!$C$5/12)^(Calculations!$B$1*12-Calculations!$A349))</f>
        <v>93529.054114556202</v>
      </c>
      <c r="AH349" s="25">
        <f t="shared" si="71"/>
        <v>18235089922.402958</v>
      </c>
    </row>
    <row r="350" spans="1:34" ht="15.75" customHeight="1">
      <c r="A350" s="22">
        <f t="shared" si="55"/>
        <v>346</v>
      </c>
      <c r="B350" s="22">
        <f t="shared" si="78"/>
        <v>1960.0645692293274</v>
      </c>
      <c r="C350" s="25">
        <f t="shared" si="47"/>
        <v>3421.7454148438715</v>
      </c>
      <c r="D350" s="25">
        <f t="shared" si="56"/>
        <v>1220454.3787755524</v>
      </c>
      <c r="E350" s="25">
        <f>$C350/((1+'How much will I make'!$C$5/12)^(Calculations!$B$1*12-Calculations!$A350))</f>
        <v>1960.0645692293274</v>
      </c>
      <c r="F350" s="25">
        <f t="shared" si="57"/>
        <v>370016.1423073326</v>
      </c>
      <c r="G350" s="25">
        <f t="shared" si="48"/>
        <v>5959.6812216905837</v>
      </c>
      <c r="H350" s="25">
        <f t="shared" si="58"/>
        <v>4741258.302498878</v>
      </c>
      <c r="I350" s="25">
        <f>G350/((1+'How much will I make'!$C$5/12)^(Calculations!$B$1*12-Calculations!$A350))</f>
        <v>3413.8600597993541</v>
      </c>
      <c r="J350" s="25">
        <f t="shared" si="59"/>
        <v>1214012.7912227707</v>
      </c>
      <c r="K350" s="25">
        <f t="shared" si="49"/>
        <v>10356.300681520303</v>
      </c>
      <c r="L350" s="25">
        <f t="shared" si="60"/>
        <v>21315162.370186005</v>
      </c>
      <c r="M350" s="25">
        <f>K350/((1+'How much will I make'!$C$5/12)^(Calculations!$B$1*12-Calculations!$A350))</f>
        <v>5932.3577803521921</v>
      </c>
      <c r="N350" s="25">
        <f t="shared" si="61"/>
        <v>4685145.0866739657</v>
      </c>
      <c r="O350" s="25">
        <f t="shared" si="50"/>
        <v>17955.632924336322</v>
      </c>
      <c r="P350" s="25">
        <f t="shared" si="62"/>
        <v>106982705.65564272</v>
      </c>
      <c r="Q350" s="25">
        <f>O350/((1+'How much will I make'!$C$5/12)^(Calculations!$B$1*12-Calculations!$A350))</f>
        <v>10285.452494625481</v>
      </c>
      <c r="R350" s="25">
        <f t="shared" si="63"/>
        <v>20904204.280333702</v>
      </c>
      <c r="S350" s="25">
        <f t="shared" si="51"/>
        <v>31061.27608376621</v>
      </c>
      <c r="T350" s="25">
        <f t="shared" si="64"/>
        <v>578502025.02365983</v>
      </c>
      <c r="U350" s="25">
        <f>S350/((1+'How much will I make'!$C$5/12)^(Calculations!$B$1*12-Calculations!$A350))</f>
        <v>17792.704992816765</v>
      </c>
      <c r="V350" s="25">
        <f t="shared" si="65"/>
        <v>104083711.50106585</v>
      </c>
      <c r="W350" s="25">
        <f t="shared" si="52"/>
        <v>53612.781651377678</v>
      </c>
      <c r="X350" s="25">
        <f t="shared" si="66"/>
        <v>3282169305.258214</v>
      </c>
      <c r="Y350" s="25">
        <f>W350/((1+'How much will I make'!$C$5/12)^(Calculations!$B$1*12-Calculations!$A350))</f>
        <v>30710.792602169207</v>
      </c>
      <c r="Z350" s="25">
        <f t="shared" si="67"/>
        <v>558281681.37704456</v>
      </c>
      <c r="AA350" s="25">
        <f t="shared" si="53"/>
        <v>92332.740461704641</v>
      </c>
      <c r="AB350" s="25">
        <f t="shared" si="68"/>
        <v>19201339749.847878</v>
      </c>
      <c r="AC350" s="25">
        <f>AA350/((1+'How much will I make'!$C$5/12)^(Calculations!$B$1*12-Calculations!$A350))</f>
        <v>52890.589806516073</v>
      </c>
      <c r="AD350" s="25">
        <f t="shared" si="69"/>
        <v>3142002611.9634089</v>
      </c>
      <c r="AE350" s="25">
        <f t="shared" si="54"/>
        <v>158667.95328427534</v>
      </c>
      <c r="AF350" s="25">
        <f t="shared" si="70"/>
        <v>114559522604.37482</v>
      </c>
      <c r="AG350" s="25">
        <f>AE350/((1+'How much will I make'!$C$5/12)^(Calculations!$B$1*12-Calculations!$A350))</f>
        <v>90889.121135516325</v>
      </c>
      <c r="AH350" s="25">
        <f t="shared" si="71"/>
        <v>18235180811.524094</v>
      </c>
    </row>
    <row r="351" spans="1:34" ht="15.75" customHeight="1">
      <c r="A351" s="22">
        <f t="shared" si="55"/>
        <v>347</v>
      </c>
      <c r="B351" s="22">
        <f t="shared" si="78"/>
        <v>1960.0645692293274</v>
      </c>
      <c r="C351" s="25">
        <f t="shared" si="47"/>
        <v>3407.5473010893329</v>
      </c>
      <c r="D351" s="25">
        <f t="shared" si="56"/>
        <v>1223861.9260766418</v>
      </c>
      <c r="E351" s="25">
        <f>$C351/((1+'How much will I make'!$C$5/12)^(Calculations!$B$1*12-Calculations!$A351))</f>
        <v>1960.0645692293276</v>
      </c>
      <c r="F351" s="25">
        <f t="shared" si="57"/>
        <v>371976.20687656192</v>
      </c>
      <c r="G351" s="25">
        <f t="shared" si="48"/>
        <v>5910.4276578749586</v>
      </c>
      <c r="H351" s="25">
        <f t="shared" si="58"/>
        <v>4747168.7301567532</v>
      </c>
      <c r="I351" s="25">
        <f>G351/((1+'How much will I make'!$C$5/12)^(Calculations!$B$1*12-Calculations!$A351))</f>
        <v>3399.7532000481169</v>
      </c>
      <c r="J351" s="25">
        <f t="shared" si="59"/>
        <v>1217412.5444228188</v>
      </c>
      <c r="K351" s="25">
        <f t="shared" si="49"/>
        <v>10228.445117550915</v>
      </c>
      <c r="L351" s="25">
        <f t="shared" si="60"/>
        <v>21325390.815303557</v>
      </c>
      <c r="M351" s="25">
        <f>K351/((1+'How much will I make'!$C$5/12)^(Calculations!$B$1*12-Calculations!$A351))</f>
        <v>5883.5317903904452</v>
      </c>
      <c r="N351" s="25">
        <f t="shared" si="61"/>
        <v>4691028.6184643563</v>
      </c>
      <c r="O351" s="25">
        <f t="shared" si="50"/>
        <v>17661.278286232449</v>
      </c>
      <c r="P351" s="25">
        <f t="shared" si="62"/>
        <v>107000366.93392895</v>
      </c>
      <c r="Q351" s="25">
        <f>O351/((1+'How much will I make'!$C$5/12)^(Calculations!$B$1*12-Calculations!$A351))</f>
        <v>10158.992013134186</v>
      </c>
      <c r="R351" s="25">
        <f t="shared" si="63"/>
        <v>20914363.272346836</v>
      </c>
      <c r="S351" s="25">
        <f t="shared" si="51"/>
        <v>30427.372490219965</v>
      </c>
      <c r="T351" s="25">
        <f t="shared" si="64"/>
        <v>578532452.39614999</v>
      </c>
      <c r="U351" s="25">
        <f>S351/((1+'How much will I make'!$C$5/12)^(Calculations!$B$1*12-Calculations!$A351))</f>
        <v>17502.211850076903</v>
      </c>
      <c r="V351" s="25">
        <f t="shared" si="65"/>
        <v>104101213.71291593</v>
      </c>
      <c r="W351" s="25">
        <f t="shared" si="52"/>
        <v>52305.152830612373</v>
      </c>
      <c r="X351" s="25">
        <f t="shared" si="66"/>
        <v>3282221610.4110446</v>
      </c>
      <c r="Y351" s="25">
        <f>W351/((1+'How much will I make'!$C$5/12)^(Calculations!$B$1*12-Calculations!$A351))</f>
        <v>30086.589500499103</v>
      </c>
      <c r="Z351" s="25">
        <f t="shared" si="67"/>
        <v>558311767.9665451</v>
      </c>
      <c r="AA351" s="25">
        <f t="shared" si="53"/>
        <v>89716.02312068468</v>
      </c>
      <c r="AB351" s="25">
        <f t="shared" si="68"/>
        <v>19201429465.870998</v>
      </c>
      <c r="AC351" s="25">
        <f>AA351/((1+'How much will I make'!$C$5/12)^(Calculations!$B$1*12-Calculations!$A351))</f>
        <v>51605.798151297065</v>
      </c>
      <c r="AD351" s="25">
        <f t="shared" si="69"/>
        <v>3142054217.7615604</v>
      </c>
      <c r="AE351" s="25">
        <f t="shared" si="54"/>
        <v>153549.63221058901</v>
      </c>
      <c r="AF351" s="25">
        <f t="shared" si="70"/>
        <v>114559676154.00703</v>
      </c>
      <c r="AG351" s="25">
        <f>AE351/((1+'How much will I make'!$C$5/12)^(Calculations!$B$1*12-Calculations!$A351))</f>
        <v>88323.702393788029</v>
      </c>
      <c r="AH351" s="25">
        <f t="shared" si="71"/>
        <v>18235269135.226486</v>
      </c>
    </row>
    <row r="352" spans="1:34" ht="15.75" customHeight="1">
      <c r="A352" s="22">
        <f t="shared" si="55"/>
        <v>348</v>
      </c>
      <c r="B352" s="22">
        <f t="shared" si="78"/>
        <v>1960.0645692293274</v>
      </c>
      <c r="C352" s="25">
        <f t="shared" si="47"/>
        <v>3393.4081006698748</v>
      </c>
      <c r="D352" s="25">
        <f t="shared" si="56"/>
        <v>1227255.3341773117</v>
      </c>
      <c r="E352" s="25">
        <f>$C352/((1+'How much will I make'!$C$5/12)^(Calculations!$B$1*12-Calculations!$A352))</f>
        <v>1960.0645692293274</v>
      </c>
      <c r="F352" s="25">
        <f t="shared" si="57"/>
        <v>373936.27144579124</v>
      </c>
      <c r="G352" s="25">
        <f t="shared" si="48"/>
        <v>5861.5811483057441</v>
      </c>
      <c r="H352" s="25">
        <f t="shared" si="58"/>
        <v>4753030.3113050591</v>
      </c>
      <c r="I352" s="25">
        <f>G352/((1+'How much will I make'!$C$5/12)^(Calculations!$B$1*12-Calculations!$A352))</f>
        <v>3385.7046331057695</v>
      </c>
      <c r="J352" s="25">
        <f t="shared" si="59"/>
        <v>1220798.2490559246</v>
      </c>
      <c r="K352" s="25">
        <f t="shared" si="49"/>
        <v>10102.168017334239</v>
      </c>
      <c r="L352" s="25">
        <f t="shared" si="60"/>
        <v>21335492.983320892</v>
      </c>
      <c r="M352" s="25">
        <f>K352/((1+'How much will I make'!$C$5/12)^(Calculations!$B$1*12-Calculations!$A352))</f>
        <v>5835.1076604283853</v>
      </c>
      <c r="N352" s="25">
        <f t="shared" si="61"/>
        <v>4696863.7261247849</v>
      </c>
      <c r="O352" s="25">
        <f t="shared" si="50"/>
        <v>17371.749133999128</v>
      </c>
      <c r="P352" s="25">
        <f t="shared" si="62"/>
        <v>107017738.68306296</v>
      </c>
      <c r="Q352" s="25">
        <f>O352/((1+'How much will I make'!$C$5/12)^(Calculations!$B$1*12-Calculations!$A352))</f>
        <v>10034.086373628435</v>
      </c>
      <c r="R352" s="25">
        <f t="shared" si="63"/>
        <v>20924397.358720463</v>
      </c>
      <c r="S352" s="25">
        <f t="shared" si="51"/>
        <v>29806.40570470527</v>
      </c>
      <c r="T352" s="25">
        <f t="shared" si="64"/>
        <v>578562258.80185473</v>
      </c>
      <c r="U352" s="25">
        <f>S352/((1+'How much will I make'!$C$5/12)^(Calculations!$B$1*12-Calculations!$A352))</f>
        <v>17216.461452524625</v>
      </c>
      <c r="V352" s="25">
        <f t="shared" si="65"/>
        <v>104118430.17436846</v>
      </c>
      <c r="W352" s="25">
        <f t="shared" si="52"/>
        <v>51029.417395719393</v>
      </c>
      <c r="X352" s="25">
        <f t="shared" si="66"/>
        <v>3282272639.8284402</v>
      </c>
      <c r="Y352" s="25">
        <f>W352/((1+'How much will I make'!$C$5/12)^(Calculations!$B$1*12-Calculations!$A352))</f>
        <v>29475.073453740995</v>
      </c>
      <c r="Z352" s="25">
        <f t="shared" si="67"/>
        <v>558341243.03999889</v>
      </c>
      <c r="AA352" s="25">
        <f t="shared" si="53"/>
        <v>87173.463760989165</v>
      </c>
      <c r="AB352" s="25">
        <f t="shared" si="68"/>
        <v>19201516639.334759</v>
      </c>
      <c r="AC352" s="25">
        <f>AA352/((1+'How much will I make'!$C$5/12)^(Calculations!$B$1*12-Calculations!$A352))</f>
        <v>50352.216009970012</v>
      </c>
      <c r="AD352" s="25">
        <f t="shared" si="69"/>
        <v>3142104569.9775705</v>
      </c>
      <c r="AE352" s="25">
        <f t="shared" si="54"/>
        <v>148596.41826831194</v>
      </c>
      <c r="AF352" s="25">
        <f t="shared" si="70"/>
        <v>114559824750.42531</v>
      </c>
      <c r="AG352" s="25">
        <f>AE352/((1+'How much will I make'!$C$5/12)^(Calculations!$B$1*12-Calculations!$A352))</f>
        <v>85830.694664931099</v>
      </c>
      <c r="AH352" s="25">
        <f t="shared" si="71"/>
        <v>18235354965.92115</v>
      </c>
    </row>
    <row r="353" spans="1:34" ht="15.75" customHeight="1">
      <c r="A353" s="22">
        <f t="shared" si="55"/>
        <v>349</v>
      </c>
      <c r="B353" s="22">
        <f>B352*(1+'How much will I make'!$C$4)</f>
        <v>2058.0677976907937</v>
      </c>
      <c r="C353" s="25">
        <f t="shared" si="47"/>
        <v>3548.2939475884168</v>
      </c>
      <c r="D353" s="25">
        <f t="shared" si="56"/>
        <v>1230803.6281249002</v>
      </c>
      <c r="E353" s="25">
        <f>$C353/((1+'How much will I make'!$C$5/12)^(Calculations!$B$1*12-Calculations!$A353))</f>
        <v>2058.0677976907937</v>
      </c>
      <c r="F353" s="25">
        <f t="shared" si="57"/>
        <v>375994.33924348204</v>
      </c>
      <c r="G353" s="25">
        <f t="shared" si="48"/>
        <v>6103.7952453431717</v>
      </c>
      <c r="H353" s="25">
        <f t="shared" si="58"/>
        <v>4759134.106550402</v>
      </c>
      <c r="I353" s="25">
        <f>G353/((1+'How much will I make'!$C$5/12)^(Calculations!$B$1*12-Calculations!$A353))</f>
        <v>3540.2998239975823</v>
      </c>
      <c r="J353" s="25">
        <f t="shared" si="59"/>
        <v>1224338.5488799221</v>
      </c>
      <c r="K353" s="25">
        <f t="shared" si="49"/>
        <v>10476.322388346616</v>
      </c>
      <c r="L353" s="25">
        <f t="shared" si="60"/>
        <v>21345969.305709239</v>
      </c>
      <c r="M353" s="25">
        <f>K353/((1+'How much will I make'!$C$5/12)^(Calculations!$B$1*12-Calculations!$A353))</f>
        <v>6076.4361871251131</v>
      </c>
      <c r="N353" s="25">
        <f t="shared" si="61"/>
        <v>4702940.1623119097</v>
      </c>
      <c r="O353" s="25">
        <f t="shared" si="50"/>
        <v>17941.314679376148</v>
      </c>
      <c r="P353" s="25">
        <f t="shared" si="62"/>
        <v>107035679.99774233</v>
      </c>
      <c r="Q353" s="25">
        <f>O353/((1+'How much will I make'!$C$5/12)^(Calculations!$B$1*12-Calculations!$A353))</f>
        <v>10406.252282158506</v>
      </c>
      <c r="R353" s="25">
        <f t="shared" si="63"/>
        <v>20934803.61100262</v>
      </c>
      <c r="S353" s="25">
        <f t="shared" si="51"/>
        <v>30658.017296268277</v>
      </c>
      <c r="T353" s="25">
        <f t="shared" si="64"/>
        <v>578592916.81915104</v>
      </c>
      <c r="U353" s="25">
        <f>S353/((1+'How much will I make'!$C$5/12)^(Calculations!$B$1*12-Calculations!$A353))</f>
        <v>17782.145185964717</v>
      </c>
      <c r="V353" s="25">
        <f t="shared" si="65"/>
        <v>104136212.31955442</v>
      </c>
      <c r="W353" s="25">
        <f t="shared" si="52"/>
        <v>52274.037332200358</v>
      </c>
      <c r="X353" s="25">
        <f t="shared" si="66"/>
        <v>3282324913.8657722</v>
      </c>
      <c r="Y353" s="25">
        <f>W353/((1+'How much will I make'!$C$5/12)^(Calculations!$B$1*12-Calculations!$A353))</f>
        <v>30319.785924671378</v>
      </c>
      <c r="Z353" s="25">
        <f t="shared" si="67"/>
        <v>558371562.82592356</v>
      </c>
      <c r="AA353" s="25">
        <f t="shared" si="53"/>
        <v>88938.108776393827</v>
      </c>
      <c r="AB353" s="25">
        <f t="shared" si="68"/>
        <v>19201605577.443535</v>
      </c>
      <c r="AC353" s="25">
        <f>AA353/((1+'How much will I make'!$C$5/12)^(Calculations!$B$1*12-Calculations!$A353))</f>
        <v>51585.53951952597</v>
      </c>
      <c r="AD353" s="25">
        <f t="shared" si="69"/>
        <v>3142156155.5170898</v>
      </c>
      <c r="AE353" s="25">
        <f t="shared" si="54"/>
        <v>150993.13469199438</v>
      </c>
      <c r="AF353" s="25">
        <f t="shared" si="70"/>
        <v>114559975743.56</v>
      </c>
      <c r="AG353" s="25">
        <f>AE353/((1+'How much will I make'!$C$5/12)^(Calculations!$B$1*12-Calculations!$A353))</f>
        <v>87578.456794196813</v>
      </c>
      <c r="AH353" s="25">
        <f t="shared" si="71"/>
        <v>18235442544.377945</v>
      </c>
    </row>
    <row r="354" spans="1:34" ht="15.75" customHeight="1">
      <c r="A354" s="22">
        <f t="shared" si="55"/>
        <v>350</v>
      </c>
      <c r="B354" s="22">
        <f t="shared" ref="B354:B364" si="79">B353</f>
        <v>2058.0677976907937</v>
      </c>
      <c r="C354" s="25">
        <f t="shared" si="47"/>
        <v>3533.5707361876348</v>
      </c>
      <c r="D354" s="25">
        <f t="shared" si="56"/>
        <v>1234337.1988610879</v>
      </c>
      <c r="E354" s="25">
        <f>$C354/((1+'How much will I make'!$C$5/12)^(Calculations!$B$1*12-Calculations!$A354))</f>
        <v>2058.0677976907937</v>
      </c>
      <c r="F354" s="25">
        <f t="shared" si="57"/>
        <v>378052.40704117285</v>
      </c>
      <c r="G354" s="25">
        <f t="shared" si="48"/>
        <v>6053.3506565386842</v>
      </c>
      <c r="H354" s="25">
        <f t="shared" si="58"/>
        <v>4765187.4572069403</v>
      </c>
      <c r="I354" s="25">
        <f>G354/((1+'How much will I make'!$C$5/12)^(Calculations!$B$1*12-Calculations!$A354))</f>
        <v>3525.6704858818912</v>
      </c>
      <c r="J354" s="25">
        <f t="shared" si="59"/>
        <v>1227864.219365804</v>
      </c>
      <c r="K354" s="25">
        <f t="shared" si="49"/>
        <v>10346.985074910241</v>
      </c>
      <c r="L354" s="25">
        <f t="shared" si="60"/>
        <v>21356316.29078415</v>
      </c>
      <c r="M354" s="25">
        <f>K354/((1+'How much will I make'!$C$5/12)^(Calculations!$B$1*12-Calculations!$A354))</f>
        <v>6026.4243666549492</v>
      </c>
      <c r="N354" s="25">
        <f t="shared" si="61"/>
        <v>4708966.5866785645</v>
      </c>
      <c r="O354" s="25">
        <f t="shared" si="50"/>
        <v>17647.194766599492</v>
      </c>
      <c r="P354" s="25">
        <f t="shared" si="62"/>
        <v>107053327.19250892</v>
      </c>
      <c r="Q354" s="25">
        <f>O354/((1+'How much will I make'!$C$5/12)^(Calculations!$B$1*12-Calculations!$A354))</f>
        <v>10278.306557377871</v>
      </c>
      <c r="R354" s="25">
        <f t="shared" si="63"/>
        <v>20945081.91756</v>
      </c>
      <c r="S354" s="25">
        <f t="shared" si="51"/>
        <v>30032.343473895464</v>
      </c>
      <c r="T354" s="25">
        <f t="shared" si="64"/>
        <v>578622949.16262496</v>
      </c>
      <c r="U354" s="25">
        <f>S354/((1+'How much will I make'!$C$5/12)^(Calculations!$B$1*12-Calculations!$A354))</f>
        <v>17491.824448234689</v>
      </c>
      <c r="V354" s="25">
        <f t="shared" si="65"/>
        <v>104153704.14400265</v>
      </c>
      <c r="W354" s="25">
        <f t="shared" si="52"/>
        <v>50999.060811902789</v>
      </c>
      <c r="X354" s="25">
        <f t="shared" si="66"/>
        <v>3282375912.9265842</v>
      </c>
      <c r="Y354" s="25">
        <f>W354/((1+'How much will I make'!$C$5/12)^(Calculations!$B$1*12-Calculations!$A354))</f>
        <v>29703.53011319432</v>
      </c>
      <c r="Z354" s="25">
        <f t="shared" si="67"/>
        <v>558401266.35603678</v>
      </c>
      <c r="AA354" s="25">
        <f t="shared" si="53"/>
        <v>86417.595572204533</v>
      </c>
      <c r="AB354" s="25">
        <f t="shared" si="68"/>
        <v>19201691995.039108</v>
      </c>
      <c r="AC354" s="25">
        <f>AA354/((1+'How much will I make'!$C$5/12)^(Calculations!$B$1*12-Calculations!$A354))</f>
        <v>50332.44949071158</v>
      </c>
      <c r="AD354" s="25">
        <f t="shared" si="69"/>
        <v>3142206487.9665804</v>
      </c>
      <c r="AE354" s="25">
        <f t="shared" si="54"/>
        <v>146122.38841160745</v>
      </c>
      <c r="AF354" s="25">
        <f t="shared" si="70"/>
        <v>114560121865.94841</v>
      </c>
      <c r="AG354" s="25">
        <f>AE354/((1+'How much will I make'!$C$5/12)^(Calculations!$B$1*12-Calculations!$A354))</f>
        <v>85106.484223392879</v>
      </c>
      <c r="AH354" s="25">
        <f t="shared" si="71"/>
        <v>18235527650.862167</v>
      </c>
    </row>
    <row r="355" spans="1:34" ht="15.75" customHeight="1">
      <c r="A355" s="22">
        <f t="shared" si="55"/>
        <v>351</v>
      </c>
      <c r="B355" s="22">
        <f t="shared" si="79"/>
        <v>2058.0677976907937</v>
      </c>
      <c r="C355" s="25">
        <f t="shared" si="47"/>
        <v>3518.9086169503416</v>
      </c>
      <c r="D355" s="25">
        <f t="shared" si="56"/>
        <v>1237856.1074780382</v>
      </c>
      <c r="E355" s="25">
        <f>$C355/((1+'How much will I make'!$C$5/12)^(Calculations!$B$1*12-Calculations!$A355))</f>
        <v>2058.0677976907937</v>
      </c>
      <c r="F355" s="25">
        <f t="shared" si="57"/>
        <v>380110.47483886365</v>
      </c>
      <c r="G355" s="25">
        <f t="shared" si="48"/>
        <v>6003.3229651623305</v>
      </c>
      <c r="H355" s="25">
        <f t="shared" si="58"/>
        <v>4771190.7801721022</v>
      </c>
      <c r="I355" s="25">
        <f>G355/((1+'How much will I make'!$C$5/12)^(Calculations!$B$1*12-Calculations!$A355))</f>
        <v>3511.1015995765938</v>
      </c>
      <c r="J355" s="25">
        <f t="shared" si="59"/>
        <v>1231375.3209653806</v>
      </c>
      <c r="K355" s="25">
        <f t="shared" si="49"/>
        <v>10219.244518429867</v>
      </c>
      <c r="L355" s="25">
        <f t="shared" si="60"/>
        <v>21366535.535302579</v>
      </c>
      <c r="M355" s="25">
        <f>K355/((1+'How much will I make'!$C$5/12)^(Calculations!$B$1*12-Calculations!$A355))</f>
        <v>5976.8241661063494</v>
      </c>
      <c r="N355" s="25">
        <f t="shared" si="61"/>
        <v>4714943.4108446706</v>
      </c>
      <c r="O355" s="25">
        <f t="shared" si="50"/>
        <v>17357.896491737207</v>
      </c>
      <c r="P355" s="25">
        <f t="shared" si="62"/>
        <v>107070685.08900066</v>
      </c>
      <c r="Q355" s="25">
        <f>O355/((1+'How much will I make'!$C$5/12)^(Calculations!$B$1*12-Calculations!$A355))</f>
        <v>10151.933935770767</v>
      </c>
      <c r="R355" s="25">
        <f t="shared" si="63"/>
        <v>20955233.851495773</v>
      </c>
      <c r="S355" s="25">
        <f t="shared" si="51"/>
        <v>29419.438505040456</v>
      </c>
      <c r="T355" s="25">
        <f t="shared" si="64"/>
        <v>578652368.60113001</v>
      </c>
      <c r="U355" s="25">
        <f>S355/((1+'How much will I make'!$C$5/12)^(Calculations!$B$1*12-Calculations!$A355))</f>
        <v>17206.243640916575</v>
      </c>
      <c r="V355" s="25">
        <f t="shared" si="65"/>
        <v>104170910.38764356</v>
      </c>
      <c r="W355" s="25">
        <f t="shared" si="52"/>
        <v>49755.181279905155</v>
      </c>
      <c r="X355" s="25">
        <f t="shared" si="66"/>
        <v>3282425668.1078644</v>
      </c>
      <c r="Y355" s="25">
        <f>W355/((1+'How much will I make'!$C$5/12)^(Calculations!$B$1*12-Calculations!$A355))</f>
        <v>29099.799826340775</v>
      </c>
      <c r="Z355" s="25">
        <f t="shared" si="67"/>
        <v>558430366.15586317</v>
      </c>
      <c r="AA355" s="25">
        <f t="shared" si="53"/>
        <v>83968.513916312106</v>
      </c>
      <c r="AB355" s="25">
        <f t="shared" si="68"/>
        <v>19201775963.553024</v>
      </c>
      <c r="AC355" s="25">
        <f>AA355/((1+'How much will I make'!$C$5/12)^(Calculations!$B$1*12-Calculations!$A355))</f>
        <v>49109.798895795517</v>
      </c>
      <c r="AD355" s="25">
        <f t="shared" si="69"/>
        <v>3142255597.7654762</v>
      </c>
      <c r="AE355" s="25">
        <f t="shared" si="54"/>
        <v>141408.76297897493</v>
      </c>
      <c r="AF355" s="25">
        <f t="shared" si="70"/>
        <v>114560263274.7114</v>
      </c>
      <c r="AG355" s="25">
        <f>AE355/((1+'How much will I make'!$C$5/12)^(Calculations!$B$1*12-Calculations!$A355))</f>
        <v>82704.285071926133</v>
      </c>
      <c r="AH355" s="25">
        <f t="shared" si="71"/>
        <v>18235610355.14724</v>
      </c>
    </row>
    <row r="356" spans="1:34" ht="15.75" customHeight="1">
      <c r="A356" s="22">
        <f t="shared" si="55"/>
        <v>352</v>
      </c>
      <c r="B356" s="22">
        <f t="shared" si="79"/>
        <v>2058.0677976907937</v>
      </c>
      <c r="C356" s="25">
        <f t="shared" si="47"/>
        <v>3504.3073363820831</v>
      </c>
      <c r="D356" s="25">
        <f t="shared" si="56"/>
        <v>1241360.4148144203</v>
      </c>
      <c r="E356" s="25">
        <f>$C356/((1+'How much will I make'!$C$5/12)^(Calculations!$B$1*12-Calculations!$A356))</f>
        <v>2058.0677976907937</v>
      </c>
      <c r="F356" s="25">
        <f t="shared" si="57"/>
        <v>382168.54263655446</v>
      </c>
      <c r="G356" s="25">
        <f t="shared" si="48"/>
        <v>5953.7087257808244</v>
      </c>
      <c r="H356" s="25">
        <f t="shared" si="58"/>
        <v>4777144.4888978833</v>
      </c>
      <c r="I356" s="25">
        <f>G356/((1+'How much will I make'!$C$5/12)^(Calculations!$B$1*12-Calculations!$A356))</f>
        <v>3496.592915280823</v>
      </c>
      <c r="J356" s="25">
        <f t="shared" si="59"/>
        <v>1234871.9138806614</v>
      </c>
      <c r="K356" s="25">
        <f t="shared" si="49"/>
        <v>10093.081005856659</v>
      </c>
      <c r="L356" s="25">
        <f t="shared" si="60"/>
        <v>21376628.616308436</v>
      </c>
      <c r="M356" s="25">
        <f>K356/((1+'How much will I make'!$C$5/12)^(Calculations!$B$1*12-Calculations!$A356))</f>
        <v>5927.6321976610288</v>
      </c>
      <c r="N356" s="25">
        <f t="shared" si="61"/>
        <v>4720871.0430423319</v>
      </c>
      <c r="O356" s="25">
        <f t="shared" si="50"/>
        <v>17073.340811544793</v>
      </c>
      <c r="P356" s="25">
        <f t="shared" si="62"/>
        <v>107087758.42981221</v>
      </c>
      <c r="Q356" s="25">
        <f>O356/((1+'How much will I make'!$C$5/12)^(Calculations!$B$1*12-Calculations!$A356))</f>
        <v>10027.115075904732</v>
      </c>
      <c r="R356" s="25">
        <f t="shared" si="63"/>
        <v>20965260.966571677</v>
      </c>
      <c r="S356" s="25">
        <f t="shared" si="51"/>
        <v>28819.041800855961</v>
      </c>
      <c r="T356" s="25">
        <f t="shared" si="64"/>
        <v>578681187.64293087</v>
      </c>
      <c r="U356" s="25">
        <f>S356/((1+'How much will I make'!$C$5/12)^(Calculations!$B$1*12-Calculations!$A356))</f>
        <v>16925.325377391408</v>
      </c>
      <c r="V356" s="25">
        <f t="shared" si="65"/>
        <v>104187835.71302095</v>
      </c>
      <c r="W356" s="25">
        <f t="shared" si="52"/>
        <v>48541.640273078207</v>
      </c>
      <c r="X356" s="25">
        <f t="shared" si="66"/>
        <v>3282474209.7481375</v>
      </c>
      <c r="Y356" s="25">
        <f>W356/((1+'How much will I make'!$C$5/12)^(Calculations!$B$1*12-Calculations!$A356))</f>
        <v>28508.34048027694</v>
      </c>
      <c r="Z356" s="25">
        <f t="shared" si="67"/>
        <v>558458874.49634349</v>
      </c>
      <c r="AA356" s="25">
        <f t="shared" si="53"/>
        <v>81588.839432853871</v>
      </c>
      <c r="AB356" s="25">
        <f t="shared" si="68"/>
        <v>19201857552.392456</v>
      </c>
      <c r="AC356" s="25">
        <f>AA356/((1+'How much will I make'!$C$5/12)^(Calculations!$B$1*12-Calculations!$A356))</f>
        <v>47916.848315330848</v>
      </c>
      <c r="AD356" s="25">
        <f t="shared" si="69"/>
        <v>3142303514.6137915</v>
      </c>
      <c r="AE356" s="25">
        <f t="shared" si="54"/>
        <v>136847.18997965317</v>
      </c>
      <c r="AF356" s="25">
        <f t="shared" si="70"/>
        <v>114560400121.90138</v>
      </c>
      <c r="AG356" s="25">
        <f>AE356/((1+'How much will I make'!$C$5/12)^(Calculations!$B$1*12-Calculations!$A356))</f>
        <v>80369.889928766934</v>
      </c>
      <c r="AH356" s="25">
        <f t="shared" si="71"/>
        <v>18235690725.037167</v>
      </c>
    </row>
    <row r="357" spans="1:34" ht="15.75" customHeight="1">
      <c r="A357" s="22">
        <f t="shared" si="55"/>
        <v>353</v>
      </c>
      <c r="B357" s="22">
        <f t="shared" si="79"/>
        <v>2058.0677976907937</v>
      </c>
      <c r="C357" s="25">
        <f t="shared" si="47"/>
        <v>3489.7666420402502</v>
      </c>
      <c r="D357" s="25">
        <f t="shared" si="56"/>
        <v>1244850.1814564606</v>
      </c>
      <c r="E357" s="25">
        <f>$C357/((1+'How much will I make'!$C$5/12)^(Calculations!$B$1*12-Calculations!$A357))</f>
        <v>2058.0677976907937</v>
      </c>
      <c r="F357" s="25">
        <f t="shared" si="57"/>
        <v>384226.61043424526</v>
      </c>
      <c r="G357" s="25">
        <f t="shared" si="48"/>
        <v>5904.5045214355287</v>
      </c>
      <c r="H357" s="25">
        <f t="shared" si="58"/>
        <v>4783048.9934193185</v>
      </c>
      <c r="I357" s="25">
        <f>G357/((1+'How much will I make'!$C$5/12)^(Calculations!$B$1*12-Calculations!$A357))</f>
        <v>3482.1441842259424</v>
      </c>
      <c r="J357" s="25">
        <f t="shared" si="59"/>
        <v>1238354.0580648873</v>
      </c>
      <c r="K357" s="25">
        <f t="shared" si="49"/>
        <v>9968.4750675127489</v>
      </c>
      <c r="L357" s="25">
        <f t="shared" si="60"/>
        <v>21386597.091375947</v>
      </c>
      <c r="M357" s="25">
        <f>K357/((1+'How much will I make'!$C$5/12)^(Calculations!$B$1*12-Calculations!$A357))</f>
        <v>5878.8451013839813</v>
      </c>
      <c r="N357" s="25">
        <f t="shared" si="61"/>
        <v>4726749.8881437164</v>
      </c>
      <c r="O357" s="25">
        <f t="shared" si="50"/>
        <v>16793.449978568649</v>
      </c>
      <c r="P357" s="25">
        <f t="shared" si="62"/>
        <v>107104551.87979078</v>
      </c>
      <c r="Q357" s="25">
        <f>O357/((1+'How much will I make'!$C$5/12)^(Calculations!$B$1*12-Calculations!$A357))</f>
        <v>9903.8308741518013</v>
      </c>
      <c r="R357" s="25">
        <f t="shared" si="63"/>
        <v>20975164.79744583</v>
      </c>
      <c r="S357" s="25">
        <f t="shared" si="51"/>
        <v>28230.898090634411</v>
      </c>
      <c r="T357" s="25">
        <f t="shared" si="64"/>
        <v>578709418.54102147</v>
      </c>
      <c r="U357" s="25">
        <f>S357/((1+'How much will I make'!$C$5/12)^(Calculations!$B$1*12-Calculations!$A357))</f>
        <v>16648.993534495214</v>
      </c>
      <c r="V357" s="25">
        <f t="shared" si="65"/>
        <v>104204484.70655544</v>
      </c>
      <c r="W357" s="25">
        <f t="shared" si="52"/>
        <v>47357.697827393386</v>
      </c>
      <c r="X357" s="25">
        <f t="shared" si="66"/>
        <v>3282521567.4459648</v>
      </c>
      <c r="Y357" s="25">
        <f>W357/((1+'How much will I make'!$C$5/12)^(Calculations!$B$1*12-Calculations!$A357))</f>
        <v>27928.902665637164</v>
      </c>
      <c r="Z357" s="25">
        <f t="shared" si="67"/>
        <v>558486803.39900911</v>
      </c>
      <c r="AA357" s="25">
        <f t="shared" si="53"/>
        <v>79276.605116943058</v>
      </c>
      <c r="AB357" s="25">
        <f t="shared" si="68"/>
        <v>19201936828.997574</v>
      </c>
      <c r="AC357" s="25">
        <f>AA357/((1+'How much will I make'!$C$5/12)^(Calculations!$B$1*12-Calculations!$A357))</f>
        <v>46752.876291476656</v>
      </c>
      <c r="AD357" s="25">
        <f t="shared" si="69"/>
        <v>3142350267.4900827</v>
      </c>
      <c r="AE357" s="25">
        <f t="shared" si="54"/>
        <v>132432.7644964385</v>
      </c>
      <c r="AF357" s="25">
        <f t="shared" si="70"/>
        <v>114560532554.66588</v>
      </c>
      <c r="AG357" s="25">
        <f>AE357/((1+'How much will I make'!$C$5/12)^(Calculations!$B$1*12-Calculations!$A357))</f>
        <v>78101.384971100066</v>
      </c>
      <c r="AH357" s="25">
        <f t="shared" si="71"/>
        <v>18235768826.422138</v>
      </c>
    </row>
    <row r="358" spans="1:34" ht="15.75" customHeight="1">
      <c r="A358" s="22">
        <f t="shared" si="55"/>
        <v>354</v>
      </c>
      <c r="B358" s="22">
        <f t="shared" si="79"/>
        <v>2058.0677976907937</v>
      </c>
      <c r="C358" s="25">
        <f t="shared" si="47"/>
        <v>3475.286282529707</v>
      </c>
      <c r="D358" s="25">
        <f t="shared" si="56"/>
        <v>1248325.4677389904</v>
      </c>
      <c r="E358" s="25">
        <f>$C358/((1+'How much will I make'!$C$5/12)^(Calculations!$B$1*12-Calculations!$A358))</f>
        <v>2058.0677976907937</v>
      </c>
      <c r="F358" s="25">
        <f t="shared" si="57"/>
        <v>386284.67823193606</v>
      </c>
      <c r="G358" s="25">
        <f t="shared" si="48"/>
        <v>5855.7069634071368</v>
      </c>
      <c r="H358" s="25">
        <f t="shared" si="58"/>
        <v>4788904.7003827253</v>
      </c>
      <c r="I358" s="25">
        <f>G358/((1+'How much will I make'!$C$5/12)^(Calculations!$B$1*12-Calculations!$A358))</f>
        <v>3467.7551586712925</v>
      </c>
      <c r="J358" s="25">
        <f t="shared" si="59"/>
        <v>1241821.8132235585</v>
      </c>
      <c r="K358" s="25">
        <f t="shared" si="49"/>
        <v>9845.4074740866672</v>
      </c>
      <c r="L358" s="25">
        <f t="shared" si="60"/>
        <v>21396442.498850033</v>
      </c>
      <c r="M358" s="25">
        <f>K358/((1+'How much will I make'!$C$5/12)^(Calculations!$B$1*12-Calculations!$A358))</f>
        <v>5830.4595449939943</v>
      </c>
      <c r="N358" s="25">
        <f t="shared" si="61"/>
        <v>4732580.3476887103</v>
      </c>
      <c r="O358" s="25">
        <f t="shared" si="50"/>
        <v>16518.147519903596</v>
      </c>
      <c r="P358" s="25">
        <f t="shared" si="62"/>
        <v>107121070.02731068</v>
      </c>
      <c r="Q358" s="25">
        <f>O358/((1+'How much will I make'!$C$5/12)^(Calculations!$B$1*12-Calculations!$A358))</f>
        <v>9782.062461764699</v>
      </c>
      <c r="R358" s="25">
        <f t="shared" si="63"/>
        <v>20984946.859907594</v>
      </c>
      <c r="S358" s="25">
        <f t="shared" si="51"/>
        <v>27654.757313274531</v>
      </c>
      <c r="T358" s="25">
        <f t="shared" si="64"/>
        <v>578737073.29833472</v>
      </c>
      <c r="U358" s="25">
        <f>S358/((1+'How much will I make'!$C$5/12)^(Calculations!$B$1*12-Calculations!$A358))</f>
        <v>16377.173231891224</v>
      </c>
      <c r="V358" s="25">
        <f t="shared" si="65"/>
        <v>104220861.87978733</v>
      </c>
      <c r="W358" s="25">
        <f t="shared" si="52"/>
        <v>46202.632026725238</v>
      </c>
      <c r="X358" s="25">
        <f t="shared" si="66"/>
        <v>3282567770.0779915</v>
      </c>
      <c r="Y358" s="25">
        <f>W358/((1+'How much will I make'!$C$5/12)^(Calculations!$B$1*12-Calculations!$A358))</f>
        <v>27361.242042351863</v>
      </c>
      <c r="Z358" s="25">
        <f t="shared" si="67"/>
        <v>558514164.64105141</v>
      </c>
      <c r="AA358" s="25">
        <f t="shared" si="53"/>
        <v>77029.899708770594</v>
      </c>
      <c r="AB358" s="25">
        <f t="shared" si="68"/>
        <v>19202013858.897282</v>
      </c>
      <c r="AC358" s="25">
        <f>AA358/((1+'How much will I make'!$C$5/12)^(Calculations!$B$1*12-Calculations!$A358))</f>
        <v>45617.178891683739</v>
      </c>
      <c r="AD358" s="25">
        <f t="shared" si="69"/>
        <v>3142395884.6689744</v>
      </c>
      <c r="AE358" s="25">
        <f t="shared" si="54"/>
        <v>128160.73983526306</v>
      </c>
      <c r="AF358" s="25">
        <f t="shared" si="70"/>
        <v>114560660715.40572</v>
      </c>
      <c r="AG358" s="25">
        <f>AE358/((1+'How much will I make'!$C$5/12)^(Calculations!$B$1*12-Calculations!$A358))</f>
        <v>75896.910395302926</v>
      </c>
      <c r="AH358" s="25">
        <f t="shared" si="71"/>
        <v>18235844723.332535</v>
      </c>
    </row>
    <row r="359" spans="1:34" ht="15.75" customHeight="1">
      <c r="A359" s="22">
        <f t="shared" si="55"/>
        <v>355</v>
      </c>
      <c r="B359" s="22">
        <f t="shared" si="79"/>
        <v>2058.0677976907937</v>
      </c>
      <c r="C359" s="25">
        <f t="shared" si="47"/>
        <v>3460.8660074984641</v>
      </c>
      <c r="D359" s="25">
        <f t="shared" si="56"/>
        <v>1251786.3337464889</v>
      </c>
      <c r="E359" s="25">
        <f>$C359/((1+'How much will I make'!$C$5/12)^(Calculations!$B$1*12-Calculations!$A359))</f>
        <v>2058.0677976907937</v>
      </c>
      <c r="F359" s="25">
        <f t="shared" si="57"/>
        <v>388342.74602962687</v>
      </c>
      <c r="G359" s="25">
        <f t="shared" si="48"/>
        <v>5807.3126909822831</v>
      </c>
      <c r="H359" s="25">
        <f t="shared" si="58"/>
        <v>4794712.0130737079</v>
      </c>
      <c r="I359" s="25">
        <f>G359/((1+'How much will I make'!$C$5/12)^(Calculations!$B$1*12-Calculations!$A359))</f>
        <v>3453.425591899922</v>
      </c>
      <c r="J359" s="25">
        <f t="shared" si="59"/>
        <v>1245275.2388154585</v>
      </c>
      <c r="K359" s="25">
        <f t="shared" si="49"/>
        <v>9723.8592336658421</v>
      </c>
      <c r="L359" s="25">
        <f t="shared" si="60"/>
        <v>21406166.358083699</v>
      </c>
      <c r="M359" s="25">
        <f>K359/((1+'How much will I make'!$C$5/12)^(Calculations!$B$1*12-Calculations!$A359))</f>
        <v>5782.4722236360167</v>
      </c>
      <c r="N359" s="25">
        <f t="shared" si="61"/>
        <v>4738362.8199123461</v>
      </c>
      <c r="O359" s="25">
        <f t="shared" si="50"/>
        <v>16247.35821629862</v>
      </c>
      <c r="P359" s="25">
        <f t="shared" si="62"/>
        <v>107137317.38552698</v>
      </c>
      <c r="Q359" s="25">
        <f>O359/((1+'How much will I make'!$C$5/12)^(Calculations!$B$1*12-Calculations!$A359))</f>
        <v>9661.7912019889027</v>
      </c>
      <c r="R359" s="25">
        <f t="shared" si="63"/>
        <v>20994608.651109584</v>
      </c>
      <c r="S359" s="25">
        <f t="shared" si="51"/>
        <v>27090.374510962814</v>
      </c>
      <c r="T359" s="25">
        <f t="shared" si="64"/>
        <v>578764163.67284572</v>
      </c>
      <c r="U359" s="25">
        <f>S359/((1+'How much will I make'!$C$5/12)^(Calculations!$B$1*12-Calculations!$A359))</f>
        <v>16109.790811778717</v>
      </c>
      <c r="V359" s="25">
        <f t="shared" si="65"/>
        <v>104236971.6705991</v>
      </c>
      <c r="W359" s="25">
        <f t="shared" si="52"/>
        <v>45075.738562658786</v>
      </c>
      <c r="X359" s="25">
        <f t="shared" si="66"/>
        <v>3282612845.8165541</v>
      </c>
      <c r="Y359" s="25">
        <f>W359/((1+'How much will I make'!$C$5/12)^(Calculations!$B$1*12-Calculations!$A359))</f>
        <v>26805.119236613009</v>
      </c>
      <c r="Z359" s="25">
        <f t="shared" si="67"/>
        <v>558540969.760288</v>
      </c>
      <c r="AA359" s="25">
        <f t="shared" si="53"/>
        <v>74846.866113785189</v>
      </c>
      <c r="AB359" s="25">
        <f t="shared" si="68"/>
        <v>19202088705.763397</v>
      </c>
      <c r="AC359" s="25">
        <f>AA359/((1+'How much will I make'!$C$5/12)^(Calculations!$B$1*12-Calculations!$A359))</f>
        <v>44509.06928297886</v>
      </c>
      <c r="AD359" s="25">
        <f t="shared" si="69"/>
        <v>3142440393.7382574</v>
      </c>
      <c r="AE359" s="25">
        <f t="shared" si="54"/>
        <v>124026.52242122233</v>
      </c>
      <c r="AF359" s="25">
        <f t="shared" si="70"/>
        <v>114560784741.92813</v>
      </c>
      <c r="AG359" s="25">
        <f>AE359/((1+'How much will I make'!$C$5/12)^(Calculations!$B$1*12-Calculations!$A359))</f>
        <v>73754.6588922097</v>
      </c>
      <c r="AH359" s="25">
        <f t="shared" si="71"/>
        <v>18235918477.991428</v>
      </c>
    </row>
    <row r="360" spans="1:34" ht="15.75" customHeight="1">
      <c r="A360" s="22">
        <f t="shared" si="55"/>
        <v>356</v>
      </c>
      <c r="B360" s="22">
        <f t="shared" si="79"/>
        <v>2058.0677976907937</v>
      </c>
      <c r="C360" s="25">
        <f t="shared" si="47"/>
        <v>3446.5055676333254</v>
      </c>
      <c r="D360" s="25">
        <f t="shared" si="56"/>
        <v>1255232.8393141222</v>
      </c>
      <c r="E360" s="25">
        <f>$C360/((1+'How much will I make'!$C$5/12)^(Calculations!$B$1*12-Calculations!$A360))</f>
        <v>2058.0677976907937</v>
      </c>
      <c r="F360" s="25">
        <f t="shared" si="57"/>
        <v>390400.81382731767</v>
      </c>
      <c r="G360" s="25">
        <f t="shared" si="48"/>
        <v>5759.3183712221007</v>
      </c>
      <c r="H360" s="25">
        <f t="shared" si="58"/>
        <v>4800471.3314449303</v>
      </c>
      <c r="I360" s="25">
        <f>G360/((1+'How much will I make'!$C$5/12)^(Calculations!$B$1*12-Calculations!$A360))</f>
        <v>3439.1552382143864</v>
      </c>
      <c r="J360" s="25">
        <f t="shared" si="59"/>
        <v>1248714.3940536729</v>
      </c>
      <c r="K360" s="25">
        <f t="shared" si="49"/>
        <v>9603.811588805771</v>
      </c>
      <c r="L360" s="25">
        <f t="shared" si="60"/>
        <v>21415770.169672504</v>
      </c>
      <c r="M360" s="25">
        <f>K360/((1+'How much will I make'!$C$5/12)^(Calculations!$B$1*12-Calculations!$A360))</f>
        <v>5734.8798596554743</v>
      </c>
      <c r="N360" s="25">
        <f t="shared" si="61"/>
        <v>4744097.6997720012</v>
      </c>
      <c r="O360" s="25">
        <f t="shared" si="50"/>
        <v>15981.008081605198</v>
      </c>
      <c r="P360" s="25">
        <f t="shared" si="62"/>
        <v>107153298.39360859</v>
      </c>
      <c r="Q360" s="25">
        <f>O360/((1+'How much will I make'!$C$5/12)^(Calculations!$B$1*12-Calculations!$A360))</f>
        <v>9542.9986872103491</v>
      </c>
      <c r="R360" s="25">
        <f t="shared" si="63"/>
        <v>21004151.649796795</v>
      </c>
      <c r="S360" s="25">
        <f t="shared" si="51"/>
        <v>26537.509725024793</v>
      </c>
      <c r="T360" s="25">
        <f t="shared" si="64"/>
        <v>578790701.1825707</v>
      </c>
      <c r="U360" s="25">
        <f>S360/((1+'How much will I make'!$C$5/12)^(Calculations!$B$1*12-Calculations!$A360))</f>
        <v>15846.773818933347</v>
      </c>
      <c r="V360" s="25">
        <f t="shared" si="65"/>
        <v>104252818.44441804</v>
      </c>
      <c r="W360" s="25">
        <f t="shared" si="52"/>
        <v>43976.330305032949</v>
      </c>
      <c r="X360" s="25">
        <f t="shared" si="66"/>
        <v>3282656822.1468592</v>
      </c>
      <c r="Y360" s="25">
        <f>W360/((1+'How much will I make'!$C$5/12)^(Calculations!$B$1*12-Calculations!$A360))</f>
        <v>26260.299739933875</v>
      </c>
      <c r="Z360" s="25">
        <f t="shared" si="67"/>
        <v>558567230.06002796</v>
      </c>
      <c r="AA360" s="25">
        <f t="shared" si="53"/>
        <v>72725.699867645541</v>
      </c>
      <c r="AB360" s="25">
        <f t="shared" si="68"/>
        <v>19202161431.463264</v>
      </c>
      <c r="AC360" s="25">
        <f>AA360/((1+'How much will I make'!$C$5/12)^(Calculations!$B$1*12-Calculations!$A360))</f>
        <v>43427.877316590719</v>
      </c>
      <c r="AD360" s="25">
        <f t="shared" si="69"/>
        <v>3142483821.6155739</v>
      </c>
      <c r="AE360" s="25">
        <f t="shared" si="54"/>
        <v>120025.6668592474</v>
      </c>
      <c r="AF360" s="25">
        <f t="shared" si="70"/>
        <v>114560904767.59499</v>
      </c>
      <c r="AG360" s="25">
        <f>AE360/((1+'How much will I make'!$C$5/12)^(Calculations!$B$1*12-Calculations!$A360))</f>
        <v>71672.87416541345</v>
      </c>
      <c r="AH360" s="25">
        <f t="shared" si="71"/>
        <v>18235990150.865593</v>
      </c>
    </row>
    <row r="361" spans="1:34" ht="15.75" customHeight="1">
      <c r="A361" s="22">
        <f t="shared" si="55"/>
        <v>357</v>
      </c>
      <c r="B361" s="22">
        <f t="shared" si="79"/>
        <v>2058.0677976907937</v>
      </c>
      <c r="C361" s="25">
        <f t="shared" si="47"/>
        <v>3432.2047146555938</v>
      </c>
      <c r="D361" s="25">
        <f t="shared" si="56"/>
        <v>1258665.0440287779</v>
      </c>
      <c r="E361" s="25">
        <f>$C361/((1+'How much will I make'!$C$5/12)^(Calculations!$B$1*12-Calculations!$A361))</f>
        <v>2058.0677976907937</v>
      </c>
      <c r="F361" s="25">
        <f t="shared" si="57"/>
        <v>392458.88162500848</v>
      </c>
      <c r="G361" s="25">
        <f t="shared" si="48"/>
        <v>5711.7206987326617</v>
      </c>
      <c r="H361" s="25">
        <f t="shared" si="58"/>
        <v>4806183.0521436632</v>
      </c>
      <c r="I361" s="25">
        <f>G361/((1+'How much will I make'!$C$5/12)^(Calculations!$B$1*12-Calculations!$A361))</f>
        <v>3424.9438529325084</v>
      </c>
      <c r="J361" s="25">
        <f t="shared" si="59"/>
        <v>1252139.3379066053</v>
      </c>
      <c r="K361" s="25">
        <f t="shared" si="49"/>
        <v>9485.2460136353293</v>
      </c>
      <c r="L361" s="25">
        <f t="shared" si="60"/>
        <v>21425255.415686138</v>
      </c>
      <c r="M361" s="25">
        <f>K361/((1+'How much will I make'!$C$5/12)^(Calculations!$B$1*12-Calculations!$A361))</f>
        <v>5687.6792023743592</v>
      </c>
      <c r="N361" s="25">
        <f t="shared" si="61"/>
        <v>4749785.3789743753</v>
      </c>
      <c r="O361" s="25">
        <f t="shared" si="50"/>
        <v>15719.024342562485</v>
      </c>
      <c r="P361" s="25">
        <f t="shared" si="62"/>
        <v>107169017.41795115</v>
      </c>
      <c r="Q361" s="25">
        <f>O361/((1+'How much will I make'!$C$5/12)^(Calculations!$B$1*12-Calculations!$A361))</f>
        <v>9425.6667361380878</v>
      </c>
      <c r="R361" s="25">
        <f t="shared" si="63"/>
        <v>21013577.316532932</v>
      </c>
      <c r="S361" s="25">
        <f t="shared" si="51"/>
        <v>25995.92789390184</v>
      </c>
      <c r="T361" s="25">
        <f t="shared" si="64"/>
        <v>578816697.11046457</v>
      </c>
      <c r="U361" s="25">
        <f>S361/((1+'How much will I make'!$C$5/12)^(Calculations!$B$1*12-Calculations!$A361))</f>
        <v>15588.050981073213</v>
      </c>
      <c r="V361" s="25">
        <f t="shared" si="65"/>
        <v>104268406.49539912</v>
      </c>
      <c r="W361" s="25">
        <f t="shared" si="52"/>
        <v>42903.736882958976</v>
      </c>
      <c r="X361" s="25">
        <f t="shared" si="66"/>
        <v>3282699725.8837423</v>
      </c>
      <c r="Y361" s="25">
        <f>W361/((1+'How much will I make'!$C$5/12)^(Calculations!$B$1*12-Calculations!$A361))</f>
        <v>25726.553810260426</v>
      </c>
      <c r="Z361" s="25">
        <f t="shared" si="67"/>
        <v>558592956.6138382</v>
      </c>
      <c r="AA361" s="25">
        <f t="shared" si="53"/>
        <v>70664.647644675846</v>
      </c>
      <c r="AB361" s="25">
        <f t="shared" si="68"/>
        <v>19202232096.110909</v>
      </c>
      <c r="AC361" s="25">
        <f>AA361/((1+'How much will I make'!$C$5/12)^(Calculations!$B$1*12-Calculations!$A361))</f>
        <v>42372.94912266545</v>
      </c>
      <c r="AD361" s="25">
        <f t="shared" si="69"/>
        <v>3142526194.5646963</v>
      </c>
      <c r="AE361" s="25">
        <f t="shared" si="54"/>
        <v>116153.87115411034</v>
      </c>
      <c r="AF361" s="25">
        <f t="shared" si="70"/>
        <v>114561020921.46614</v>
      </c>
      <c r="AG361" s="25">
        <f>AE361/((1+'How much will I make'!$C$5/12)^(Calculations!$B$1*12-Calculations!$A361))</f>
        <v>69649.849491389657</v>
      </c>
      <c r="AH361" s="25">
        <f t="shared" si="71"/>
        <v>18236059800.715084</v>
      </c>
    </row>
    <row r="362" spans="1:34" ht="15.75" customHeight="1">
      <c r="A362" s="22">
        <f t="shared" si="55"/>
        <v>358</v>
      </c>
      <c r="B362" s="22">
        <f t="shared" si="79"/>
        <v>2058.0677976907937</v>
      </c>
      <c r="C362" s="25">
        <f t="shared" si="47"/>
        <v>3417.9632013167743</v>
      </c>
      <c r="D362" s="25">
        <f t="shared" si="56"/>
        <v>1262083.0072300946</v>
      </c>
      <c r="E362" s="25">
        <f>$C362/((1+'How much will I make'!$C$5/12)^(Calculations!$B$1*12-Calculations!$A362))</f>
        <v>2058.0677976907937</v>
      </c>
      <c r="F362" s="25">
        <f t="shared" si="57"/>
        <v>394516.94942269928</v>
      </c>
      <c r="G362" s="25">
        <f t="shared" si="48"/>
        <v>5664.5163954373502</v>
      </c>
      <c r="H362" s="25">
        <f t="shared" si="58"/>
        <v>4811847.5685391007</v>
      </c>
      <c r="I362" s="25">
        <f>G362/((1+'How much will I make'!$C$5/12)^(Calculations!$B$1*12-Calculations!$A362))</f>
        <v>3410.7911923831998</v>
      </c>
      <c r="J362" s="25">
        <f t="shared" si="59"/>
        <v>1255550.1290989886</v>
      </c>
      <c r="K362" s="25">
        <f t="shared" si="49"/>
        <v>9368.144210997858</v>
      </c>
      <c r="L362" s="25">
        <f t="shared" si="60"/>
        <v>21434623.559897136</v>
      </c>
      <c r="M362" s="25">
        <f>K362/((1+'How much will I make'!$C$5/12)^(Calculations!$B$1*12-Calculations!$A362))</f>
        <v>5640.8670278692207</v>
      </c>
      <c r="N362" s="25">
        <f t="shared" si="61"/>
        <v>4755426.2460022448</v>
      </c>
      <c r="O362" s="25">
        <f t="shared" si="50"/>
        <v>15461.335418913926</v>
      </c>
      <c r="P362" s="25">
        <f t="shared" si="62"/>
        <v>107184478.75337006</v>
      </c>
      <c r="Q362" s="25">
        <f>O362/((1+'How much will I make'!$C$5/12)^(Calculations!$B$1*12-Calculations!$A362))</f>
        <v>9309.7773910216383</v>
      </c>
      <c r="R362" s="25">
        <f t="shared" si="63"/>
        <v>21022887.093923952</v>
      </c>
      <c r="S362" s="25">
        <f t="shared" si="51"/>
        <v>25465.398753209971</v>
      </c>
      <c r="T362" s="25">
        <f t="shared" si="64"/>
        <v>578842162.50921774</v>
      </c>
      <c r="U362" s="25">
        <f>S362/((1+'How much will I make'!$C$5/12)^(Calculations!$B$1*12-Calculations!$A362))</f>
        <v>15333.552189545488</v>
      </c>
      <c r="V362" s="25">
        <f t="shared" si="65"/>
        <v>104283740.04758866</v>
      </c>
      <c r="W362" s="25">
        <f t="shared" si="52"/>
        <v>41857.304276057548</v>
      </c>
      <c r="X362" s="25">
        <f t="shared" si="66"/>
        <v>3282741583.1880183</v>
      </c>
      <c r="Y362" s="25">
        <f>W362/((1+'How much will I make'!$C$5/12)^(Calculations!$B$1*12-Calculations!$A362))</f>
        <v>25203.656375092531</v>
      </c>
      <c r="Z362" s="25">
        <f t="shared" si="67"/>
        <v>558618160.27021325</v>
      </c>
      <c r="AA362" s="25">
        <f t="shared" si="53"/>
        <v>68662.00580859193</v>
      </c>
      <c r="AB362" s="25">
        <f t="shared" si="68"/>
        <v>19202300758.116718</v>
      </c>
      <c r="AC362" s="25">
        <f>AA362/((1+'How much will I make'!$C$5/12)^(Calculations!$B$1*12-Calculations!$A362))</f>
        <v>41343.646714827424</v>
      </c>
      <c r="AD362" s="25">
        <f t="shared" si="69"/>
        <v>3142567538.211411</v>
      </c>
      <c r="AE362" s="25">
        <f t="shared" si="54"/>
        <v>112406.97208462292</v>
      </c>
      <c r="AF362" s="25">
        <f t="shared" si="70"/>
        <v>114561133328.43823</v>
      </c>
      <c r="AG362" s="25">
        <f>AE362/((1+'How much will I make'!$C$5/12)^(Calculations!$B$1*12-Calculations!$A362))</f>
        <v>67683.926320261715</v>
      </c>
      <c r="AH362" s="25">
        <f t="shared" si="71"/>
        <v>18236127484.641403</v>
      </c>
    </row>
    <row r="363" spans="1:34" ht="15.75" customHeight="1">
      <c r="A363" s="22">
        <f t="shared" si="55"/>
        <v>359</v>
      </c>
      <c r="B363" s="22">
        <f t="shared" si="79"/>
        <v>2058.0677976907937</v>
      </c>
      <c r="C363" s="25">
        <f t="shared" si="47"/>
        <v>3403.7807813942968</v>
      </c>
      <c r="D363" s="25">
        <f t="shared" si="56"/>
        <v>1265486.788011489</v>
      </c>
      <c r="E363" s="25">
        <f>$C363/((1+'How much will I make'!$C$5/12)^(Calculations!$B$1*12-Calculations!$A363))</f>
        <v>2058.0677976907937</v>
      </c>
      <c r="F363" s="25">
        <f t="shared" si="57"/>
        <v>396575.01722039009</v>
      </c>
      <c r="G363" s="25">
        <f t="shared" si="48"/>
        <v>5617.7022103510908</v>
      </c>
      <c r="H363" s="25">
        <f t="shared" si="58"/>
        <v>4817465.2707494516</v>
      </c>
      <c r="I363" s="25">
        <f>G363/((1+'How much will I make'!$C$5/12)^(Calculations!$B$1*12-Calculations!$A363))</f>
        <v>3396.6970139022787</v>
      </c>
      <c r="J363" s="25">
        <f t="shared" si="59"/>
        <v>1258946.8261128908</v>
      </c>
      <c r="K363" s="25">
        <f t="shared" si="49"/>
        <v>9252.488109627513</v>
      </c>
      <c r="L363" s="25">
        <f t="shared" si="60"/>
        <v>21443876.048006762</v>
      </c>
      <c r="M363" s="25">
        <f>K363/((1+'How much will I make'!$C$5/12)^(Calculations!$B$1*12-Calculations!$A363))</f>
        <v>5594.440138750957</v>
      </c>
      <c r="N363" s="25">
        <f t="shared" si="61"/>
        <v>4761020.6861409955</v>
      </c>
      <c r="O363" s="25">
        <f t="shared" si="50"/>
        <v>15207.870903849762</v>
      </c>
      <c r="P363" s="25">
        <f t="shared" si="62"/>
        <v>107199686.62427391</v>
      </c>
      <c r="Q363" s="25">
        <f>O363/((1+'How much will I make'!$C$5/12)^(Calculations!$B$1*12-Calculations!$A363))</f>
        <v>9195.3129149025226</v>
      </c>
      <c r="R363" s="25">
        <f t="shared" si="63"/>
        <v>21032082.406838857</v>
      </c>
      <c r="S363" s="25">
        <f t="shared" si="51"/>
        <v>24945.696737838342</v>
      </c>
      <c r="T363" s="25">
        <f t="shared" si="64"/>
        <v>578867108.20595562</v>
      </c>
      <c r="U363" s="25">
        <f>S363/((1+'How much will I make'!$C$5/12)^(Calculations!$B$1*12-Calculations!$A363))</f>
        <v>15083.208480328425</v>
      </c>
      <c r="V363" s="25">
        <f t="shared" si="65"/>
        <v>104298823.25606899</v>
      </c>
      <c r="W363" s="25">
        <f t="shared" si="52"/>
        <v>40836.394415665905</v>
      </c>
      <c r="X363" s="25">
        <f t="shared" si="66"/>
        <v>3282782419.5824342</v>
      </c>
      <c r="Y363" s="25">
        <f>W363/((1+'How much will I make'!$C$5/12)^(Calculations!$B$1*12-Calculations!$A363))</f>
        <v>24691.386936574403</v>
      </c>
      <c r="Z363" s="25">
        <f t="shared" si="67"/>
        <v>558642851.65714979</v>
      </c>
      <c r="AA363" s="25">
        <f t="shared" si="53"/>
        <v>66716.11900429985</v>
      </c>
      <c r="AB363" s="25">
        <f t="shared" si="68"/>
        <v>19202367474.235722</v>
      </c>
      <c r="AC363" s="25">
        <f>AA363/((1+'How much will I make'!$C$5/12)^(Calculations!$B$1*12-Calculations!$A363))</f>
        <v>40339.347604345799</v>
      </c>
      <c r="AD363" s="25">
        <f t="shared" si="69"/>
        <v>3142607877.5590153</v>
      </c>
      <c r="AE363" s="25">
        <f t="shared" si="54"/>
        <v>108780.94072705445</v>
      </c>
      <c r="AF363" s="25">
        <f t="shared" si="70"/>
        <v>114561242109.37895</v>
      </c>
      <c r="AG363" s="25">
        <f>AE363/((1+'How much will I make'!$C$5/12)^(Calculations!$B$1*12-Calculations!$A363))</f>
        <v>65773.492916060801</v>
      </c>
      <c r="AH363" s="25">
        <f t="shared" si="71"/>
        <v>18236193258.134319</v>
      </c>
    </row>
    <row r="364" spans="1:34" ht="15.75" customHeight="1">
      <c r="A364" s="22">
        <f t="shared" si="55"/>
        <v>360</v>
      </c>
      <c r="B364" s="22">
        <f t="shared" si="79"/>
        <v>2058.0677976907937</v>
      </c>
      <c r="C364" s="25">
        <f t="shared" si="47"/>
        <v>3389.6572096872674</v>
      </c>
      <c r="D364" s="25">
        <f t="shared" si="56"/>
        <v>1268876.4452211761</v>
      </c>
      <c r="E364" s="25">
        <f>$C364/((1+'How much will I make'!$C$5/12)^(Calculations!$B$1*12-Calculations!$A364))</f>
        <v>2058.0677976907937</v>
      </c>
      <c r="F364" s="25">
        <f t="shared" si="57"/>
        <v>398633.08501808089</v>
      </c>
      <c r="G364" s="25">
        <f t="shared" si="48"/>
        <v>5571.274919356455</v>
      </c>
      <c r="H364" s="25">
        <f t="shared" si="58"/>
        <v>4823036.5456688078</v>
      </c>
      <c r="I364" s="25">
        <f>G364/((1+'How much will I make'!$C$5/12)^(Calculations!$B$1*12-Calculations!$A364))</f>
        <v>3382.6610758283023</v>
      </c>
      <c r="J364" s="25">
        <f t="shared" si="59"/>
        <v>1262329.4871887192</v>
      </c>
      <c r="K364" s="25">
        <f t="shared" si="49"/>
        <v>9138.259861360506</v>
      </c>
      <c r="L364" s="25">
        <f t="shared" si="60"/>
        <v>21453014.307868123</v>
      </c>
      <c r="M364" s="25">
        <f>K364/((1+'How much will I make'!$C$5/12)^(Calculations!$B$1*12-Calculations!$A364))</f>
        <v>5548.3953639464207</v>
      </c>
      <c r="N364" s="25">
        <f t="shared" si="61"/>
        <v>4766569.0815049419</v>
      </c>
      <c r="O364" s="25">
        <f t="shared" si="50"/>
        <v>14958.561544770262</v>
      </c>
      <c r="P364" s="25">
        <f t="shared" si="62"/>
        <v>107214645.18581869</v>
      </c>
      <c r="Q364" s="25">
        <f>O364/((1+'How much will I make'!$C$5/12)^(Calculations!$B$1*12-Calculations!$A364))</f>
        <v>9082.2557888996234</v>
      </c>
      <c r="R364" s="25">
        <f t="shared" si="63"/>
        <v>21041164.662627757</v>
      </c>
      <c r="S364" s="25">
        <f t="shared" si="51"/>
        <v>24436.600886045726</v>
      </c>
      <c r="T364" s="25">
        <f t="shared" si="64"/>
        <v>578891544.80684161</v>
      </c>
      <c r="U364" s="25">
        <f>S364/((1+'How much will I make'!$C$5/12)^(Calculations!$B$1*12-Calculations!$A364))</f>
        <v>14836.95201534347</v>
      </c>
      <c r="V364" s="25">
        <f t="shared" si="65"/>
        <v>104313660.20808433</v>
      </c>
      <c r="W364" s="25">
        <f t="shared" si="52"/>
        <v>39840.384795771613</v>
      </c>
      <c r="X364" s="25">
        <f t="shared" si="66"/>
        <v>3282822259.9672298</v>
      </c>
      <c r="Y364" s="25">
        <f>W364/((1+'How much will I make'!$C$5/12)^(Calculations!$B$1*12-Calculations!$A364))</f>
        <v>24189.529478513941</v>
      </c>
      <c r="Z364" s="25">
        <f t="shared" si="67"/>
        <v>558667041.18662834</v>
      </c>
      <c r="AA364" s="25">
        <f t="shared" si="53"/>
        <v>64825.378789603092</v>
      </c>
      <c r="AB364" s="25">
        <f t="shared" si="68"/>
        <v>19202432299.61451</v>
      </c>
      <c r="AC364" s="25">
        <f>AA364/((1+'How much will I make'!$C$5/12)^(Calculations!$B$1*12-Calculations!$A364))</f>
        <v>39359.44442367342</v>
      </c>
      <c r="AD364" s="25">
        <f t="shared" si="69"/>
        <v>3142647237.0034389</v>
      </c>
      <c r="AE364" s="25">
        <f t="shared" si="54"/>
        <v>105271.8781229559</v>
      </c>
      <c r="AF364" s="25">
        <f t="shared" si="70"/>
        <v>114561347381.25708</v>
      </c>
      <c r="AG364" s="25">
        <f>AE364/((1+'How much will I make'!$C$5/12)^(Calculations!$B$1*12-Calculations!$A364))</f>
        <v>63916.98303536552</v>
      </c>
      <c r="AH364" s="25">
        <f t="shared" si="71"/>
        <v>18236257175.117355</v>
      </c>
    </row>
    <row r="365" spans="1:34" ht="15.75" customHeight="1">
      <c r="A365" s="22">
        <f t="shared" si="55"/>
        <v>361</v>
      </c>
      <c r="B365" s="22">
        <f>B364*(1+'How much will I make'!$C$4)</f>
        <v>2160.9711875753333</v>
      </c>
      <c r="C365" s="25">
        <f t="shared" si="47"/>
        <v>3544.3718541128278</v>
      </c>
      <c r="D365" s="25">
        <f t="shared" si="56"/>
        <v>1272420.8170752889</v>
      </c>
      <c r="E365" s="25">
        <f>$C365/((1+'How much will I make'!$C$5/12)^(Calculations!$B$1*12-Calculations!$A365))</f>
        <v>2160.9711875753333</v>
      </c>
      <c r="F365" s="25">
        <f t="shared" si="57"/>
        <v>400794.0562056562</v>
      </c>
      <c r="G365" s="25">
        <f t="shared" si="48"/>
        <v>5801.4928912306887</v>
      </c>
      <c r="H365" s="25">
        <f t="shared" si="58"/>
        <v>4828838.0385600384</v>
      </c>
      <c r="I365" s="25">
        <f>G365/((1+'How much will I make'!$C$5/12)^(Calculations!$B$1*12-Calculations!$A365))</f>
        <v>3537.1172943733545</v>
      </c>
      <c r="J365" s="25">
        <f t="shared" si="59"/>
        <v>1265866.6044830927</v>
      </c>
      <c r="K365" s="25">
        <f t="shared" si="49"/>
        <v>9476.7139302997839</v>
      </c>
      <c r="L365" s="25">
        <f t="shared" si="60"/>
        <v>21462491.021798424</v>
      </c>
      <c r="M365" s="25">
        <f>K365/((1+'How much will I make'!$C$5/12)^(Calculations!$B$1*12-Calculations!$A365))</f>
        <v>5777.8660364059315</v>
      </c>
      <c r="N365" s="25">
        <f t="shared" si="61"/>
        <v>4772346.9475413477</v>
      </c>
      <c r="O365" s="25">
        <f t="shared" si="50"/>
        <v>15449.006185582397</v>
      </c>
      <c r="P365" s="25">
        <f t="shared" si="62"/>
        <v>107230094.19200426</v>
      </c>
      <c r="Q365" s="25">
        <f>O365/((1+'How much will I make'!$C$5/12)^(Calculations!$B$1*12-Calculations!$A365))</f>
        <v>9419.1181450042968</v>
      </c>
      <c r="R365" s="25">
        <f t="shared" si="63"/>
        <v>21050583.780772761</v>
      </c>
      <c r="S365" s="25">
        <f t="shared" si="51"/>
        <v>25134.789482789885</v>
      </c>
      <c r="T365" s="25">
        <f t="shared" si="64"/>
        <v>578916679.59632444</v>
      </c>
      <c r="U365" s="25">
        <f>S365/((1+'How much will I make'!$C$5/12)^(Calculations!$B$1*12-Calculations!$A365))</f>
        <v>15324.451867276179</v>
      </c>
      <c r="V365" s="25">
        <f t="shared" si="65"/>
        <v>104328984.65995161</v>
      </c>
      <c r="W365" s="25">
        <f t="shared" si="52"/>
        <v>40812.101498107506</v>
      </c>
      <c r="X365" s="25">
        <f t="shared" si="66"/>
        <v>3282863072.068728</v>
      </c>
      <c r="Y365" s="25">
        <f>W365/((1+'How much will I make'!$C$5/12)^(Calculations!$B$1*12-Calculations!$A365))</f>
        <v>24882.765994056714</v>
      </c>
      <c r="Z365" s="25">
        <f t="shared" si="67"/>
        <v>558691923.95262241</v>
      </c>
      <c r="AA365" s="25">
        <f t="shared" si="53"/>
        <v>66137.633420971601</v>
      </c>
      <c r="AB365" s="25">
        <f t="shared" si="68"/>
        <v>19202498437.247932</v>
      </c>
      <c r="AC365" s="25">
        <f>AA365/((1+'How much will I make'!$C$5/12)^(Calculations!$B$1*12-Calculations!$A365))</f>
        <v>40323.511787087293</v>
      </c>
      <c r="AD365" s="25">
        <f t="shared" si="69"/>
        <v>3142687560.5152259</v>
      </c>
      <c r="AE365" s="25">
        <f t="shared" si="54"/>
        <v>106969.81164106807</v>
      </c>
      <c r="AF365" s="25">
        <f t="shared" si="70"/>
        <v>114561454351.06873</v>
      </c>
      <c r="AG365" s="25">
        <f>AE365/((1+'How much will I make'!$C$5/12)^(Calculations!$B$1*12-Calculations!$A365))</f>
        <v>65218.518375400155</v>
      </c>
      <c r="AH365" s="25">
        <f t="shared" si="71"/>
        <v>18236322393.635731</v>
      </c>
    </row>
    <row r="366" spans="1:34" ht="15.75" customHeight="1">
      <c r="A366" s="22">
        <f t="shared" si="55"/>
        <v>362</v>
      </c>
      <c r="B366" s="22">
        <f t="shared" ref="B366:B376" si="80">B365</f>
        <v>2160.9711875753333</v>
      </c>
      <c r="C366" s="25">
        <f t="shared" si="47"/>
        <v>3529.6649169588318</v>
      </c>
      <c r="D366" s="25">
        <f t="shared" si="56"/>
        <v>1275950.4819922477</v>
      </c>
      <c r="E366" s="25">
        <f>$C366/((1+'How much will I make'!$C$5/12)^(Calculations!$B$1*12-Calculations!$A366))</f>
        <v>2160.9711875753333</v>
      </c>
      <c r="F366" s="25">
        <f t="shared" si="57"/>
        <v>402955.02739323152</v>
      </c>
      <c r="G366" s="25">
        <f t="shared" si="48"/>
        <v>5753.5466689891136</v>
      </c>
      <c r="H366" s="25">
        <f t="shared" si="58"/>
        <v>4834591.5852290271</v>
      </c>
      <c r="I366" s="25">
        <f>G366/((1+'How much will I make'!$C$5/12)^(Calculations!$B$1*12-Calculations!$A366))</f>
        <v>3522.5011072065236</v>
      </c>
      <c r="J366" s="25">
        <f t="shared" si="59"/>
        <v>1269389.1055902992</v>
      </c>
      <c r="K366" s="25">
        <f t="shared" si="49"/>
        <v>9359.7174620244787</v>
      </c>
      <c r="L366" s="25">
        <f t="shared" si="60"/>
        <v>21471850.73926045</v>
      </c>
      <c r="M366" s="25">
        <f>K366/((1+'How much will I make'!$C$5/12)^(Calculations!$B$1*12-Calculations!$A366))</f>
        <v>5730.3115834313994</v>
      </c>
      <c r="N366" s="25">
        <f t="shared" si="61"/>
        <v>4778077.2591247791</v>
      </c>
      <c r="O366" s="25">
        <f t="shared" si="50"/>
        <v>15195.743789097445</v>
      </c>
      <c r="P366" s="25">
        <f t="shared" si="62"/>
        <v>107245289.93579336</v>
      </c>
      <c r="Q366" s="25">
        <f>O366/((1+'How much will I make'!$C$5/12)^(Calculations!$B$1*12-Calculations!$A366))</f>
        <v>9303.3093153526115</v>
      </c>
      <c r="R366" s="25">
        <f t="shared" si="63"/>
        <v>21059887.090088114</v>
      </c>
      <c r="S366" s="25">
        <f t="shared" si="51"/>
        <v>24621.834595386023</v>
      </c>
      <c r="T366" s="25">
        <f t="shared" si="64"/>
        <v>578941301.43091989</v>
      </c>
      <c r="U366" s="25">
        <f>S366/((1+'How much will I make'!$C$5/12)^(Calculations!$B$1*12-Calculations!$A366))</f>
        <v>15074.256734749231</v>
      </c>
      <c r="V366" s="25">
        <f t="shared" si="65"/>
        <v>104344058.91668636</v>
      </c>
      <c r="W366" s="25">
        <f t="shared" si="52"/>
        <v>39816.684388397567</v>
      </c>
      <c r="X366" s="25">
        <f t="shared" si="66"/>
        <v>3282902888.7531161</v>
      </c>
      <c r="Y366" s="25">
        <f>W366/((1+'How much will I make'!$C$5/12)^(Calculations!$B$1*12-Calculations!$A366))</f>
        <v>24377.018717754752</v>
      </c>
      <c r="Z366" s="25">
        <f t="shared" si="67"/>
        <v>558716300.97134018</v>
      </c>
      <c r="AA366" s="25">
        <f t="shared" si="53"/>
        <v>64263.2875345473</v>
      </c>
      <c r="AB366" s="25">
        <f t="shared" si="68"/>
        <v>19202562700.535465</v>
      </c>
      <c r="AC366" s="25">
        <f>AA366/((1+'How much will I make'!$C$5/12)^(Calculations!$B$1*12-Calculations!$A366))</f>
        <v>39343.99328213781</v>
      </c>
      <c r="AD366" s="25">
        <f t="shared" si="69"/>
        <v>3142726904.5085082</v>
      </c>
      <c r="AE366" s="25">
        <f t="shared" si="54"/>
        <v>103519.17255587233</v>
      </c>
      <c r="AF366" s="25">
        <f t="shared" si="70"/>
        <v>114561557870.24129</v>
      </c>
      <c r="AG366" s="25">
        <f>AE366/((1+'How much will I make'!$C$5/12)^(Calculations!$B$1*12-Calculations!$A366))</f>
        <v>63377.673098675165</v>
      </c>
      <c r="AH366" s="25">
        <f t="shared" si="71"/>
        <v>18236385771.30883</v>
      </c>
    </row>
    <row r="367" spans="1:34" ht="15.75" customHeight="1">
      <c r="A367" s="22">
        <f t="shared" si="55"/>
        <v>363</v>
      </c>
      <c r="B367" s="22">
        <f t="shared" si="80"/>
        <v>2160.9711875753333</v>
      </c>
      <c r="C367" s="25">
        <f t="shared" si="47"/>
        <v>3515.0190044403307</v>
      </c>
      <c r="D367" s="25">
        <f t="shared" si="56"/>
        <v>1279465.5009966881</v>
      </c>
      <c r="E367" s="25">
        <f>$C367/((1+'How much will I make'!$C$5/12)^(Calculations!$B$1*12-Calculations!$A367))</f>
        <v>2160.9711875753333</v>
      </c>
      <c r="F367" s="25">
        <f t="shared" si="57"/>
        <v>405115.99858080683</v>
      </c>
      <c r="G367" s="25">
        <f t="shared" si="48"/>
        <v>5705.9966965181275</v>
      </c>
      <c r="H367" s="25">
        <f t="shared" si="58"/>
        <v>4840297.5819255449</v>
      </c>
      <c r="I367" s="25">
        <f>G367/((1+'How much will I make'!$C$5/12)^(Calculations!$B$1*12-Calculations!$A367))</f>
        <v>3507.9453175073222</v>
      </c>
      <c r="J367" s="25">
        <f t="shared" si="59"/>
        <v>1272897.0509078065</v>
      </c>
      <c r="K367" s="25">
        <f t="shared" si="49"/>
        <v>9244.1653945920771</v>
      </c>
      <c r="L367" s="25">
        <f t="shared" si="60"/>
        <v>21481094.904655043</v>
      </c>
      <c r="M367" s="25">
        <f>K367/((1+'How much will I make'!$C$5/12)^(Calculations!$B$1*12-Calculations!$A367))</f>
        <v>5683.1485251315517</v>
      </c>
      <c r="N367" s="25">
        <f t="shared" si="61"/>
        <v>4783760.407649911</v>
      </c>
      <c r="O367" s="25">
        <f t="shared" si="50"/>
        <v>14946.633235177813</v>
      </c>
      <c r="P367" s="25">
        <f t="shared" si="62"/>
        <v>107260236.56902853</v>
      </c>
      <c r="Q367" s="25">
        <f>O367/((1+'How much will I make'!$C$5/12)^(Calculations!$B$1*12-Calculations!$A367))</f>
        <v>9188.9243647540115</v>
      </c>
      <c r="R367" s="25">
        <f t="shared" si="63"/>
        <v>21069076.014452867</v>
      </c>
      <c r="S367" s="25">
        <f t="shared" si="51"/>
        <v>24119.348175072024</v>
      </c>
      <c r="T367" s="25">
        <f t="shared" si="64"/>
        <v>578965420.77909493</v>
      </c>
      <c r="U367" s="25">
        <f>S367/((1+'How much will I make'!$C$5/12)^(Calculations!$B$1*12-Calculations!$A367))</f>
        <v>14828.14642071251</v>
      </c>
      <c r="V367" s="25">
        <f t="shared" si="65"/>
        <v>104358887.06310707</v>
      </c>
      <c r="W367" s="25">
        <f t="shared" si="52"/>
        <v>38845.545744778115</v>
      </c>
      <c r="X367" s="25">
        <f t="shared" si="66"/>
        <v>3282941734.298861</v>
      </c>
      <c r="Y367" s="25">
        <f>W367/((1+'How much will I make'!$C$5/12)^(Calculations!$B$1*12-Calculations!$A367))</f>
        <v>23881.550857637787</v>
      </c>
      <c r="Z367" s="25">
        <f t="shared" si="67"/>
        <v>558740182.52219784</v>
      </c>
      <c r="AA367" s="25">
        <f t="shared" si="53"/>
        <v>62442.060762313173</v>
      </c>
      <c r="AB367" s="25">
        <f t="shared" si="68"/>
        <v>19202625142.596226</v>
      </c>
      <c r="AC367" s="25">
        <f>AA367/((1+'How much will I make'!$C$5/12)^(Calculations!$B$1*12-Calculations!$A367))</f>
        <v>38388.268748968476</v>
      </c>
      <c r="AD367" s="25">
        <f t="shared" si="69"/>
        <v>3142765292.777257</v>
      </c>
      <c r="AE367" s="25">
        <f t="shared" si="54"/>
        <v>100179.84440890868</v>
      </c>
      <c r="AF367" s="25">
        <f t="shared" si="70"/>
        <v>114561658050.08569</v>
      </c>
      <c r="AG367" s="25">
        <f>AE367/((1+'How much will I make'!$C$5/12)^(Calculations!$B$1*12-Calculations!$A367))</f>
        <v>61588.787164438356</v>
      </c>
      <c r="AH367" s="25">
        <f t="shared" si="71"/>
        <v>18236447360.095993</v>
      </c>
    </row>
    <row r="368" spans="1:34" ht="15.75" customHeight="1">
      <c r="A368" s="22">
        <f t="shared" si="55"/>
        <v>364</v>
      </c>
      <c r="B368" s="22">
        <f t="shared" si="80"/>
        <v>2160.9711875753333</v>
      </c>
      <c r="C368" s="25">
        <f t="shared" si="47"/>
        <v>3500.433863343068</v>
      </c>
      <c r="D368" s="25">
        <f t="shared" si="56"/>
        <v>1282965.9348600311</v>
      </c>
      <c r="E368" s="25">
        <f>$C368/((1+'How much will I make'!$C$5/12)^(Calculations!$B$1*12-Calculations!$A368))</f>
        <v>2160.9711875753333</v>
      </c>
      <c r="F368" s="25">
        <f t="shared" si="57"/>
        <v>407276.96976838214</v>
      </c>
      <c r="G368" s="25">
        <f t="shared" si="48"/>
        <v>5658.8396990262427</v>
      </c>
      <c r="H368" s="25">
        <f t="shared" si="58"/>
        <v>4845956.4216245711</v>
      </c>
      <c r="I368" s="25">
        <f>G368/((1+'How much will I make'!$C$5/12)^(Calculations!$B$1*12-Calculations!$A368))</f>
        <v>3493.4496756994404</v>
      </c>
      <c r="J368" s="25">
        <f t="shared" si="59"/>
        <v>1276390.500583506</v>
      </c>
      <c r="K368" s="25">
        <f t="shared" si="49"/>
        <v>9130.0398958934111</v>
      </c>
      <c r="L368" s="25">
        <f t="shared" si="60"/>
        <v>21490224.944550935</v>
      </c>
      <c r="M368" s="25">
        <f>K368/((1+'How much will I make'!$C$5/12)^(Calculations!$B$1*12-Calculations!$A368))</f>
        <v>5636.3736401510459</v>
      </c>
      <c r="N368" s="25">
        <f t="shared" si="61"/>
        <v>4789396.7812900618</v>
      </c>
      <c r="O368" s="25">
        <f t="shared" si="50"/>
        <v>14701.606460830637</v>
      </c>
      <c r="P368" s="25">
        <f t="shared" si="62"/>
        <v>107274938.17548935</v>
      </c>
      <c r="Q368" s="25">
        <f>O368/((1+'How much will I make'!$C$5/12)^(Calculations!$B$1*12-Calculations!$A368))</f>
        <v>9075.9457864988399</v>
      </c>
      <c r="R368" s="25">
        <f t="shared" si="63"/>
        <v>21078151.960239366</v>
      </c>
      <c r="S368" s="25">
        <f t="shared" si="51"/>
        <v>23627.116579662386</v>
      </c>
      <c r="T368" s="25">
        <f t="shared" si="64"/>
        <v>578989047.89567459</v>
      </c>
      <c r="U368" s="25">
        <f>S368/((1+'How much will I make'!$C$5/12)^(Calculations!$B$1*12-Calculations!$A368))</f>
        <v>14586.054234251893</v>
      </c>
      <c r="V368" s="25">
        <f t="shared" si="65"/>
        <v>104373473.11734132</v>
      </c>
      <c r="W368" s="25">
        <f t="shared" si="52"/>
        <v>37898.09340953963</v>
      </c>
      <c r="X368" s="25">
        <f t="shared" si="66"/>
        <v>3282979632.3922706</v>
      </c>
      <c r="Y368" s="25">
        <f>W368/((1+'How much will I make'!$C$5/12)^(Calculations!$B$1*12-Calculations!$A368))</f>
        <v>23396.15348248255</v>
      </c>
      <c r="Z368" s="25">
        <f t="shared" si="67"/>
        <v>558763578.67568028</v>
      </c>
      <c r="AA368" s="25">
        <f t="shared" si="53"/>
        <v>60672.447704271915</v>
      </c>
      <c r="AB368" s="25">
        <f t="shared" si="68"/>
        <v>19202685815.04393</v>
      </c>
      <c r="AC368" s="25">
        <f>AA368/((1+'How much will I make'!$C$5/12)^(Calculations!$B$1*12-Calculations!$A368))</f>
        <v>37455.760196361953</v>
      </c>
      <c r="AD368" s="25">
        <f t="shared" si="69"/>
        <v>3142802748.5374532</v>
      </c>
      <c r="AE368" s="25">
        <f t="shared" si="54"/>
        <v>96948.236524750333</v>
      </c>
      <c r="AF368" s="25">
        <f t="shared" si="70"/>
        <v>114561754998.32222</v>
      </c>
      <c r="AG368" s="25">
        <f>AE368/((1+'How much will I make'!$C$5/12)^(Calculations!$B$1*12-Calculations!$A368))</f>
        <v>59850.393978345324</v>
      </c>
      <c r="AH368" s="25">
        <f t="shared" si="71"/>
        <v>18236507210.489971</v>
      </c>
    </row>
    <row r="369" spans="1:34" ht="15.75" customHeight="1">
      <c r="A369" s="22">
        <f t="shared" si="55"/>
        <v>365</v>
      </c>
      <c r="B369" s="22">
        <f t="shared" si="80"/>
        <v>2160.9711875753333</v>
      </c>
      <c r="C369" s="25">
        <f t="shared" si="47"/>
        <v>3485.9092415034697</v>
      </c>
      <c r="D369" s="25">
        <f t="shared" si="56"/>
        <v>1286451.8441015347</v>
      </c>
      <c r="E369" s="25">
        <f>$C369/((1+'How much will I make'!$C$5/12)^(Calculations!$B$1*12-Calculations!$A369))</f>
        <v>2160.9711875753333</v>
      </c>
      <c r="F369" s="25">
        <f t="shared" si="57"/>
        <v>409437.94095595746</v>
      </c>
      <c r="G369" s="25">
        <f t="shared" si="48"/>
        <v>5612.0724287863577</v>
      </c>
      <c r="H369" s="25">
        <f t="shared" si="58"/>
        <v>4851568.4940533573</v>
      </c>
      <c r="I369" s="25">
        <f>G369/((1+'How much will I make'!$C$5/12)^(Calculations!$B$1*12-Calculations!$A369))</f>
        <v>3479.0139332378744</v>
      </c>
      <c r="J369" s="25">
        <f t="shared" si="59"/>
        <v>1279869.5145167438</v>
      </c>
      <c r="K369" s="25">
        <f t="shared" si="49"/>
        <v>9017.3233539688008</v>
      </c>
      <c r="L369" s="25">
        <f t="shared" si="60"/>
        <v>21499242.267904904</v>
      </c>
      <c r="M369" s="25">
        <f>K369/((1+'How much will I make'!$C$5/12)^(Calculations!$B$1*12-Calculations!$A369))</f>
        <v>5589.9837336477458</v>
      </c>
      <c r="N369" s="25">
        <f t="shared" si="61"/>
        <v>4794986.7650237093</v>
      </c>
      <c r="O369" s="25">
        <f t="shared" si="50"/>
        <v>14460.596518849801</v>
      </c>
      <c r="P369" s="25">
        <f t="shared" si="62"/>
        <v>107289398.7720082</v>
      </c>
      <c r="Q369" s="25">
        <f>O369/((1+'How much will I make'!$C$5/12)^(Calculations!$B$1*12-Calculations!$A369))</f>
        <v>8964.3562891238525</v>
      </c>
      <c r="R369" s="25">
        <f t="shared" si="63"/>
        <v>21087116.316528488</v>
      </c>
      <c r="S369" s="25">
        <f t="shared" si="51"/>
        <v>23144.930527016219</v>
      </c>
      <c r="T369" s="25">
        <f t="shared" si="64"/>
        <v>579012192.82620156</v>
      </c>
      <c r="U369" s="25">
        <f>S369/((1+'How much will I make'!$C$5/12)^(Calculations!$B$1*12-Calculations!$A369))</f>
        <v>14347.914573284521</v>
      </c>
      <c r="V369" s="25">
        <f t="shared" si="65"/>
        <v>104387821.03191461</v>
      </c>
      <c r="W369" s="25">
        <f t="shared" si="52"/>
        <v>36973.749667843549</v>
      </c>
      <c r="X369" s="25">
        <f t="shared" si="66"/>
        <v>3283016606.1419382</v>
      </c>
      <c r="Y369" s="25">
        <f>W369/((1+'How much will I make'!$C$5/12)^(Calculations!$B$1*12-Calculations!$A369))</f>
        <v>22920.621907635352</v>
      </c>
      <c r="Z369" s="25">
        <f t="shared" si="67"/>
        <v>558786499.29758787</v>
      </c>
      <c r="AA369" s="25">
        <f t="shared" si="53"/>
        <v>58952.985623584063</v>
      </c>
      <c r="AB369" s="25">
        <f t="shared" si="68"/>
        <v>19202744768.029552</v>
      </c>
      <c r="AC369" s="25">
        <f>AA369/((1+'How much will I make'!$C$5/12)^(Calculations!$B$1*12-Calculations!$A369))</f>
        <v>36545.903673373417</v>
      </c>
      <c r="AD369" s="25">
        <f t="shared" si="69"/>
        <v>3142839294.4411263</v>
      </c>
      <c r="AE369" s="25">
        <f t="shared" si="54"/>
        <v>93820.874056209985</v>
      </c>
      <c r="AF369" s="25">
        <f t="shared" si="70"/>
        <v>114561848819.19627</v>
      </c>
      <c r="AG369" s="25">
        <f>AE369/((1+'How much will I make'!$C$5/12)^(Calculations!$B$1*12-Calculations!$A369))</f>
        <v>58161.068341859776</v>
      </c>
      <c r="AH369" s="25">
        <f t="shared" si="71"/>
        <v>18236565371.558311</v>
      </c>
    </row>
    <row r="370" spans="1:34" ht="15.75" customHeight="1">
      <c r="A370" s="22">
        <f t="shared" si="55"/>
        <v>366</v>
      </c>
      <c r="B370" s="22">
        <f t="shared" si="80"/>
        <v>2160.9711875753333</v>
      </c>
      <c r="C370" s="25">
        <f t="shared" si="47"/>
        <v>3471.4448878042849</v>
      </c>
      <c r="D370" s="25">
        <f t="shared" si="56"/>
        <v>1289923.288989339</v>
      </c>
      <c r="E370" s="25">
        <f>$C370/((1+'How much will I make'!$C$5/12)^(Calculations!$B$1*12-Calculations!$A370))</f>
        <v>2160.9711875753333</v>
      </c>
      <c r="F370" s="25">
        <f t="shared" si="57"/>
        <v>411598.91214353277</v>
      </c>
      <c r="G370" s="25">
        <f t="shared" si="48"/>
        <v>5565.6916649120903</v>
      </c>
      <c r="H370" s="25">
        <f t="shared" si="58"/>
        <v>4857134.1857182691</v>
      </c>
      <c r="I370" s="25">
        <f>G370/((1+'How much will I make'!$C$5/12)^(Calculations!$B$1*12-Calculations!$A370))</f>
        <v>3464.6378426046599</v>
      </c>
      <c r="J370" s="25">
        <f t="shared" si="59"/>
        <v>1283334.1523593485</v>
      </c>
      <c r="K370" s="25">
        <f t="shared" si="49"/>
        <v>8905.998374290175</v>
      </c>
      <c r="L370" s="25">
        <f t="shared" si="60"/>
        <v>21508148.266279195</v>
      </c>
      <c r="M370" s="25">
        <f>K370/((1+'How much will I make'!$C$5/12)^(Calculations!$B$1*12-Calculations!$A370))</f>
        <v>5543.9756370745145</v>
      </c>
      <c r="N370" s="25">
        <f t="shared" si="61"/>
        <v>4800530.7406607838</v>
      </c>
      <c r="O370" s="25">
        <f t="shared" si="50"/>
        <v>14223.5375595244</v>
      </c>
      <c r="P370" s="25">
        <f t="shared" si="62"/>
        <v>107303622.30956772</v>
      </c>
      <c r="Q370" s="25">
        <f>O370/((1+'How much will I make'!$C$5/12)^(Calculations!$B$1*12-Calculations!$A370))</f>
        <v>8854.1387937657764</v>
      </c>
      <c r="R370" s="25">
        <f t="shared" si="63"/>
        <v>21095970.455322254</v>
      </c>
      <c r="S370" s="25">
        <f t="shared" si="51"/>
        <v>22672.58500605671</v>
      </c>
      <c r="T370" s="25">
        <f t="shared" si="64"/>
        <v>579034865.41120756</v>
      </c>
      <c r="U370" s="25">
        <f>S370/((1+'How much will I make'!$C$5/12)^(Calculations!$B$1*12-Calculations!$A370))</f>
        <v>14113.662906781921</v>
      </c>
      <c r="V370" s="25">
        <f t="shared" si="65"/>
        <v>104401934.69482139</v>
      </c>
      <c r="W370" s="25">
        <f t="shared" si="52"/>
        <v>36071.950895457114</v>
      </c>
      <c r="X370" s="25">
        <f t="shared" si="66"/>
        <v>3283052678.0928335</v>
      </c>
      <c r="Y370" s="25">
        <f>W370/((1+'How much will I make'!$C$5/12)^(Calculations!$B$1*12-Calculations!$A370))</f>
        <v>22454.75560869967</v>
      </c>
      <c r="Z370" s="25">
        <f t="shared" si="67"/>
        <v>558808954.05319655</v>
      </c>
      <c r="AA370" s="25">
        <f t="shared" si="53"/>
        <v>57282.253237490579</v>
      </c>
      <c r="AB370" s="25">
        <f t="shared" si="68"/>
        <v>19202802050.282791</v>
      </c>
      <c r="AC370" s="25">
        <f>AA370/((1+'How much will I make'!$C$5/12)^(Calculations!$B$1*12-Calculations!$A370))</f>
        <v>35658.148928271228</v>
      </c>
      <c r="AD370" s="25">
        <f t="shared" si="69"/>
        <v>3142874952.5900545</v>
      </c>
      <c r="AE370" s="25">
        <f t="shared" si="54"/>
        <v>90794.394247945151</v>
      </c>
      <c r="AF370" s="25">
        <f t="shared" si="70"/>
        <v>114561939613.59052</v>
      </c>
      <c r="AG370" s="25">
        <f>AE370/((1+'How much will I make'!$C$5/12)^(Calculations!$B$1*12-Calculations!$A370))</f>
        <v>56519.425283823417</v>
      </c>
      <c r="AH370" s="25">
        <f t="shared" si="71"/>
        <v>18236621890.983597</v>
      </c>
    </row>
    <row r="371" spans="1:34" ht="15.75" customHeight="1">
      <c r="A371" s="22">
        <f t="shared" si="55"/>
        <v>367</v>
      </c>
      <c r="B371" s="22">
        <f t="shared" si="80"/>
        <v>2160.9711875753333</v>
      </c>
      <c r="C371" s="25">
        <f t="shared" si="47"/>
        <v>3457.0405521702423</v>
      </c>
      <c r="D371" s="25">
        <f t="shared" si="56"/>
        <v>1293380.3295415093</v>
      </c>
      <c r="E371" s="25">
        <f>$C371/((1+'How much will I make'!$C$5/12)^(Calculations!$B$1*12-Calculations!$A371))</f>
        <v>2160.9711875753333</v>
      </c>
      <c r="F371" s="25">
        <f t="shared" si="57"/>
        <v>413759.88333110808</v>
      </c>
      <c r="G371" s="25">
        <f t="shared" si="48"/>
        <v>5519.6942131359565</v>
      </c>
      <c r="H371" s="25">
        <f t="shared" si="58"/>
        <v>4862653.8799314052</v>
      </c>
      <c r="I371" s="25">
        <f>G371/((1+'How much will I make'!$C$5/12)^(Calculations!$B$1*12-Calculations!$A371))</f>
        <v>3450.3211573046401</v>
      </c>
      <c r="J371" s="25">
        <f t="shared" si="59"/>
        <v>1286784.4735166531</v>
      </c>
      <c r="K371" s="25">
        <f t="shared" si="49"/>
        <v>8796.0477770767138</v>
      </c>
      <c r="L371" s="25">
        <f t="shared" si="60"/>
        <v>21516944.31405627</v>
      </c>
      <c r="M371" s="25">
        <f>K371/((1+'How much will I make'!$C$5/12)^(Calculations!$B$1*12-Calculations!$A371))</f>
        <v>5498.3462079627889</v>
      </c>
      <c r="N371" s="25">
        <f t="shared" si="61"/>
        <v>4806029.0868687462</v>
      </c>
      <c r="O371" s="25">
        <f t="shared" si="50"/>
        <v>13990.364812646951</v>
      </c>
      <c r="P371" s="25">
        <f t="shared" si="62"/>
        <v>107317612.67438036</v>
      </c>
      <c r="Q371" s="25">
        <f>O371/((1+'How much will I make'!$C$5/12)^(Calculations!$B$1*12-Calculations!$A371))</f>
        <v>8745.2764315473432</v>
      </c>
      <c r="R371" s="25">
        <f t="shared" si="63"/>
        <v>21104715.7317538</v>
      </c>
      <c r="S371" s="25">
        <f t="shared" si="51"/>
        <v>22209.879189606574</v>
      </c>
      <c r="T371" s="25">
        <f t="shared" si="64"/>
        <v>579057075.29039717</v>
      </c>
      <c r="U371" s="25">
        <f>S371/((1+'How much will I make'!$C$5/12)^(Calculations!$B$1*12-Calculations!$A371))</f>
        <v>13883.235757283441</v>
      </c>
      <c r="V371" s="25">
        <f t="shared" si="65"/>
        <v>104415817.93057866</v>
      </c>
      <c r="W371" s="25">
        <f t="shared" si="52"/>
        <v>35192.147215080113</v>
      </c>
      <c r="X371" s="25">
        <f t="shared" si="66"/>
        <v>3283087870.2400484</v>
      </c>
      <c r="Y371" s="25">
        <f>W371/((1+'How much will I make'!$C$5/12)^(Calculations!$B$1*12-Calculations!$A371))</f>
        <v>21998.358136978135</v>
      </c>
      <c r="Z371" s="25">
        <f t="shared" si="67"/>
        <v>558830952.41133356</v>
      </c>
      <c r="AA371" s="25">
        <f t="shared" si="53"/>
        <v>55658.869542500979</v>
      </c>
      <c r="AB371" s="25">
        <f t="shared" si="68"/>
        <v>19202857709.152332</v>
      </c>
      <c r="AC371" s="25">
        <f>AA371/((1+'How much will I make'!$C$5/12)^(Calculations!$B$1*12-Calculations!$A371))</f>
        <v>34791.959075762621</v>
      </c>
      <c r="AD371" s="25">
        <f t="shared" si="69"/>
        <v>3142909744.5491304</v>
      </c>
      <c r="AE371" s="25">
        <f t="shared" si="54"/>
        <v>87865.542820592062</v>
      </c>
      <c r="AF371" s="25">
        <f t="shared" si="70"/>
        <v>114562027479.13333</v>
      </c>
      <c r="AG371" s="25">
        <f>AE371/((1+'How much will I make'!$C$5/12)^(Calculations!$B$1*12-Calculations!$A371))</f>
        <v>54924.118925005809</v>
      </c>
      <c r="AH371" s="25">
        <f t="shared" si="71"/>
        <v>18236676815.10252</v>
      </c>
    </row>
    <row r="372" spans="1:34" ht="15.75" customHeight="1">
      <c r="A372" s="22">
        <f t="shared" si="55"/>
        <v>368</v>
      </c>
      <c r="B372" s="22">
        <f t="shared" si="80"/>
        <v>2160.9711875753333</v>
      </c>
      <c r="C372" s="25">
        <f t="shared" si="47"/>
        <v>3442.6959855637269</v>
      </c>
      <c r="D372" s="25">
        <f t="shared" si="56"/>
        <v>1296823.0255270731</v>
      </c>
      <c r="E372" s="25">
        <f>$C372/((1+'How much will I make'!$C$5/12)^(Calculations!$B$1*12-Calculations!$A372))</f>
        <v>2160.9711875753333</v>
      </c>
      <c r="F372" s="25">
        <f t="shared" si="57"/>
        <v>415920.85451868339</v>
      </c>
      <c r="G372" s="25">
        <f t="shared" si="48"/>
        <v>5474.0769055893797</v>
      </c>
      <c r="H372" s="25">
        <f t="shared" si="58"/>
        <v>4868127.9568369947</v>
      </c>
      <c r="I372" s="25">
        <f>G372/((1+'How much will I make'!$C$5/12)^(Calculations!$B$1*12-Calculations!$A372))</f>
        <v>3436.0636318612333</v>
      </c>
      <c r="J372" s="25">
        <f t="shared" si="59"/>
        <v>1290220.5371485143</v>
      </c>
      <c r="K372" s="25">
        <f t="shared" si="49"/>
        <v>8687.4545946436683</v>
      </c>
      <c r="L372" s="25">
        <f t="shared" si="60"/>
        <v>21525631.768650912</v>
      </c>
      <c r="M372" s="25">
        <f>K372/((1+'How much will I make'!$C$5/12)^(Calculations!$B$1*12-Calculations!$A372))</f>
        <v>5453.0923297079507</v>
      </c>
      <c r="N372" s="25">
        <f t="shared" si="61"/>
        <v>4811482.1791984541</v>
      </c>
      <c r="O372" s="25">
        <f t="shared" si="50"/>
        <v>13761.014569816673</v>
      </c>
      <c r="P372" s="25">
        <f t="shared" si="62"/>
        <v>107331373.68895018</v>
      </c>
      <c r="Q372" s="25">
        <f>O372/((1+'How much will I make'!$C$5/12)^(Calculations!$B$1*12-Calculations!$A372))</f>
        <v>8637.7525409955306</v>
      </c>
      <c r="R372" s="25">
        <f t="shared" si="63"/>
        <v>21113353.484294794</v>
      </c>
      <c r="S372" s="25">
        <f t="shared" si="51"/>
        <v>21756.616349002357</v>
      </c>
      <c r="T372" s="25">
        <f t="shared" si="64"/>
        <v>579078831.90674615</v>
      </c>
      <c r="U372" s="25">
        <f>S372/((1+'How much will I make'!$C$5/12)^(Calculations!$B$1*12-Calculations!$A372))</f>
        <v>13656.570683695138</v>
      </c>
      <c r="V372" s="25">
        <f t="shared" si="65"/>
        <v>104429474.50126235</v>
      </c>
      <c r="W372" s="25">
        <f t="shared" si="52"/>
        <v>34333.802161053769</v>
      </c>
      <c r="X372" s="25">
        <f t="shared" si="66"/>
        <v>3283122204.0422096</v>
      </c>
      <c r="Y372" s="25">
        <f>W372/((1+'How much will I make'!$C$5/12)^(Calculations!$B$1*12-Calculations!$A372))</f>
        <v>21551.237036633047</v>
      </c>
      <c r="Z372" s="25">
        <f t="shared" si="67"/>
        <v>558852503.64837015</v>
      </c>
      <c r="AA372" s="25">
        <f t="shared" si="53"/>
        <v>54081.492672875458</v>
      </c>
      <c r="AB372" s="25">
        <f t="shared" si="68"/>
        <v>19202911790.645004</v>
      </c>
      <c r="AC372" s="25">
        <f>AA372/((1+'How much will I make'!$C$5/12)^(Calculations!$B$1*12-Calculations!$A372))</f>
        <v>33946.810272302806</v>
      </c>
      <c r="AD372" s="25">
        <f t="shared" si="69"/>
        <v>3142943691.3594027</v>
      </c>
      <c r="AE372" s="25">
        <f t="shared" si="54"/>
        <v>85031.170471540681</v>
      </c>
      <c r="AF372" s="25">
        <f t="shared" si="70"/>
        <v>114562112510.3038</v>
      </c>
      <c r="AG372" s="25">
        <f>AE372/((1+'How much will I make'!$C$5/12)^(Calculations!$B$1*12-Calculations!$A372))</f>
        <v>53373.841374703203</v>
      </c>
      <c r="AH372" s="25">
        <f t="shared" si="71"/>
        <v>18236730188.943893</v>
      </c>
    </row>
    <row r="373" spans="1:34" ht="15.75" customHeight="1">
      <c r="A373" s="22">
        <f t="shared" si="55"/>
        <v>369</v>
      </c>
      <c r="B373" s="22">
        <f t="shared" si="80"/>
        <v>2160.9711875753333</v>
      </c>
      <c r="C373" s="25">
        <f t="shared" si="47"/>
        <v>3428.4109399804752</v>
      </c>
      <c r="D373" s="25">
        <f t="shared" si="56"/>
        <v>1300251.4364670536</v>
      </c>
      <c r="E373" s="25">
        <f>$C373/((1+'How much will I make'!$C$5/12)^(Calculations!$B$1*12-Calculations!$A373))</f>
        <v>2160.9711875753333</v>
      </c>
      <c r="F373" s="25">
        <f t="shared" si="57"/>
        <v>418081.82570625871</v>
      </c>
      <c r="G373" s="25">
        <f t="shared" si="48"/>
        <v>5428.8366005845082</v>
      </c>
      <c r="H373" s="25">
        <f t="shared" si="58"/>
        <v>4873556.7934375796</v>
      </c>
      <c r="I373" s="25">
        <f>G373/((1+'How much will I make'!$C$5/12)^(Calculations!$B$1*12-Calculations!$A373))</f>
        <v>3421.8650218122193</v>
      </c>
      <c r="J373" s="25">
        <f t="shared" si="59"/>
        <v>1293642.4021703266</v>
      </c>
      <c r="K373" s="25">
        <f t="shared" si="49"/>
        <v>8580.2020687838685</v>
      </c>
      <c r="L373" s="25">
        <f t="shared" si="60"/>
        <v>21534211.970719695</v>
      </c>
      <c r="M373" s="25">
        <f>K373/((1+'How much will I make'!$C$5/12)^(Calculations!$B$1*12-Calculations!$A373))</f>
        <v>5408.2109113564438</v>
      </c>
      <c r="N373" s="25">
        <f t="shared" si="61"/>
        <v>4816890.390109811</v>
      </c>
      <c r="O373" s="25">
        <f t="shared" si="50"/>
        <v>13535.424167032792</v>
      </c>
      <c r="P373" s="25">
        <f t="shared" si="62"/>
        <v>107344909.11311722</v>
      </c>
      <c r="Q373" s="25">
        <f>O373/((1+'How much will I make'!$C$5/12)^(Calculations!$B$1*12-Calculations!$A373))</f>
        <v>8531.5506654914861</v>
      </c>
      <c r="R373" s="25">
        <f t="shared" si="63"/>
        <v>21121885.034960285</v>
      </c>
      <c r="S373" s="25">
        <f t="shared" si="51"/>
        <v>21312.603770451293</v>
      </c>
      <c r="T373" s="25">
        <f t="shared" si="64"/>
        <v>579100144.51051664</v>
      </c>
      <c r="U373" s="25">
        <f>S373/((1+'How much will I make'!$C$5/12)^(Calculations!$B$1*12-Calculations!$A373))</f>
        <v>13433.606264369504</v>
      </c>
      <c r="V373" s="25">
        <f t="shared" si="65"/>
        <v>104442908.10752672</v>
      </c>
      <c r="W373" s="25">
        <f t="shared" si="52"/>
        <v>33496.392352247589</v>
      </c>
      <c r="X373" s="25">
        <f t="shared" si="66"/>
        <v>3283155700.4345617</v>
      </c>
      <c r="Y373" s="25">
        <f>W373/((1+'How much will I make'!$C$5/12)^(Calculations!$B$1*12-Calculations!$A373))</f>
        <v>21113.203763530753</v>
      </c>
      <c r="Z373" s="25">
        <f t="shared" si="67"/>
        <v>558873616.85213363</v>
      </c>
      <c r="AA373" s="25">
        <f t="shared" si="53"/>
        <v>52548.818791457939</v>
      </c>
      <c r="AB373" s="25">
        <f t="shared" si="68"/>
        <v>19202964339.463795</v>
      </c>
      <c r="AC373" s="25">
        <f>AA373/((1+'How much will I make'!$C$5/12)^(Calculations!$B$1*12-Calculations!$A373))</f>
        <v>33122.191399291405</v>
      </c>
      <c r="AD373" s="25">
        <f t="shared" si="69"/>
        <v>3142976813.5508018</v>
      </c>
      <c r="AE373" s="25">
        <f t="shared" si="54"/>
        <v>82288.229488587749</v>
      </c>
      <c r="AF373" s="25">
        <f t="shared" si="70"/>
        <v>114562194798.53329</v>
      </c>
      <c r="AG373" s="25">
        <f>AE373/((1+'How much will I make'!$C$5/12)^(Calculations!$B$1*12-Calculations!$A373))</f>
        <v>51867.321658481735</v>
      </c>
      <c r="AH373" s="25">
        <f t="shared" si="71"/>
        <v>18236782056.265553</v>
      </c>
    </row>
    <row r="374" spans="1:34" ht="15.75" customHeight="1">
      <c r="A374" s="22">
        <f t="shared" si="55"/>
        <v>370</v>
      </c>
      <c r="B374" s="22">
        <f t="shared" si="80"/>
        <v>2160.9711875753333</v>
      </c>
      <c r="C374" s="25">
        <f t="shared" si="47"/>
        <v>3414.1851684452859</v>
      </c>
      <c r="D374" s="25">
        <f t="shared" si="56"/>
        <v>1303665.6216354989</v>
      </c>
      <c r="E374" s="25">
        <f>$C374/((1+'How much will I make'!$C$5/12)^(Calculations!$B$1*12-Calculations!$A374))</f>
        <v>2160.9711875753333</v>
      </c>
      <c r="F374" s="25">
        <f t="shared" si="57"/>
        <v>420242.79689383402</v>
      </c>
      <c r="G374" s="25">
        <f t="shared" si="48"/>
        <v>5383.9701823978594</v>
      </c>
      <c r="H374" s="25">
        <f t="shared" si="58"/>
        <v>4878940.763619977</v>
      </c>
      <c r="I374" s="25">
        <f>G374/((1+'How much will I make'!$C$5/12)^(Calculations!$B$1*12-Calculations!$A374))</f>
        <v>3407.7250837055581</v>
      </c>
      <c r="J374" s="25">
        <f t="shared" si="59"/>
        <v>1297050.1272540321</v>
      </c>
      <c r="K374" s="25">
        <f t="shared" si="49"/>
        <v>8474.2736481816009</v>
      </c>
      <c r="L374" s="25">
        <f t="shared" si="60"/>
        <v>21542686.244367875</v>
      </c>
      <c r="M374" s="25">
        <f>K374/((1+'How much will I make'!$C$5/12)^(Calculations!$B$1*12-Calculations!$A374))</f>
        <v>5363.6988873946648</v>
      </c>
      <c r="N374" s="25">
        <f t="shared" si="61"/>
        <v>4822254.0889972057</v>
      </c>
      <c r="O374" s="25">
        <f t="shared" si="50"/>
        <v>13313.531967573244</v>
      </c>
      <c r="P374" s="25">
        <f t="shared" si="62"/>
        <v>107358222.6450848</v>
      </c>
      <c r="Q374" s="25">
        <f>O374/((1+'How much will I make'!$C$5/12)^(Calculations!$B$1*12-Calculations!$A374))</f>
        <v>8426.654550751844</v>
      </c>
      <c r="R374" s="25">
        <f t="shared" si="63"/>
        <v>21130311.689511038</v>
      </c>
      <c r="S374" s="25">
        <f t="shared" si="51"/>
        <v>20877.652673095148</v>
      </c>
      <c r="T374" s="25">
        <f t="shared" si="64"/>
        <v>579121022.16318977</v>
      </c>
      <c r="U374" s="25">
        <f>S374/((1+'How much will I make'!$C$5/12)^(Calculations!$B$1*12-Calculations!$A374))</f>
        <v>13214.282080461437</v>
      </c>
      <c r="V374" s="25">
        <f t="shared" si="65"/>
        <v>104456122.38960718</v>
      </c>
      <c r="W374" s="25">
        <f t="shared" si="52"/>
        <v>32679.407172924468</v>
      </c>
      <c r="X374" s="25">
        <f t="shared" si="66"/>
        <v>3283188379.8417349</v>
      </c>
      <c r="Y374" s="25">
        <f>W374/((1+'How much will I make'!$C$5/12)^(Calculations!$B$1*12-Calculations!$A374))</f>
        <v>20684.073605735415</v>
      </c>
      <c r="Z374" s="25">
        <f t="shared" si="67"/>
        <v>558894300.92573941</v>
      </c>
      <c r="AA374" s="25">
        <f t="shared" si="53"/>
        <v>51059.581011942944</v>
      </c>
      <c r="AB374" s="25">
        <f t="shared" si="68"/>
        <v>19203015399.044807</v>
      </c>
      <c r="AC374" s="25">
        <f>AA374/((1+'How much will I make'!$C$5/12)^(Calculations!$B$1*12-Calculations!$A374))</f>
        <v>32317.6037539645</v>
      </c>
      <c r="AD374" s="25">
        <f t="shared" si="69"/>
        <v>3143009131.1545558</v>
      </c>
      <c r="AE374" s="25">
        <f t="shared" si="54"/>
        <v>79633.770472826858</v>
      </c>
      <c r="AF374" s="25">
        <f t="shared" si="70"/>
        <v>114562274432.30377</v>
      </c>
      <c r="AG374" s="25">
        <f>AE374/((1+'How much will I make'!$C$5/12)^(Calculations!$B$1*12-Calculations!$A374))</f>
        <v>50403.324676185897</v>
      </c>
      <c r="AH374" s="25">
        <f t="shared" si="71"/>
        <v>18236832459.590229</v>
      </c>
    </row>
    <row r="375" spans="1:34" ht="15.75" customHeight="1">
      <c r="A375" s="22">
        <f t="shared" si="55"/>
        <v>371</v>
      </c>
      <c r="B375" s="22">
        <f t="shared" si="80"/>
        <v>2160.9711875753333</v>
      </c>
      <c r="C375" s="25">
        <f t="shared" si="47"/>
        <v>3400.0184250077532</v>
      </c>
      <c r="D375" s="25">
        <f t="shared" si="56"/>
        <v>1307065.6400605068</v>
      </c>
      <c r="E375" s="25">
        <f>$C375/((1+'How much will I make'!$C$5/12)^(Calculations!$B$1*12-Calculations!$A375))</f>
        <v>2160.9711875753333</v>
      </c>
      <c r="F375" s="25">
        <f t="shared" si="57"/>
        <v>422403.76808140933</v>
      </c>
      <c r="G375" s="25">
        <f t="shared" si="48"/>
        <v>5339.4745610557275</v>
      </c>
      <c r="H375" s="25">
        <f t="shared" si="58"/>
        <v>4884280.2381810332</v>
      </c>
      <c r="I375" s="25">
        <f>G375/((1+'How much will I make'!$C$5/12)^(Calculations!$B$1*12-Calculations!$A375))</f>
        <v>3393.6435750952041</v>
      </c>
      <c r="J375" s="25">
        <f t="shared" si="59"/>
        <v>1300443.7708291272</v>
      </c>
      <c r="K375" s="25">
        <f t="shared" si="49"/>
        <v>8369.6529858583708</v>
      </c>
      <c r="L375" s="25">
        <f t="shared" si="60"/>
        <v>21551055.897353735</v>
      </c>
      <c r="M375" s="25">
        <f>K375/((1+'How much will I make'!$C$5/12)^(Calculations!$B$1*12-Calculations!$A375))</f>
        <v>5319.5532175395647</v>
      </c>
      <c r="N375" s="25">
        <f t="shared" si="61"/>
        <v>4827573.6422147453</v>
      </c>
      <c r="O375" s="25">
        <f t="shared" si="50"/>
        <v>13095.277345154011</v>
      </c>
      <c r="P375" s="25">
        <f t="shared" si="62"/>
        <v>107371317.92242995</v>
      </c>
      <c r="Q375" s="25">
        <f>O375/((1+'How much will I make'!$C$5/12)^(Calculations!$B$1*12-Calculations!$A375))</f>
        <v>8323.0481423409601</v>
      </c>
      <c r="R375" s="25">
        <f t="shared" si="63"/>
        <v>21138634.737653378</v>
      </c>
      <c r="S375" s="25">
        <f t="shared" si="51"/>
        <v>20451.578128746274</v>
      </c>
      <c r="T375" s="25">
        <f t="shared" si="64"/>
        <v>579141473.74131846</v>
      </c>
      <c r="U375" s="25">
        <f>S375/((1+'How much will I make'!$C$5/12)^(Calculations!$B$1*12-Calculations!$A375))</f>
        <v>12998.538699555949</v>
      </c>
      <c r="V375" s="25">
        <f t="shared" si="65"/>
        <v>104469120.92830673</v>
      </c>
      <c r="W375" s="25">
        <f t="shared" si="52"/>
        <v>31882.348461389731</v>
      </c>
      <c r="X375" s="25">
        <f t="shared" si="66"/>
        <v>3283220262.1901965</v>
      </c>
      <c r="Y375" s="25">
        <f>W375/((1+'How much will I make'!$C$5/12)^(Calculations!$B$1*12-Calculations!$A375))</f>
        <v>20263.665605618844</v>
      </c>
      <c r="Z375" s="25">
        <f t="shared" si="67"/>
        <v>558914564.59134507</v>
      </c>
      <c r="AA375" s="25">
        <f t="shared" si="53"/>
        <v>49612.548351685444</v>
      </c>
      <c r="AB375" s="25">
        <f t="shared" si="68"/>
        <v>19203065011.593159</v>
      </c>
      <c r="AC375" s="25">
        <f>AA375/((1+'How much will I make'!$C$5/12)^(Calculations!$B$1*12-Calculations!$A375))</f>
        <v>31532.560747795316</v>
      </c>
      <c r="AD375" s="25">
        <f t="shared" si="69"/>
        <v>3143040663.7153034</v>
      </c>
      <c r="AE375" s="25">
        <f t="shared" si="54"/>
        <v>77064.939167251796</v>
      </c>
      <c r="AF375" s="25">
        <f t="shared" si="70"/>
        <v>114562351497.24294</v>
      </c>
      <c r="AG375" s="25">
        <f>AE375/((1+'How much will I make'!$C$5/12)^(Calculations!$B$1*12-Calculations!$A375))</f>
        <v>48980.650189358064</v>
      </c>
      <c r="AH375" s="25">
        <f t="shared" si="71"/>
        <v>18236881440.240417</v>
      </c>
    </row>
    <row r="376" spans="1:34" ht="15.75" customHeight="1">
      <c r="A376" s="22">
        <f t="shared" si="55"/>
        <v>372</v>
      </c>
      <c r="B376" s="22">
        <f t="shared" si="80"/>
        <v>2160.9711875753333</v>
      </c>
      <c r="C376" s="25">
        <f t="shared" si="47"/>
        <v>3385.9104647380118</v>
      </c>
      <c r="D376" s="25">
        <f t="shared" si="56"/>
        <v>1310451.5505252448</v>
      </c>
      <c r="E376" s="25">
        <f>$C376/((1+'How much will I make'!$C$5/12)^(Calculations!$B$1*12-Calculations!$A376))</f>
        <v>2160.9711875753333</v>
      </c>
      <c r="F376" s="25">
        <f t="shared" si="57"/>
        <v>424564.73926898465</v>
      </c>
      <c r="G376" s="25">
        <f t="shared" si="48"/>
        <v>5295.3466721213854</v>
      </c>
      <c r="H376" s="25">
        <f t="shared" si="58"/>
        <v>4889575.5848531546</v>
      </c>
      <c r="I376" s="25">
        <f>G376/((1+'How much will I make'!$C$5/12)^(Calculations!$B$1*12-Calculations!$A376))</f>
        <v>3379.6202545369611</v>
      </c>
      <c r="J376" s="25">
        <f t="shared" si="59"/>
        <v>1303823.391083664</v>
      </c>
      <c r="K376" s="25">
        <f t="shared" si="49"/>
        <v>8266.3239366502439</v>
      </c>
      <c r="L376" s="25">
        <f t="shared" si="60"/>
        <v>21559322.221290383</v>
      </c>
      <c r="M376" s="25">
        <f>K376/((1+'How much will I make'!$C$5/12)^(Calculations!$B$1*12-Calculations!$A376))</f>
        <v>5275.7708865310087</v>
      </c>
      <c r="N376" s="25">
        <f t="shared" si="61"/>
        <v>4832849.4131012764</v>
      </c>
      <c r="O376" s="25">
        <f t="shared" si="50"/>
        <v>12880.600667364599</v>
      </c>
      <c r="P376" s="25">
        <f t="shared" si="62"/>
        <v>107384198.52309731</v>
      </c>
      <c r="Q376" s="25">
        <f>O376/((1+'How much will I make'!$C$5/12)^(Calculations!$B$1*12-Calculations!$A376))</f>
        <v>8220.715583213816</v>
      </c>
      <c r="R376" s="25">
        <f t="shared" si="63"/>
        <v>21146855.453236591</v>
      </c>
      <c r="S376" s="25">
        <f t="shared" si="51"/>
        <v>20034.198983261649</v>
      </c>
      <c r="T376" s="25">
        <f t="shared" si="64"/>
        <v>579161507.94030178</v>
      </c>
      <c r="U376" s="25">
        <f>S376/((1+'How much will I make'!$C$5/12)^(Calculations!$B$1*12-Calculations!$A376))</f>
        <v>12786.317659563194</v>
      </c>
      <c r="V376" s="25">
        <f t="shared" si="65"/>
        <v>104481907.24596629</v>
      </c>
      <c r="W376" s="25">
        <f t="shared" si="52"/>
        <v>31104.730206233879</v>
      </c>
      <c r="X376" s="25">
        <f t="shared" si="66"/>
        <v>3283251366.9204025</v>
      </c>
      <c r="Y376" s="25">
        <f>W376/((1+'How much will I make'!$C$5/12)^(Calculations!$B$1*12-Calculations!$A376))</f>
        <v>19851.802483553416</v>
      </c>
      <c r="Z376" s="25">
        <f t="shared" si="67"/>
        <v>558934416.39382863</v>
      </c>
      <c r="AA376" s="25">
        <f t="shared" si="53"/>
        <v>48206.524714188301</v>
      </c>
      <c r="AB376" s="25">
        <f t="shared" si="68"/>
        <v>19203113218.117874</v>
      </c>
      <c r="AC376" s="25">
        <f>AA376/((1+'How much will I make'!$C$5/12)^(Calculations!$B$1*12-Calculations!$A376))</f>
        <v>30766.587612221349</v>
      </c>
      <c r="AD376" s="25">
        <f t="shared" si="69"/>
        <v>3143071430.3029156</v>
      </c>
      <c r="AE376" s="25">
        <f t="shared" si="54"/>
        <v>74578.97338766302</v>
      </c>
      <c r="AF376" s="25">
        <f t="shared" si="70"/>
        <v>114562426076.21632</v>
      </c>
      <c r="AG376" s="25">
        <f>AE376/((1+'How much will I make'!$C$5/12)^(Calculations!$B$1*12-Calculations!$A376))</f>
        <v>47598.131837239082</v>
      </c>
      <c r="AH376" s="25">
        <f t="shared" si="71"/>
        <v>18236929038.372253</v>
      </c>
    </row>
    <row r="377" spans="1:34" ht="15.75" customHeight="1">
      <c r="A377" s="22">
        <f t="shared" si="55"/>
        <v>373</v>
      </c>
      <c r="B377" s="22">
        <f>B376*(1+'How much will I make'!$C$4)</f>
        <v>2269.0197469540999</v>
      </c>
      <c r="C377" s="25">
        <f t="shared" si="47"/>
        <v>3540.4540959086262</v>
      </c>
      <c r="D377" s="25">
        <f t="shared" si="56"/>
        <v>1313992.0046211535</v>
      </c>
      <c r="E377" s="25">
        <f>$C377/((1+'How much will I make'!$C$5/12)^(Calculations!$B$1*12-Calculations!$A377))</f>
        <v>2269.0197469540999</v>
      </c>
      <c r="F377" s="25">
        <f t="shared" si="57"/>
        <v>426833.75901593873</v>
      </c>
      <c r="G377" s="25">
        <f t="shared" si="48"/>
        <v>5514.162650308218</v>
      </c>
      <c r="H377" s="25">
        <f t="shared" si="58"/>
        <v>4895089.7475034632</v>
      </c>
      <c r="I377" s="25">
        <f>G377/((1+'How much will I make'!$C$5/12)^(Calculations!$B$1*12-Calculations!$A377))</f>
        <v>3533.9376256635442</v>
      </c>
      <c r="J377" s="25">
        <f t="shared" si="59"/>
        <v>1307357.3287093276</v>
      </c>
      <c r="K377" s="25">
        <f t="shared" si="49"/>
        <v>8572.4840824521034</v>
      </c>
      <c r="L377" s="25">
        <f t="shared" si="60"/>
        <v>21567894.705372836</v>
      </c>
      <c r="M377" s="25">
        <f>K377/((1+'How much will I make'!$C$5/12)^(Calculations!$B$1*12-Calculations!$A377))</f>
        <v>5493.9663491221054</v>
      </c>
      <c r="N377" s="25">
        <f t="shared" si="61"/>
        <v>4838343.3794503985</v>
      </c>
      <c r="O377" s="25">
        <f t="shared" si="50"/>
        <v>13302.915443343763</v>
      </c>
      <c r="P377" s="25">
        <f t="shared" si="62"/>
        <v>107397501.43854065</v>
      </c>
      <c r="Q377" s="25">
        <f>O377/((1+'How much will I make'!$C$5/12)^(Calculations!$B$1*12-Calculations!$A377))</f>
        <v>8525.6232718535066</v>
      </c>
      <c r="R377" s="25">
        <f t="shared" si="63"/>
        <v>21155381.076508444</v>
      </c>
      <c r="S377" s="25">
        <f t="shared" si="51"/>
        <v>20606.604668497701</v>
      </c>
      <c r="T377" s="25">
        <f t="shared" si="64"/>
        <v>579182114.54497027</v>
      </c>
      <c r="U377" s="25">
        <f>S377/((1+'How much will I make'!$C$5/12)^(Calculations!$B$1*12-Calculations!$A377))</f>
        <v>13206.439525520273</v>
      </c>
      <c r="V377" s="25">
        <f t="shared" si="65"/>
        <v>104495113.6854918</v>
      </c>
      <c r="W377" s="25">
        <f t="shared" si="52"/>
        <v>31863.382162483496</v>
      </c>
      <c r="X377" s="25">
        <f t="shared" si="66"/>
        <v>3283283230.3025651</v>
      </c>
      <c r="Y377" s="25">
        <f>W377/((1+'How much will I make'!$C$5/12)^(Calculations!$B$1*12-Calculations!$A377))</f>
        <v>20420.726091313794</v>
      </c>
      <c r="Z377" s="25">
        <f t="shared" si="67"/>
        <v>558954837.1199199</v>
      </c>
      <c r="AA377" s="25">
        <f t="shared" si="53"/>
        <v>49182.365295447191</v>
      </c>
      <c r="AB377" s="25">
        <f t="shared" si="68"/>
        <v>19203162400.48317</v>
      </c>
      <c r="AC377" s="25">
        <f>AA377/((1+'How much will I make'!$C$5/12)^(Calculations!$B$1*12-Calculations!$A377))</f>
        <v>31520.182167095609</v>
      </c>
      <c r="AD377" s="25">
        <f t="shared" si="69"/>
        <v>3143102950.4850826</v>
      </c>
      <c r="AE377" s="25">
        <f t="shared" si="54"/>
        <v>75781.860055205951</v>
      </c>
      <c r="AF377" s="25">
        <f t="shared" si="70"/>
        <v>114562501858.07639</v>
      </c>
      <c r="AG377" s="25">
        <f>AE377/((1+'How much will I make'!$C$5/12)^(Calculations!$B$1*12-Calculations!$A377))</f>
        <v>48567.367989569946</v>
      </c>
      <c r="AH377" s="25">
        <f t="shared" si="71"/>
        <v>18236977605.740242</v>
      </c>
    </row>
    <row r="378" spans="1:34" ht="15.75" customHeight="1">
      <c r="A378" s="22">
        <f t="shared" si="55"/>
        <v>374</v>
      </c>
      <c r="B378" s="22">
        <f t="shared" ref="B378:B388" si="81">B377</f>
        <v>2269.0197469540999</v>
      </c>
      <c r="C378" s="25">
        <f t="shared" si="47"/>
        <v>3525.7634150127406</v>
      </c>
      <c r="D378" s="25">
        <f t="shared" si="56"/>
        <v>1317517.7680361662</v>
      </c>
      <c r="E378" s="25">
        <f>$C378/((1+'How much will I make'!$C$5/12)^(Calculations!$B$1*12-Calculations!$A378))</f>
        <v>2269.0197469540999</v>
      </c>
      <c r="F378" s="25">
        <f t="shared" si="57"/>
        <v>429102.77876289282</v>
      </c>
      <c r="G378" s="25">
        <f t="shared" si="48"/>
        <v>5468.5910581569115</v>
      </c>
      <c r="H378" s="25">
        <f t="shared" si="58"/>
        <v>4900558.3385616196</v>
      </c>
      <c r="I378" s="25">
        <f>G378/((1+'How much will I make'!$C$5/12)^(Calculations!$B$1*12-Calculations!$A378))</f>
        <v>3519.3345776236124</v>
      </c>
      <c r="J378" s="25">
        <f t="shared" si="59"/>
        <v>1310876.6632869511</v>
      </c>
      <c r="K378" s="25">
        <f t="shared" si="49"/>
        <v>8466.650945631709</v>
      </c>
      <c r="L378" s="25">
        <f t="shared" si="60"/>
        <v>21576361.356318466</v>
      </c>
      <c r="M378" s="25">
        <f>K378/((1+'How much will I make'!$C$5/12)^(Calculations!$B$1*12-Calculations!$A378))</f>
        <v>5448.7485190881789</v>
      </c>
      <c r="N378" s="25">
        <f t="shared" si="61"/>
        <v>4843792.1279694866</v>
      </c>
      <c r="O378" s="25">
        <f t="shared" si="50"/>
        <v>13084.834862305344</v>
      </c>
      <c r="P378" s="25">
        <f t="shared" si="62"/>
        <v>107410586.27340296</v>
      </c>
      <c r="Q378" s="25">
        <f>O378/((1+'How much will I make'!$C$5/12)^(Calculations!$B$1*12-Calculations!$A378))</f>
        <v>8420.8000349044887</v>
      </c>
      <c r="R378" s="25">
        <f t="shared" si="63"/>
        <v>21163801.876543347</v>
      </c>
      <c r="S378" s="25">
        <f t="shared" si="51"/>
        <v>20186.061716079388</v>
      </c>
      <c r="T378" s="25">
        <f t="shared" si="64"/>
        <v>579202300.60668635</v>
      </c>
      <c r="U378" s="25">
        <f>S378/((1+'How much will I make'!$C$5/12)^(Calculations!$B$1*12-Calculations!$A378))</f>
        <v>12990.824186328107</v>
      </c>
      <c r="V378" s="25">
        <f t="shared" si="65"/>
        <v>104508104.50967813</v>
      </c>
      <c r="W378" s="25">
        <f t="shared" si="52"/>
        <v>31086.226499983895</v>
      </c>
      <c r="X378" s="25">
        <f t="shared" si="66"/>
        <v>3283314316.5290651</v>
      </c>
      <c r="Y378" s="25">
        <f>W378/((1+'How much will I make'!$C$5/12)^(Calculations!$B$1*12-Calculations!$A378))</f>
        <v>20005.670682953754</v>
      </c>
      <c r="Z378" s="25">
        <f t="shared" si="67"/>
        <v>558974842.7906028</v>
      </c>
      <c r="AA378" s="25">
        <f t="shared" si="53"/>
        <v>47788.533080596455</v>
      </c>
      <c r="AB378" s="25">
        <f t="shared" si="68"/>
        <v>19203210189.016251</v>
      </c>
      <c r="AC378" s="25">
        <f>AA378/((1+'How much will I make'!$C$5/12)^(Calculations!$B$1*12-Calculations!$A378))</f>
        <v>30754.50972578963</v>
      </c>
      <c r="AD378" s="25">
        <f t="shared" si="69"/>
        <v>3143133704.9948082</v>
      </c>
      <c r="AE378" s="25">
        <f t="shared" si="54"/>
        <v>73337.283924392847</v>
      </c>
      <c r="AF378" s="25">
        <f t="shared" si="70"/>
        <v>114562575195.36031</v>
      </c>
      <c r="AG378" s="25">
        <f>AE378/((1+'How much will I make'!$C$5/12)^(Calculations!$B$1*12-Calculations!$A378))</f>
        <v>47196.514860832067</v>
      </c>
      <c r="AH378" s="25">
        <f t="shared" si="71"/>
        <v>18237024802.255104</v>
      </c>
    </row>
    <row r="379" spans="1:34" ht="15.75" customHeight="1">
      <c r="A379" s="22">
        <f t="shared" si="55"/>
        <v>375</v>
      </c>
      <c r="B379" s="22">
        <f t="shared" si="81"/>
        <v>2269.0197469540999</v>
      </c>
      <c r="C379" s="25">
        <f t="shared" si="47"/>
        <v>3511.1336912989937</v>
      </c>
      <c r="D379" s="25">
        <f t="shared" si="56"/>
        <v>1321028.9017274652</v>
      </c>
      <c r="E379" s="25">
        <f>$C379/((1+'How much will I make'!$C$5/12)^(Calculations!$B$1*12-Calculations!$A379))</f>
        <v>2269.0197469540999</v>
      </c>
      <c r="F379" s="25">
        <f t="shared" si="57"/>
        <v>431371.79850984691</v>
      </c>
      <c r="G379" s="25">
        <f t="shared" si="48"/>
        <v>5423.3960907341261</v>
      </c>
      <c r="H379" s="25">
        <f t="shared" si="58"/>
        <v>4905981.7346523535</v>
      </c>
      <c r="I379" s="25">
        <f>G379/((1+'How much will I make'!$C$5/12)^(Calculations!$B$1*12-Calculations!$A379))</f>
        <v>3504.7918727573997</v>
      </c>
      <c r="J379" s="25">
        <f t="shared" si="59"/>
        <v>1314381.4551597086</v>
      </c>
      <c r="K379" s="25">
        <f t="shared" si="49"/>
        <v>8362.1243907473672</v>
      </c>
      <c r="L379" s="25">
        <f t="shared" si="60"/>
        <v>21584723.480709214</v>
      </c>
      <c r="M379" s="25">
        <f>K379/((1+'How much will I make'!$C$5/12)^(Calculations!$B$1*12-Calculations!$A379))</f>
        <v>5403.9028522644103</v>
      </c>
      <c r="N379" s="25">
        <f t="shared" si="61"/>
        <v>4849196.0308217509</v>
      </c>
      <c r="O379" s="25">
        <f t="shared" si="50"/>
        <v>12870.329372759357</v>
      </c>
      <c r="P379" s="25">
        <f t="shared" si="62"/>
        <v>107423456.60277572</v>
      </c>
      <c r="Q379" s="25">
        <f>O379/((1+'How much will I make'!$C$5/12)^(Calculations!$B$1*12-Calculations!$A379))</f>
        <v>8317.2656082458307</v>
      </c>
      <c r="R379" s="25">
        <f t="shared" si="63"/>
        <v>21172119.142151594</v>
      </c>
      <c r="S379" s="25">
        <f t="shared" si="51"/>
        <v>19774.101272894091</v>
      </c>
      <c r="T379" s="25">
        <f t="shared" si="64"/>
        <v>579222074.70795929</v>
      </c>
      <c r="U379" s="25">
        <f>S379/((1+'How much will I make'!$C$5/12)^(Calculations!$B$1*12-Calculations!$A379))</f>
        <v>12778.729097571733</v>
      </c>
      <c r="V379" s="25">
        <f t="shared" si="65"/>
        <v>104520883.2387757</v>
      </c>
      <c r="W379" s="25">
        <f t="shared" si="52"/>
        <v>30328.025853642826</v>
      </c>
      <c r="X379" s="25">
        <f t="shared" si="66"/>
        <v>3283344644.5549188</v>
      </c>
      <c r="Y379" s="25">
        <f>W379/((1+'How much will I make'!$C$5/12)^(Calculations!$B$1*12-Calculations!$A379))</f>
        <v>19599.051360129499</v>
      </c>
      <c r="Z379" s="25">
        <f t="shared" si="67"/>
        <v>558994441.84196293</v>
      </c>
      <c r="AA379" s="25">
        <f t="shared" si="53"/>
        <v>46434.202183575508</v>
      </c>
      <c r="AB379" s="25">
        <f t="shared" si="68"/>
        <v>19203256623.218433</v>
      </c>
      <c r="AC379" s="25">
        <f>AA379/((1+'How much will I make'!$C$5/12)^(Calculations!$B$1*12-Calculations!$A379))</f>
        <v>30007.436615041719</v>
      </c>
      <c r="AD379" s="25">
        <f t="shared" si="69"/>
        <v>3143163712.4314232</v>
      </c>
      <c r="AE379" s="25">
        <f t="shared" si="54"/>
        <v>70971.565088122108</v>
      </c>
      <c r="AF379" s="25">
        <f t="shared" si="70"/>
        <v>114562646166.9254</v>
      </c>
      <c r="AG379" s="25">
        <f>AE379/((1+'How much will I make'!$C$5/12)^(Calculations!$B$1*12-Calculations!$A379))</f>
        <v>45864.355167179565</v>
      </c>
      <c r="AH379" s="25">
        <f t="shared" si="71"/>
        <v>18237070666.610271</v>
      </c>
    </row>
    <row r="380" spans="1:34" ht="15.75" customHeight="1">
      <c r="A380" s="22">
        <f t="shared" si="55"/>
        <v>376</v>
      </c>
      <c r="B380" s="22">
        <f t="shared" si="81"/>
        <v>2269.0197469540999</v>
      </c>
      <c r="C380" s="25">
        <f t="shared" si="47"/>
        <v>3496.5646718330231</v>
      </c>
      <c r="D380" s="25">
        <f t="shared" si="56"/>
        <v>1324525.4663992983</v>
      </c>
      <c r="E380" s="25">
        <f>$C380/((1+'How much will I make'!$C$5/12)^(Calculations!$B$1*12-Calculations!$A380))</f>
        <v>2269.0197469540999</v>
      </c>
      <c r="F380" s="25">
        <f t="shared" si="57"/>
        <v>433640.81825680099</v>
      </c>
      <c r="G380" s="25">
        <f t="shared" si="48"/>
        <v>5378.5746354388039</v>
      </c>
      <c r="H380" s="25">
        <f t="shared" si="58"/>
        <v>4911360.3092877921</v>
      </c>
      <c r="I380" s="25">
        <f>G380/((1+'How much will I make'!$C$5/12)^(Calculations!$B$1*12-Calculations!$A380))</f>
        <v>3490.3092617129478</v>
      </c>
      <c r="J380" s="25">
        <f t="shared" si="59"/>
        <v>1317871.7644214216</v>
      </c>
      <c r="K380" s="25">
        <f t="shared" si="49"/>
        <v>8258.8882871578917</v>
      </c>
      <c r="L380" s="25">
        <f t="shared" si="60"/>
        <v>21592982.368996371</v>
      </c>
      <c r="M380" s="25">
        <f>K380/((1+'How much will I make'!$C$5/12)^(Calculations!$B$1*12-Calculations!$A380))</f>
        <v>5359.4262855791039</v>
      </c>
      <c r="N380" s="25">
        <f t="shared" si="61"/>
        <v>4854555.4571073297</v>
      </c>
      <c r="O380" s="25">
        <f t="shared" si="50"/>
        <v>12659.340366648546</v>
      </c>
      <c r="P380" s="25">
        <f t="shared" si="62"/>
        <v>107436115.94314237</v>
      </c>
      <c r="Q380" s="25">
        <f>O380/((1+'How much will I make'!$C$5/12)^(Calculations!$B$1*12-Calculations!$A380))</f>
        <v>8215.0041458493652</v>
      </c>
      <c r="R380" s="25">
        <f t="shared" si="63"/>
        <v>21180334.146297444</v>
      </c>
      <c r="S380" s="25">
        <f t="shared" si="51"/>
        <v>19370.548185692172</v>
      </c>
      <c r="T380" s="25">
        <f t="shared" si="64"/>
        <v>579241445.256145</v>
      </c>
      <c r="U380" s="25">
        <f>S380/((1+'How much will I make'!$C$5/12)^(Calculations!$B$1*12-Calculations!$A380))</f>
        <v>12570.096785774642</v>
      </c>
      <c r="V380" s="25">
        <f t="shared" si="65"/>
        <v>104533453.33556147</v>
      </c>
      <c r="W380" s="25">
        <f t="shared" si="52"/>
        <v>29588.317905993004</v>
      </c>
      <c r="X380" s="25">
        <f t="shared" si="66"/>
        <v>3283374232.8728247</v>
      </c>
      <c r="Y380" s="25">
        <f>W380/((1+'How much will I make'!$C$5/12)^(Calculations!$B$1*12-Calculations!$A380))</f>
        <v>19200.69665768784</v>
      </c>
      <c r="Z380" s="25">
        <f t="shared" si="67"/>
        <v>559013642.53862059</v>
      </c>
      <c r="AA380" s="25">
        <f t="shared" si="53"/>
        <v>45118.253133838552</v>
      </c>
      <c r="AB380" s="25">
        <f t="shared" si="68"/>
        <v>19203301741.471569</v>
      </c>
      <c r="AC380" s="25">
        <f>AA380/((1+'How much will I make'!$C$5/12)^(Calculations!$B$1*12-Calculations!$A380))</f>
        <v>29278.511029251229</v>
      </c>
      <c r="AD380" s="25">
        <f t="shared" si="69"/>
        <v>3143192990.9424524</v>
      </c>
      <c r="AE380" s="25">
        <f t="shared" si="54"/>
        <v>68682.159762698822</v>
      </c>
      <c r="AF380" s="25">
        <f t="shared" si="70"/>
        <v>114562714849.08516</v>
      </c>
      <c r="AG380" s="25">
        <f>AE380/((1+'How much will I make'!$C$5/12)^(Calculations!$B$1*12-Calculations!$A380))</f>
        <v>44569.796755202726</v>
      </c>
      <c r="AH380" s="25">
        <f t="shared" si="71"/>
        <v>18237115236.407028</v>
      </c>
    </row>
    <row r="381" spans="1:34" ht="15.75" customHeight="1">
      <c r="A381" s="22">
        <f t="shared" si="55"/>
        <v>377</v>
      </c>
      <c r="B381" s="22">
        <f t="shared" si="81"/>
        <v>2269.0197469540999</v>
      </c>
      <c r="C381" s="25">
        <f t="shared" si="47"/>
        <v>3482.0561047299821</v>
      </c>
      <c r="D381" s="25">
        <f t="shared" si="56"/>
        <v>1328007.5225040282</v>
      </c>
      <c r="E381" s="25">
        <f>$C381/((1+'How much will I make'!$C$5/12)^(Calculations!$B$1*12-Calculations!$A381))</f>
        <v>2269.0197469540999</v>
      </c>
      <c r="F381" s="25">
        <f t="shared" si="57"/>
        <v>435909.83800375508</v>
      </c>
      <c r="G381" s="25">
        <f t="shared" si="48"/>
        <v>5334.1236053938537</v>
      </c>
      <c r="H381" s="25">
        <f t="shared" si="58"/>
        <v>4916694.4328931859</v>
      </c>
      <c r="I381" s="25">
        <f>G381/((1+'How much will I make'!$C$5/12)^(Calculations!$B$1*12-Calculations!$A381))</f>
        <v>3475.8864961686781</v>
      </c>
      <c r="J381" s="25">
        <f t="shared" si="59"/>
        <v>1321347.6509175904</v>
      </c>
      <c r="K381" s="25">
        <f t="shared" si="49"/>
        <v>8156.9267033658198</v>
      </c>
      <c r="L381" s="25">
        <f t="shared" si="60"/>
        <v>21601139.295699738</v>
      </c>
      <c r="M381" s="25">
        <f>K381/((1+'How much will I make'!$C$5/12)^(Calculations!$B$1*12-Calculations!$A381))</f>
        <v>5315.3157811710462</v>
      </c>
      <c r="N381" s="25">
        <f t="shared" si="61"/>
        <v>4859870.7728885012</v>
      </c>
      <c r="O381" s="25">
        <f t="shared" si="50"/>
        <v>12451.810196703491</v>
      </c>
      <c r="P381" s="25">
        <f t="shared" si="62"/>
        <v>107448567.75333907</v>
      </c>
      <c r="Q381" s="25">
        <f>O381/((1+'How much will I make'!$C$5/12)^(Calculations!$B$1*12-Calculations!$A381))</f>
        <v>8113.9999965151519</v>
      </c>
      <c r="R381" s="25">
        <f t="shared" si="63"/>
        <v>21188448.146293961</v>
      </c>
      <c r="S381" s="25">
        <f t="shared" si="51"/>
        <v>18975.230875780089</v>
      </c>
      <c r="T381" s="25">
        <f t="shared" si="64"/>
        <v>579260420.48702073</v>
      </c>
      <c r="U381" s="25">
        <f>S381/((1+'How much will I make'!$C$5/12)^(Calculations!$B$1*12-Calculations!$A381))</f>
        <v>12364.870715802812</v>
      </c>
      <c r="V381" s="25">
        <f t="shared" si="65"/>
        <v>104545818.20627727</v>
      </c>
      <c r="W381" s="25">
        <f t="shared" si="52"/>
        <v>28866.651615602932</v>
      </c>
      <c r="X381" s="25">
        <f t="shared" si="66"/>
        <v>3283403099.5244403</v>
      </c>
      <c r="Y381" s="25">
        <f>W381/((1+'How much will I make'!$C$5/12)^(Calculations!$B$1*12-Calculations!$A381))</f>
        <v>18810.438595539712</v>
      </c>
      <c r="Z381" s="25">
        <f t="shared" si="67"/>
        <v>559032452.97721612</v>
      </c>
      <c r="AA381" s="25">
        <f t="shared" si="53"/>
        <v>43839.598186725736</v>
      </c>
      <c r="AB381" s="25">
        <f t="shared" si="68"/>
        <v>19203345581.069756</v>
      </c>
      <c r="AC381" s="25">
        <f>AA381/((1+'How much will I make'!$C$5/12)^(Calculations!$B$1*12-Calculations!$A381))</f>
        <v>28567.292137852422</v>
      </c>
      <c r="AD381" s="25">
        <f t="shared" si="69"/>
        <v>3143221558.2345901</v>
      </c>
      <c r="AE381" s="25">
        <f t="shared" si="54"/>
        <v>66466.606221966591</v>
      </c>
      <c r="AF381" s="25">
        <f t="shared" si="70"/>
        <v>114562781315.69138</v>
      </c>
      <c r="AG381" s="25">
        <f>AE381/((1+'How much will I make'!$C$5/12)^(Calculations!$B$1*12-Calculations!$A381))</f>
        <v>43311.778298402634</v>
      </c>
      <c r="AH381" s="25">
        <f t="shared" si="71"/>
        <v>18237158548.185326</v>
      </c>
    </row>
    <row r="382" spans="1:34" ht="15.75" customHeight="1">
      <c r="A382" s="22">
        <f t="shared" si="55"/>
        <v>378</v>
      </c>
      <c r="B382" s="22">
        <f t="shared" si="81"/>
        <v>2269.0197469540999</v>
      </c>
      <c r="C382" s="25">
        <f t="shared" si="47"/>
        <v>3467.607739150189</v>
      </c>
      <c r="D382" s="25">
        <f t="shared" si="56"/>
        <v>1331475.1302431785</v>
      </c>
      <c r="E382" s="25">
        <f>$C382/((1+'How much will I make'!$C$5/12)^(Calculations!$B$1*12-Calculations!$A382))</f>
        <v>2269.0197469540999</v>
      </c>
      <c r="F382" s="25">
        <f t="shared" si="57"/>
        <v>438178.85775070917</v>
      </c>
      <c r="G382" s="25">
        <f t="shared" si="48"/>
        <v>5290.0399392335758</v>
      </c>
      <c r="H382" s="25">
        <f t="shared" si="58"/>
        <v>4921984.4728324199</v>
      </c>
      <c r="I382" s="25">
        <f>G382/((1+'How much will I make'!$C$5/12)^(Calculations!$B$1*12-Calculations!$A382))</f>
        <v>3461.5233288291397</v>
      </c>
      <c r="J382" s="25">
        <f t="shared" si="59"/>
        <v>1324809.1742464195</v>
      </c>
      <c r="K382" s="25">
        <f t="shared" si="49"/>
        <v>8056.2239045588349</v>
      </c>
      <c r="L382" s="25">
        <f t="shared" si="60"/>
        <v>21609195.519604295</v>
      </c>
      <c r="M382" s="25">
        <f>K382/((1+'How much will I make'!$C$5/12)^(Calculations!$B$1*12-Calculations!$A382))</f>
        <v>5271.568326181985</v>
      </c>
      <c r="N382" s="25">
        <f t="shared" si="61"/>
        <v>4865142.3412146829</v>
      </c>
      <c r="O382" s="25">
        <f t="shared" si="50"/>
        <v>12247.68216069196</v>
      </c>
      <c r="P382" s="25">
        <f t="shared" si="62"/>
        <v>107460815.43549976</v>
      </c>
      <c r="Q382" s="25">
        <f>O382/((1+'How much will I make'!$C$5/12)^(Calculations!$B$1*12-Calculations!$A382))</f>
        <v>8014.2377014760332</v>
      </c>
      <c r="R382" s="25">
        <f t="shared" si="63"/>
        <v>21196462.383995436</v>
      </c>
      <c r="S382" s="25">
        <f t="shared" si="51"/>
        <v>18587.981266070299</v>
      </c>
      <c r="T382" s="25">
        <f t="shared" si="64"/>
        <v>579279008.46828675</v>
      </c>
      <c r="U382" s="25">
        <f>S382/((1+'How much will I make'!$C$5/12)^(Calculations!$B$1*12-Calculations!$A382))</f>
        <v>12162.995275544814</v>
      </c>
      <c r="V382" s="25">
        <f t="shared" si="65"/>
        <v>104557981.20155281</v>
      </c>
      <c r="W382" s="25">
        <f t="shared" si="52"/>
        <v>28162.586942051639</v>
      </c>
      <c r="X382" s="25">
        <f t="shared" si="66"/>
        <v>3283431262.1113825</v>
      </c>
      <c r="Y382" s="25">
        <f>W382/((1+'How much will I make'!$C$5/12)^(Calculations!$B$1*12-Calculations!$A382))</f>
        <v>18428.112607825493</v>
      </c>
      <c r="Z382" s="25">
        <f t="shared" si="67"/>
        <v>559050881.08982396</v>
      </c>
      <c r="AA382" s="25">
        <f t="shared" si="53"/>
        <v>42597.180424348888</v>
      </c>
      <c r="AB382" s="25">
        <f t="shared" si="68"/>
        <v>19203388178.250179</v>
      </c>
      <c r="AC382" s="25">
        <f>AA382/((1+'How much will I make'!$C$5/12)^(Calculations!$B$1*12-Calculations!$A382))</f>
        <v>27873.349818714309</v>
      </c>
      <c r="AD382" s="25">
        <f t="shared" si="69"/>
        <v>3143249431.5844088</v>
      </c>
      <c r="AE382" s="25">
        <f t="shared" si="54"/>
        <v>64322.522150290242</v>
      </c>
      <c r="AF382" s="25">
        <f t="shared" si="70"/>
        <v>114562845638.21353</v>
      </c>
      <c r="AG382" s="25">
        <f>AE382/((1+'How much will I make'!$C$5/12)^(Calculations!$B$1*12-Calculations!$A382))</f>
        <v>42089.26842707675</v>
      </c>
      <c r="AH382" s="25">
        <f t="shared" si="71"/>
        <v>18237200637.453754</v>
      </c>
    </row>
    <row r="383" spans="1:34" ht="15.75" customHeight="1">
      <c r="A383" s="22">
        <f t="shared" si="55"/>
        <v>379</v>
      </c>
      <c r="B383" s="22">
        <f t="shared" si="81"/>
        <v>2269.0197469540999</v>
      </c>
      <c r="C383" s="25">
        <f t="shared" si="47"/>
        <v>3453.2193252947936</v>
      </c>
      <c r="D383" s="25">
        <f t="shared" si="56"/>
        <v>1334928.3495684732</v>
      </c>
      <c r="E383" s="25">
        <f>$C383/((1+'How much will I make'!$C$5/12)^(Calculations!$B$1*12-Calculations!$A383))</f>
        <v>2269.0197469540999</v>
      </c>
      <c r="F383" s="25">
        <f t="shared" si="57"/>
        <v>440447.87749766326</v>
      </c>
      <c r="G383" s="25">
        <f t="shared" si="48"/>
        <v>5246.3206008928018</v>
      </c>
      <c r="H383" s="25">
        <f t="shared" si="58"/>
        <v>4927230.7934333123</v>
      </c>
      <c r="I383" s="25">
        <f>G383/((1+'How much will I make'!$C$5/12)^(Calculations!$B$1*12-Calculations!$A383))</f>
        <v>3447.219513420755</v>
      </c>
      <c r="J383" s="25">
        <f t="shared" si="59"/>
        <v>1328256.3937598402</v>
      </c>
      <c r="K383" s="25">
        <f t="shared" si="49"/>
        <v>7956.7643501815646</v>
      </c>
      <c r="L383" s="25">
        <f t="shared" si="60"/>
        <v>21617152.283954479</v>
      </c>
      <c r="M383" s="25">
        <f>K383/((1+'How much will I make'!$C$5/12)^(Calculations!$B$1*12-Calculations!$A383))</f>
        <v>5228.1809325508575</v>
      </c>
      <c r="N383" s="25">
        <f t="shared" si="61"/>
        <v>4870370.5221472336</v>
      </c>
      <c r="O383" s="25">
        <f t="shared" si="50"/>
        <v>12046.900485926517</v>
      </c>
      <c r="P383" s="25">
        <f t="shared" si="62"/>
        <v>107472862.33598569</v>
      </c>
      <c r="Q383" s="25">
        <f>O383/((1+'How much will I make'!$C$5/12)^(Calculations!$B$1*12-Calculations!$A383))</f>
        <v>7915.7019920316561</v>
      </c>
      <c r="R383" s="25">
        <f t="shared" si="63"/>
        <v>21204378.085987467</v>
      </c>
      <c r="S383" s="25">
        <f t="shared" si="51"/>
        <v>18208.634709619888</v>
      </c>
      <c r="T383" s="25">
        <f t="shared" si="64"/>
        <v>579297217.10299635</v>
      </c>
      <c r="U383" s="25">
        <f>S383/((1+'How much will I make'!$C$5/12)^(Calculations!$B$1*12-Calculations!$A383))</f>
        <v>11964.415760842045</v>
      </c>
      <c r="V383" s="25">
        <f t="shared" si="65"/>
        <v>104569945.61731365</v>
      </c>
      <c r="W383" s="25">
        <f t="shared" si="52"/>
        <v>27475.694577611364</v>
      </c>
      <c r="X383" s="25">
        <f t="shared" si="66"/>
        <v>3283458737.8059602</v>
      </c>
      <c r="Y383" s="25">
        <f>W383/((1+'How much will I make'!$C$5/12)^(Calculations!$B$1*12-Calculations!$A383))</f>
        <v>18053.557473520104</v>
      </c>
      <c r="Z383" s="25">
        <f t="shared" si="67"/>
        <v>559068934.6472975</v>
      </c>
      <c r="AA383" s="25">
        <f t="shared" si="53"/>
        <v>41389.972881958442</v>
      </c>
      <c r="AB383" s="25">
        <f t="shared" si="68"/>
        <v>19203429568.223061</v>
      </c>
      <c r="AC383" s="25">
        <f>AA383/((1+'How much will I make'!$C$5/12)^(Calculations!$B$1*12-Calculations!$A383))</f>
        <v>27196.264398016803</v>
      </c>
      <c r="AD383" s="25">
        <f t="shared" si="69"/>
        <v>3143276627.8488069</v>
      </c>
      <c r="AE383" s="25">
        <f t="shared" si="54"/>
        <v>62247.60208092603</v>
      </c>
      <c r="AF383" s="25">
        <f t="shared" si="70"/>
        <v>114562907885.81561</v>
      </c>
      <c r="AG383" s="25">
        <f>AE383/((1+'How much will I make'!$C$5/12)^(Calculations!$B$1*12-Calculations!$A383))</f>
        <v>40901.264882764102</v>
      </c>
      <c r="AH383" s="25">
        <f t="shared" si="71"/>
        <v>18237241538.718636</v>
      </c>
    </row>
    <row r="384" spans="1:34" ht="15.75" customHeight="1">
      <c r="A384" s="22">
        <f t="shared" si="55"/>
        <v>380</v>
      </c>
      <c r="B384" s="22">
        <f t="shared" si="81"/>
        <v>2269.0197469540999</v>
      </c>
      <c r="C384" s="25">
        <f t="shared" si="47"/>
        <v>3438.8906144014545</v>
      </c>
      <c r="D384" s="25">
        <f t="shared" si="56"/>
        <v>1338367.2401828747</v>
      </c>
      <c r="E384" s="25">
        <f>$C384/((1+'How much will I make'!$C$5/12)^(Calculations!$B$1*12-Calculations!$A384))</f>
        <v>2269.0197469540999</v>
      </c>
      <c r="F384" s="25">
        <f t="shared" si="57"/>
        <v>442716.89724461734</v>
      </c>
      <c r="G384" s="25">
        <f t="shared" si="48"/>
        <v>5202.9625793978203</v>
      </c>
      <c r="H384" s="25">
        <f t="shared" si="58"/>
        <v>4932433.7560127098</v>
      </c>
      <c r="I384" s="25">
        <f>G384/((1+'How much will I make'!$C$5/12)^(Calculations!$B$1*12-Calculations!$A384))</f>
        <v>3432.9748046876116</v>
      </c>
      <c r="J384" s="25">
        <f t="shared" si="59"/>
        <v>1331689.3685645277</v>
      </c>
      <c r="K384" s="25">
        <f t="shared" si="49"/>
        <v>7858.5326915373489</v>
      </c>
      <c r="L384" s="25">
        <f t="shared" si="60"/>
        <v>21625010.816646017</v>
      </c>
      <c r="M384" s="25">
        <f>K384/((1+'How much will I make'!$C$5/12)^(Calculations!$B$1*12-Calculations!$A384))</f>
        <v>5185.1506368096989</v>
      </c>
      <c r="N384" s="25">
        <f t="shared" si="61"/>
        <v>4875555.6727840435</v>
      </c>
      <c r="O384" s="25">
        <f t="shared" si="50"/>
        <v>11849.410314026081</v>
      </c>
      <c r="P384" s="25">
        <f t="shared" si="62"/>
        <v>107484711.74629971</v>
      </c>
      <c r="Q384" s="25">
        <f>O384/((1+'How much will I make'!$C$5/12)^(Calculations!$B$1*12-Calculations!$A384))</f>
        <v>7818.3777872115934</v>
      </c>
      <c r="R384" s="25">
        <f t="shared" si="63"/>
        <v>21212196.463774677</v>
      </c>
      <c r="S384" s="25">
        <f t="shared" si="51"/>
        <v>17837.029919627646</v>
      </c>
      <c r="T384" s="25">
        <f t="shared" si="64"/>
        <v>579315054.13291597</v>
      </c>
      <c r="U384" s="25">
        <f>S384/((1+'How much will I make'!$C$5/12)^(Calculations!$B$1*12-Calculations!$A384))</f>
        <v>11769.078360665031</v>
      </c>
      <c r="V384" s="25">
        <f t="shared" si="65"/>
        <v>104581714.69567432</v>
      </c>
      <c r="W384" s="25">
        <f t="shared" si="52"/>
        <v>26805.555685474501</v>
      </c>
      <c r="X384" s="25">
        <f t="shared" si="66"/>
        <v>3283485543.3616457</v>
      </c>
      <c r="Y384" s="25">
        <f>W384/((1+'How much will I make'!$C$5/12)^(Calculations!$B$1*12-Calculations!$A384))</f>
        <v>17686.615248448557</v>
      </c>
      <c r="Z384" s="25">
        <f t="shared" si="67"/>
        <v>559086621.26254594</v>
      </c>
      <c r="AA384" s="25">
        <f t="shared" si="53"/>
        <v>40216.977699068935</v>
      </c>
      <c r="AB384" s="25">
        <f t="shared" si="68"/>
        <v>19203469785.20076</v>
      </c>
      <c r="AC384" s="25">
        <f>AA384/((1+'How much will I make'!$C$5/12)^(Calculations!$B$1*12-Calculations!$A384))</f>
        <v>26535.626396445547</v>
      </c>
      <c r="AD384" s="25">
        <f t="shared" si="69"/>
        <v>3143303163.4752035</v>
      </c>
      <c r="AE384" s="25">
        <f t="shared" si="54"/>
        <v>60239.614917025188</v>
      </c>
      <c r="AF384" s="25">
        <f t="shared" si="70"/>
        <v>114562968125.43053</v>
      </c>
      <c r="AG384" s="25">
        <f>AE384/((1+'How much will I make'!$C$5/12)^(Calculations!$B$1*12-Calculations!$A384))</f>
        <v>39746.793696557048</v>
      </c>
      <c r="AH384" s="25">
        <f t="shared" si="71"/>
        <v>18237281285.512333</v>
      </c>
    </row>
    <row r="385" spans="1:34" ht="15.75" customHeight="1">
      <c r="A385" s="22">
        <f t="shared" si="55"/>
        <v>381</v>
      </c>
      <c r="B385" s="22">
        <f t="shared" si="81"/>
        <v>2269.0197469540999</v>
      </c>
      <c r="C385" s="25">
        <f t="shared" si="47"/>
        <v>3424.6213587400384</v>
      </c>
      <c r="D385" s="25">
        <f t="shared" si="56"/>
        <v>1341791.8615416149</v>
      </c>
      <c r="E385" s="25">
        <f>$C385/((1+'How much will I make'!$C$5/12)^(Calculations!$B$1*12-Calculations!$A385))</f>
        <v>2269.0197469540999</v>
      </c>
      <c r="F385" s="25">
        <f t="shared" si="57"/>
        <v>444985.91699157143</v>
      </c>
      <c r="G385" s="25">
        <f t="shared" si="48"/>
        <v>5159.9628886589962</v>
      </c>
      <c r="H385" s="25">
        <f t="shared" si="58"/>
        <v>4937593.7189013688</v>
      </c>
      <c r="I385" s="25">
        <f>G385/((1+'How much will I make'!$C$5/12)^(Calculations!$B$1*12-Calculations!$A385))</f>
        <v>3418.7889583872493</v>
      </c>
      <c r="J385" s="25">
        <f t="shared" si="59"/>
        <v>1335108.1575229149</v>
      </c>
      <c r="K385" s="25">
        <f t="shared" si="49"/>
        <v>7761.5137694196037</v>
      </c>
      <c r="L385" s="25">
        <f t="shared" si="60"/>
        <v>21632772.330415435</v>
      </c>
      <c r="M385" s="25">
        <f>K385/((1+'How much will I make'!$C$5/12)^(Calculations!$B$1*12-Calculations!$A385))</f>
        <v>5142.474499881223</v>
      </c>
      <c r="N385" s="25">
        <f t="shared" si="61"/>
        <v>4880698.1472839247</v>
      </c>
      <c r="O385" s="25">
        <f t="shared" si="50"/>
        <v>11655.157685927294</v>
      </c>
      <c r="P385" s="25">
        <f t="shared" si="62"/>
        <v>107496366.90398563</v>
      </c>
      <c r="Q385" s="25">
        <f>O385/((1+'How much will I make'!$C$5/12)^(Calculations!$B$1*12-Calculations!$A385))</f>
        <v>7722.2501914671875</v>
      </c>
      <c r="R385" s="25">
        <f t="shared" si="63"/>
        <v>21219918.713966146</v>
      </c>
      <c r="S385" s="25">
        <f t="shared" si="51"/>
        <v>17473.008900859735</v>
      </c>
      <c r="T385" s="25">
        <f t="shared" si="64"/>
        <v>579332527.14181685</v>
      </c>
      <c r="U385" s="25">
        <f>S385/((1+'How much will I make'!$C$5/12)^(Calculations!$B$1*12-Calculations!$A385))</f>
        <v>11576.930142531723</v>
      </c>
      <c r="V385" s="25">
        <f t="shared" si="65"/>
        <v>104593291.62581685</v>
      </c>
      <c r="W385" s="25">
        <f t="shared" si="52"/>
        <v>26151.761644365368</v>
      </c>
      <c r="X385" s="25">
        <f t="shared" si="66"/>
        <v>3283511695.1232901</v>
      </c>
      <c r="Y385" s="25">
        <f>W385/((1+'How much will I make'!$C$5/12)^(Calculations!$B$1*12-Calculations!$A385))</f>
        <v>17327.131198683339</v>
      </c>
      <c r="Z385" s="25">
        <f t="shared" si="67"/>
        <v>559103948.39374459</v>
      </c>
      <c r="AA385" s="25">
        <f t="shared" si="53"/>
        <v>39077.225294641888</v>
      </c>
      <c r="AB385" s="25">
        <f t="shared" si="68"/>
        <v>19203508862.426056</v>
      </c>
      <c r="AC385" s="25">
        <f>AA385/((1+'How much will I make'!$C$5/12)^(Calculations!$B$1*12-Calculations!$A385))</f>
        <v>25891.036281552133</v>
      </c>
      <c r="AD385" s="25">
        <f t="shared" si="69"/>
        <v>3143329054.5114851</v>
      </c>
      <c r="AE385" s="25">
        <f t="shared" si="54"/>
        <v>58296.401532605007</v>
      </c>
      <c r="AF385" s="25">
        <f t="shared" si="70"/>
        <v>114563026421.83206</v>
      </c>
      <c r="AG385" s="25">
        <f>AE385/((1+'How much will I make'!$C$5/12)^(Calculations!$B$1*12-Calculations!$A385))</f>
        <v>38624.908390605822</v>
      </c>
      <c r="AH385" s="25">
        <f t="shared" si="71"/>
        <v>18237319910.420723</v>
      </c>
    </row>
    <row r="386" spans="1:34" ht="15.75" customHeight="1">
      <c r="A386" s="22">
        <f t="shared" si="55"/>
        <v>382</v>
      </c>
      <c r="B386" s="22">
        <f t="shared" si="81"/>
        <v>2269.0197469540999</v>
      </c>
      <c r="C386" s="25">
        <f t="shared" si="47"/>
        <v>3410.4113116083363</v>
      </c>
      <c r="D386" s="25">
        <f t="shared" si="56"/>
        <v>1345202.2728532231</v>
      </c>
      <c r="E386" s="25">
        <f>$C386/((1+'How much will I make'!$C$5/12)^(Calculations!$B$1*12-Calculations!$A386))</f>
        <v>2269.0197469540999</v>
      </c>
      <c r="F386" s="25">
        <f t="shared" si="57"/>
        <v>447254.93673852552</v>
      </c>
      <c r="G386" s="25">
        <f t="shared" si="48"/>
        <v>5117.3185672651207</v>
      </c>
      <c r="H386" s="25">
        <f t="shared" si="58"/>
        <v>4942711.0374686336</v>
      </c>
      <c r="I386" s="25">
        <f>G386/((1+'How much will I make'!$C$5/12)^(Calculations!$B$1*12-Calculations!$A386))</f>
        <v>3404.6617312864769</v>
      </c>
      <c r="J386" s="25">
        <f t="shared" si="59"/>
        <v>1338512.8192542014</v>
      </c>
      <c r="K386" s="25">
        <f t="shared" si="49"/>
        <v>7665.6926117724479</v>
      </c>
      <c r="L386" s="25">
        <f t="shared" si="60"/>
        <v>21640438.023027208</v>
      </c>
      <c r="M386" s="25">
        <f>K386/((1+'How much will I make'!$C$5/12)^(Calculations!$B$1*12-Calculations!$A386))</f>
        <v>5100.1496068780862</v>
      </c>
      <c r="N386" s="25">
        <f t="shared" si="61"/>
        <v>4885798.2968908027</v>
      </c>
      <c r="O386" s="25">
        <f t="shared" si="50"/>
        <v>11464.089527141601</v>
      </c>
      <c r="P386" s="25">
        <f t="shared" si="62"/>
        <v>107507830.99351278</v>
      </c>
      <c r="Q386" s="25">
        <f>O386/((1+'How much will I make'!$C$5/12)^(Calculations!$B$1*12-Calculations!$A386))</f>
        <v>7627.3044923917732</v>
      </c>
      <c r="R386" s="25">
        <f t="shared" si="63"/>
        <v>21227546.018458538</v>
      </c>
      <c r="S386" s="25">
        <f t="shared" si="51"/>
        <v>17116.416882474845</v>
      </c>
      <c r="T386" s="25">
        <f t="shared" si="64"/>
        <v>579349643.55869937</v>
      </c>
      <c r="U386" s="25">
        <f>S386/((1+'How much will I make'!$C$5/12)^(Calculations!$B$1*12-Calculations!$A386))</f>
        <v>11387.919038163862</v>
      </c>
      <c r="V386" s="25">
        <f t="shared" si="65"/>
        <v>104604679.54485501</v>
      </c>
      <c r="W386" s="25">
        <f t="shared" si="52"/>
        <v>25513.913799380851</v>
      </c>
      <c r="X386" s="25">
        <f t="shared" si="66"/>
        <v>3283537209.0370893</v>
      </c>
      <c r="Y386" s="25">
        <f>W386/((1+'How much will I make'!$C$5/12)^(Calculations!$B$1*12-Calculations!$A386))</f>
        <v>16974.953735295472</v>
      </c>
      <c r="Z386" s="25">
        <f t="shared" si="67"/>
        <v>559120923.34747994</v>
      </c>
      <c r="AA386" s="25">
        <f t="shared" si="53"/>
        <v>37969.77356564394</v>
      </c>
      <c r="AB386" s="25">
        <f t="shared" si="68"/>
        <v>19203546832.199623</v>
      </c>
      <c r="AC386" s="25">
        <f>AA386/((1+'How much will I make'!$C$5/12)^(Calculations!$B$1*12-Calculations!$A386))</f>
        <v>25262.104226129817</v>
      </c>
      <c r="AD386" s="25">
        <f t="shared" si="69"/>
        <v>3143354316.6157112</v>
      </c>
      <c r="AE386" s="25">
        <f t="shared" si="54"/>
        <v>56415.872450908071</v>
      </c>
      <c r="AF386" s="25">
        <f t="shared" si="70"/>
        <v>114563082837.70451</v>
      </c>
      <c r="AG386" s="25">
        <f>AE386/((1+'How much will I make'!$C$5/12)^(Calculations!$B$1*12-Calculations!$A386))</f>
        <v>37534.689202161309</v>
      </c>
      <c r="AH386" s="25">
        <f t="shared" si="71"/>
        <v>18237357445.109924</v>
      </c>
    </row>
    <row r="387" spans="1:34" ht="15.75" customHeight="1">
      <c r="A387" s="22">
        <f t="shared" si="55"/>
        <v>383</v>
      </c>
      <c r="B387" s="22">
        <f t="shared" si="81"/>
        <v>2269.0197469540999</v>
      </c>
      <c r="C387" s="25">
        <f t="shared" si="47"/>
        <v>3396.2602273278039</v>
      </c>
      <c r="D387" s="25">
        <f t="shared" si="56"/>
        <v>1348598.5330805508</v>
      </c>
      <c r="E387" s="25">
        <f>$C387/((1+'How much will I make'!$C$5/12)^(Calculations!$B$1*12-Calculations!$A387))</f>
        <v>2269.0197469540999</v>
      </c>
      <c r="F387" s="25">
        <f t="shared" si="57"/>
        <v>449523.9564854796</v>
      </c>
      <c r="G387" s="25">
        <f t="shared" si="48"/>
        <v>5075.0266782794579</v>
      </c>
      <c r="H387" s="25">
        <f t="shared" si="58"/>
        <v>4947786.0641469127</v>
      </c>
      <c r="I387" s="25">
        <f>G387/((1+'How much will I make'!$C$5/12)^(Calculations!$B$1*12-Calculations!$A387))</f>
        <v>3390.592881157193</v>
      </c>
      <c r="J387" s="25">
        <f t="shared" si="59"/>
        <v>1341903.4121353587</v>
      </c>
      <c r="K387" s="25">
        <f t="shared" si="49"/>
        <v>7571.0544313801956</v>
      </c>
      <c r="L387" s="25">
        <f t="shared" si="60"/>
        <v>21648009.077458587</v>
      </c>
      <c r="M387" s="25">
        <f>K387/((1+'How much will I make'!$C$5/12)^(Calculations!$B$1*12-Calculations!$A387))</f>
        <v>5058.1730669037806</v>
      </c>
      <c r="N387" s="25">
        <f t="shared" si="61"/>
        <v>4890856.4699577065</v>
      </c>
      <c r="O387" s="25">
        <f t="shared" si="50"/>
        <v>11276.153633254035</v>
      </c>
      <c r="P387" s="25">
        <f t="shared" si="62"/>
        <v>107519107.14714603</v>
      </c>
      <c r="Q387" s="25">
        <f>O387/((1+'How much will I make'!$C$5/12)^(Calculations!$B$1*12-Calculations!$A387))</f>
        <v>7533.5261584689233</v>
      </c>
      <c r="R387" s="25">
        <f t="shared" si="63"/>
        <v>21235079.544617008</v>
      </c>
      <c r="S387" s="25">
        <f t="shared" si="51"/>
        <v>16767.102252220258</v>
      </c>
      <c r="T387" s="25">
        <f t="shared" si="64"/>
        <v>579366410.66095161</v>
      </c>
      <c r="U387" s="25">
        <f>S387/((1+'How much will I make'!$C$5/12)^(Calculations!$B$1*12-Calculations!$A387))</f>
        <v>11201.993829377514</v>
      </c>
      <c r="V387" s="25">
        <f t="shared" si="65"/>
        <v>104615881.5386844</v>
      </c>
      <c r="W387" s="25">
        <f t="shared" si="52"/>
        <v>24891.623218908146</v>
      </c>
      <c r="X387" s="25">
        <f t="shared" si="66"/>
        <v>3283562100.6603084</v>
      </c>
      <c r="Y387" s="25">
        <f>W387/((1+'How much will I make'!$C$5/12)^(Calculations!$B$1*12-Calculations!$A387))</f>
        <v>16629.93435043174</v>
      </c>
      <c r="Z387" s="25">
        <f t="shared" si="67"/>
        <v>559137553.28183043</v>
      </c>
      <c r="AA387" s="25">
        <f t="shared" si="53"/>
        <v>36893.707108318005</v>
      </c>
      <c r="AB387" s="25">
        <f t="shared" si="68"/>
        <v>19203583725.906731</v>
      </c>
      <c r="AC387" s="25">
        <f>AA387/((1+'How much will I make'!$C$5/12)^(Calculations!$B$1*12-Calculations!$A387))</f>
        <v>24648.449872458652</v>
      </c>
      <c r="AD387" s="25">
        <f t="shared" si="69"/>
        <v>3143378965.0655837</v>
      </c>
      <c r="AE387" s="25">
        <f t="shared" si="54"/>
        <v>54596.005597652977</v>
      </c>
      <c r="AF387" s="25">
        <f t="shared" si="70"/>
        <v>114563137433.71011</v>
      </c>
      <c r="AG387" s="25">
        <f>AE387/((1+'How much will I make'!$C$5/12)^(Calculations!$B$1*12-Calculations!$A387))</f>
        <v>36475.242329519664</v>
      </c>
      <c r="AH387" s="25">
        <f t="shared" si="71"/>
        <v>18237393920.352253</v>
      </c>
    </row>
    <row r="388" spans="1:34" ht="15.75" customHeight="1">
      <c r="A388" s="22">
        <f t="shared" si="55"/>
        <v>384</v>
      </c>
      <c r="B388" s="22">
        <f t="shared" si="81"/>
        <v>2269.0197469540999</v>
      </c>
      <c r="C388" s="25">
        <f t="shared" si="47"/>
        <v>3382.1678612393066</v>
      </c>
      <c r="D388" s="25">
        <f t="shared" si="56"/>
        <v>1351980.7009417901</v>
      </c>
      <c r="E388" s="25">
        <f>$C388/((1+'How much will I make'!$C$5/12)^(Calculations!$B$1*12-Calculations!$A388))</f>
        <v>2269.0197469540999</v>
      </c>
      <c r="F388" s="25">
        <f t="shared" si="57"/>
        <v>451792.97623243369</v>
      </c>
      <c r="G388" s="25">
        <f t="shared" si="48"/>
        <v>5033.0843090374801</v>
      </c>
      <c r="H388" s="25">
        <f t="shared" si="58"/>
        <v>4952819.1484559504</v>
      </c>
      <c r="I388" s="25">
        <f>G388/((1+'How much will I make'!$C$5/12)^(Calculations!$B$1*12-Calculations!$A388))</f>
        <v>3376.5821667722471</v>
      </c>
      <c r="J388" s="25">
        <f t="shared" si="59"/>
        <v>1345279.994302131</v>
      </c>
      <c r="K388" s="25">
        <f t="shared" si="49"/>
        <v>7477.5846235853778</v>
      </c>
      <c r="L388" s="25">
        <f t="shared" si="60"/>
        <v>21655486.662082173</v>
      </c>
      <c r="M388" s="25">
        <f>K388/((1+'How much will I make'!$C$5/12)^(Calculations!$B$1*12-Calculations!$A388))</f>
        <v>5016.5420128551896</v>
      </c>
      <c r="N388" s="25">
        <f t="shared" si="61"/>
        <v>4895873.0119705619</v>
      </c>
      <c r="O388" s="25">
        <f t="shared" si="50"/>
        <v>11091.298655659706</v>
      </c>
      <c r="P388" s="25">
        <f t="shared" si="62"/>
        <v>107530198.44580169</v>
      </c>
      <c r="Q388" s="25">
        <f>O388/((1+'How much will I make'!$C$5/12)^(Calculations!$B$1*12-Calculations!$A388))</f>
        <v>7440.9008368484047</v>
      </c>
      <c r="R388" s="25">
        <f t="shared" si="63"/>
        <v>21242520.445453856</v>
      </c>
      <c r="S388" s="25">
        <f t="shared" si="51"/>
        <v>16424.916491970864</v>
      </c>
      <c r="T388" s="25">
        <f t="shared" si="64"/>
        <v>579382835.5774436</v>
      </c>
      <c r="U388" s="25">
        <f>S388/((1+'How much will I make'!$C$5/12)^(Calculations!$B$1*12-Calculations!$A388))</f>
        <v>11019.104134204003</v>
      </c>
      <c r="V388" s="25">
        <f t="shared" si="65"/>
        <v>104626900.6428186</v>
      </c>
      <c r="W388" s="25">
        <f t="shared" si="52"/>
        <v>24284.510457471362</v>
      </c>
      <c r="X388" s="25">
        <f t="shared" si="66"/>
        <v>3283586385.1707659</v>
      </c>
      <c r="Y388" s="25">
        <f>W388/((1+'How much will I make'!$C$5/12)^(Calculations!$B$1*12-Calculations!$A388))</f>
        <v>16291.927554691261</v>
      </c>
      <c r="Z388" s="25">
        <f t="shared" si="67"/>
        <v>559153845.20938516</v>
      </c>
      <c r="AA388" s="25">
        <f t="shared" si="53"/>
        <v>35848.136461523565</v>
      </c>
      <c r="AB388" s="25">
        <f t="shared" si="68"/>
        <v>19203619574.043194</v>
      </c>
      <c r="AC388" s="25">
        <f>AA388/((1+'How much will I make'!$C$5/12)^(Calculations!$B$1*12-Calculations!$A388))</f>
        <v>24049.702102277472</v>
      </c>
      <c r="AD388" s="25">
        <f t="shared" si="69"/>
        <v>3143403014.7676859</v>
      </c>
      <c r="AE388" s="25">
        <f t="shared" si="54"/>
        <v>52834.844126760931</v>
      </c>
      <c r="AF388" s="25">
        <f t="shared" si="70"/>
        <v>114563190268.55424</v>
      </c>
      <c r="AG388" s="25">
        <f>AE388/((1+'How much will I make'!$C$5/12)^(Calculations!$B$1*12-Calculations!$A388))</f>
        <v>35445.699199250957</v>
      </c>
      <c r="AH388" s="25">
        <f t="shared" si="71"/>
        <v>18237429366.051453</v>
      </c>
    </row>
    <row r="389" spans="1:34" ht="15.75" customHeight="1">
      <c r="A389" s="22">
        <f t="shared" si="55"/>
        <v>385</v>
      </c>
      <c r="B389" s="22">
        <f>B388*(1+'How much will I make'!$C$4)</f>
        <v>2382.4707343018049</v>
      </c>
      <c r="C389" s="25">
        <f t="shared" si="47"/>
        <v>3536.5406681838404</v>
      </c>
      <c r="D389" s="25">
        <f t="shared" si="56"/>
        <v>1355517.2416099741</v>
      </c>
      <c r="E389" s="25">
        <f>$C389/((1+'How much will I make'!$C$5/12)^(Calculations!$B$1*12-Calculations!$A389))</f>
        <v>2382.4707343018049</v>
      </c>
      <c r="F389" s="25">
        <f t="shared" si="57"/>
        <v>454175.44696673547</v>
      </c>
      <c r="G389" s="25">
        <f t="shared" si="48"/>
        <v>5241.0629994935734</v>
      </c>
      <c r="H389" s="25">
        <f t="shared" si="58"/>
        <v>4958060.2114554439</v>
      </c>
      <c r="I389" s="25">
        <f>G389/((1+'How much will I make'!$C$5/12)^(Calculations!$B$1*12-Calculations!$A389))</f>
        <v>3530.7608152963498</v>
      </c>
      <c r="J389" s="25">
        <f t="shared" si="59"/>
        <v>1348810.7551174273</v>
      </c>
      <c r="K389" s="25">
        <f t="shared" si="49"/>
        <v>7754.5322022366872</v>
      </c>
      <c r="L389" s="25">
        <f t="shared" si="60"/>
        <v>21663241.194284409</v>
      </c>
      <c r="M389" s="25">
        <f>K389/((1+'How much will I make'!$C$5/12)^(Calculations!$B$1*12-Calculations!$A389))</f>
        <v>5224.0162812880872</v>
      </c>
      <c r="N389" s="25">
        <f t="shared" si="61"/>
        <v>4901097.02825185</v>
      </c>
      <c r="O389" s="25">
        <f t="shared" si="50"/>
        <v>11454.947791910845</v>
      </c>
      <c r="P389" s="25">
        <f t="shared" si="62"/>
        <v>107541653.39359359</v>
      </c>
      <c r="Q389" s="25">
        <f>O389/((1+'How much will I make'!$C$5/12)^(Calculations!$B$1*12-Calculations!$A389))</f>
        <v>7716.8850687069198</v>
      </c>
      <c r="R389" s="25">
        <f t="shared" si="63"/>
        <v>21250237.330522563</v>
      </c>
      <c r="S389" s="25">
        <f t="shared" si="51"/>
        <v>16894.199820312893</v>
      </c>
      <c r="T389" s="25">
        <f t="shared" si="64"/>
        <v>579399729.77726388</v>
      </c>
      <c r="U389" s="25">
        <f>S389/((1+'How much will I make'!$C$5/12)^(Calculations!$B$1*12-Calculations!$A389))</f>
        <v>11381.160412899277</v>
      </c>
      <c r="V389" s="25">
        <f t="shared" si="65"/>
        <v>104638281.80323149</v>
      </c>
      <c r="W389" s="25">
        <f t="shared" si="52"/>
        <v>24876.815590580427</v>
      </c>
      <c r="X389" s="25">
        <f t="shared" si="66"/>
        <v>3283611261.9863563</v>
      </c>
      <c r="Y389" s="25">
        <f>W389/((1+'How much will I make'!$C$5/12)^(Calculations!$B$1*12-Calculations!$A389))</f>
        <v>16758.830356563507</v>
      </c>
      <c r="Z389" s="25">
        <f t="shared" si="67"/>
        <v>559170604.03974175</v>
      </c>
      <c r="AA389" s="25">
        <f t="shared" si="53"/>
        <v>36573.807240096925</v>
      </c>
      <c r="AB389" s="25">
        <f t="shared" si="68"/>
        <v>19203656147.850433</v>
      </c>
      <c r="AC389" s="25">
        <f>AA389/((1+'How much will I make'!$C$5/12)^(Calculations!$B$1*12-Calculations!$A389))</f>
        <v>24638.77375296078</v>
      </c>
      <c r="AD389" s="25">
        <f t="shared" si="69"/>
        <v>3143427653.5414391</v>
      </c>
      <c r="AE389" s="25">
        <f t="shared" si="54"/>
        <v>53687.019032031261</v>
      </c>
      <c r="AF389" s="25">
        <f t="shared" si="70"/>
        <v>114563243955.57327</v>
      </c>
      <c r="AG389" s="25">
        <f>AE389/((1+'How much will I make'!$C$5/12)^(Calculations!$B$1*12-Calculations!$A389))</f>
        <v>36167.47654181633</v>
      </c>
      <c r="AH389" s="25">
        <f t="shared" si="71"/>
        <v>18237465533.527996</v>
      </c>
    </row>
    <row r="390" spans="1:34" ht="15.75" customHeight="1">
      <c r="A390" s="22">
        <f t="shared" si="55"/>
        <v>386</v>
      </c>
      <c r="B390" s="22">
        <f t="shared" ref="B390:B400" si="82">B389</f>
        <v>2382.4707343018049</v>
      </c>
      <c r="C390" s="25">
        <f t="shared" si="47"/>
        <v>3521.8662255772665</v>
      </c>
      <c r="D390" s="25">
        <f t="shared" si="56"/>
        <v>1359039.1078355513</v>
      </c>
      <c r="E390" s="25">
        <f>$C390/((1+'How much will I make'!$C$5/12)^(Calculations!$B$1*12-Calculations!$A390))</f>
        <v>2382.4707343018049</v>
      </c>
      <c r="F390" s="25">
        <f t="shared" si="57"/>
        <v>456557.91770103725</v>
      </c>
      <c r="G390" s="25">
        <f t="shared" si="48"/>
        <v>5197.7484292498257</v>
      </c>
      <c r="H390" s="25">
        <f t="shared" si="58"/>
        <v>4963257.9598846938</v>
      </c>
      <c r="I390" s="25">
        <f>G390/((1+'How much will I make'!$C$5/12)^(Calculations!$B$1*12-Calculations!$A390))</f>
        <v>3516.1708945719874</v>
      </c>
      <c r="J390" s="25">
        <f t="shared" si="59"/>
        <v>1352326.9260119994</v>
      </c>
      <c r="K390" s="25">
        <f t="shared" si="49"/>
        <v>7658.797236776978</v>
      </c>
      <c r="L390" s="25">
        <f t="shared" si="60"/>
        <v>21670899.991521187</v>
      </c>
      <c r="M390" s="25">
        <f>K390/((1+'How much will I make'!$C$5/12)^(Calculations!$B$1*12-Calculations!$A390))</f>
        <v>5181.0202625120583</v>
      </c>
      <c r="N390" s="25">
        <f t="shared" si="61"/>
        <v>4906278.0485143624</v>
      </c>
      <c r="O390" s="25">
        <f t="shared" si="50"/>
        <v>11267.161762535261</v>
      </c>
      <c r="P390" s="25">
        <f t="shared" si="62"/>
        <v>107552920.55535613</v>
      </c>
      <c r="Q390" s="25">
        <f>O390/((1+'How much will I make'!$C$5/12)^(Calculations!$B$1*12-Calculations!$A390))</f>
        <v>7622.0053342556121</v>
      </c>
      <c r="R390" s="25">
        <f t="shared" si="63"/>
        <v>21257859.335856818</v>
      </c>
      <c r="S390" s="25">
        <f t="shared" si="51"/>
        <v>16549.420232143246</v>
      </c>
      <c r="T390" s="25">
        <f t="shared" si="64"/>
        <v>579416279.19749606</v>
      </c>
      <c r="U390" s="25">
        <f>S390/((1+'How much will I make'!$C$5/12)^(Calculations!$B$1*12-Calculations!$A390))</f>
        <v>11195.345549015216</v>
      </c>
      <c r="V390" s="25">
        <f t="shared" si="65"/>
        <v>104649477.14878051</v>
      </c>
      <c r="W390" s="25">
        <f t="shared" si="52"/>
        <v>24270.063990810166</v>
      </c>
      <c r="X390" s="25">
        <f t="shared" si="66"/>
        <v>3283635532.0503469</v>
      </c>
      <c r="Y390" s="25">
        <f>W390/((1+'How much will I make'!$C$5/12)^(Calculations!$B$1*12-Calculations!$A390))</f>
        <v>16418.203723300026</v>
      </c>
      <c r="Z390" s="25">
        <f t="shared" si="67"/>
        <v>559187022.24346507</v>
      </c>
      <c r="AA390" s="25">
        <f t="shared" si="53"/>
        <v>35537.302581470707</v>
      </c>
      <c r="AB390" s="25">
        <f t="shared" si="68"/>
        <v>19203691685.153015</v>
      </c>
      <c r="AC390" s="25">
        <f>AA390/((1+'How much will I make'!$C$5/12)^(Calculations!$B$1*12-Calculations!$A390))</f>
        <v>24040.261030216818</v>
      </c>
      <c r="AD390" s="25">
        <f t="shared" si="69"/>
        <v>3143451693.8024693</v>
      </c>
      <c r="AE390" s="25">
        <f t="shared" si="54"/>
        <v>51955.179708417345</v>
      </c>
      <c r="AF390" s="25">
        <f t="shared" si="70"/>
        <v>114563295910.75298</v>
      </c>
      <c r="AG390" s="25">
        <f>AE390/((1+'How much will I make'!$C$5/12)^(Calculations!$B$1*12-Calculations!$A390))</f>
        <v>35146.620349103789</v>
      </c>
      <c r="AH390" s="25">
        <f t="shared" si="71"/>
        <v>18237500680.148346</v>
      </c>
    </row>
    <row r="391" spans="1:34" ht="15.75" customHeight="1">
      <c r="A391" s="22">
        <f t="shared" si="55"/>
        <v>387</v>
      </c>
      <c r="B391" s="22">
        <f t="shared" si="82"/>
        <v>2382.4707343018049</v>
      </c>
      <c r="C391" s="25">
        <f t="shared" si="47"/>
        <v>3507.2526727740415</v>
      </c>
      <c r="D391" s="25">
        <f t="shared" si="56"/>
        <v>1362546.3605083253</v>
      </c>
      <c r="E391" s="25">
        <f>$C391/((1+'How much will I make'!$C$5/12)^(Calculations!$B$1*12-Calculations!$A391))</f>
        <v>2382.4707343018049</v>
      </c>
      <c r="F391" s="25">
        <f t="shared" si="57"/>
        <v>458940.38843533903</v>
      </c>
      <c r="G391" s="25">
        <f t="shared" si="48"/>
        <v>5154.7918306609836</v>
      </c>
      <c r="H391" s="25">
        <f t="shared" si="58"/>
        <v>4968412.7517153546</v>
      </c>
      <c r="I391" s="25">
        <f>G391/((1+'How much will I make'!$C$5/12)^(Calculations!$B$1*12-Calculations!$A391))</f>
        <v>3501.6412627762347</v>
      </c>
      <c r="J391" s="25">
        <f t="shared" si="59"/>
        <v>1355828.5672747756</v>
      </c>
      <c r="K391" s="25">
        <f t="shared" si="49"/>
        <v>7564.2441844710875</v>
      </c>
      <c r="L391" s="25">
        <f t="shared" si="60"/>
        <v>21678464.235705659</v>
      </c>
      <c r="M391" s="25">
        <f>K391/((1+'How much will I make'!$C$5/12)^(Calculations!$B$1*12-Calculations!$A391))</f>
        <v>5138.3781204337683</v>
      </c>
      <c r="N391" s="25">
        <f t="shared" si="61"/>
        <v>4911416.426634796</v>
      </c>
      <c r="O391" s="25">
        <f t="shared" si="50"/>
        <v>11082.454192657635</v>
      </c>
      <c r="P391" s="25">
        <f t="shared" si="62"/>
        <v>107564003.00954878</v>
      </c>
      <c r="Q391" s="25">
        <f>O391/((1+'How much will I make'!$C$5/12)^(Calculations!$B$1*12-Calculations!$A391))</f>
        <v>7528.2921539164035</v>
      </c>
      <c r="R391" s="25">
        <f t="shared" si="63"/>
        <v>21265387.628010735</v>
      </c>
      <c r="S391" s="25">
        <f t="shared" si="51"/>
        <v>16211.676962099509</v>
      </c>
      <c r="T391" s="25">
        <f t="shared" si="64"/>
        <v>579432490.87445819</v>
      </c>
      <c r="U391" s="25">
        <f>S391/((1+'How much will I make'!$C$5/12)^(Calculations!$B$1*12-Calculations!$A391))</f>
        <v>11012.564397194559</v>
      </c>
      <c r="V391" s="25">
        <f t="shared" si="65"/>
        <v>104660489.71317771</v>
      </c>
      <c r="W391" s="25">
        <f t="shared" si="52"/>
        <v>23678.111210546507</v>
      </c>
      <c r="X391" s="25">
        <f t="shared" si="66"/>
        <v>3283659210.1615572</v>
      </c>
      <c r="Y391" s="25">
        <f>W391/((1+'How much will I make'!$C$5/12)^(Calculations!$B$1*12-Calculations!$A391))</f>
        <v>16084.500395590678</v>
      </c>
      <c r="Z391" s="25">
        <f t="shared" si="67"/>
        <v>559203106.7438606</v>
      </c>
      <c r="AA391" s="25">
        <f t="shared" si="53"/>
        <v>34530.172548797447</v>
      </c>
      <c r="AB391" s="25">
        <f t="shared" si="68"/>
        <v>19203726215.325565</v>
      </c>
      <c r="AC391" s="25">
        <f>AA391/((1+'How much will I make'!$C$5/12)^(Calculations!$B$1*12-Calculations!$A391))</f>
        <v>23456.287078065798</v>
      </c>
      <c r="AD391" s="25">
        <f t="shared" si="69"/>
        <v>3143475150.0895472</v>
      </c>
      <c r="AE391" s="25">
        <f t="shared" si="54"/>
        <v>50279.20616943614</v>
      </c>
      <c r="AF391" s="25">
        <f t="shared" si="70"/>
        <v>114563346189.95915</v>
      </c>
      <c r="AG391" s="25">
        <f>AE391/((1+'How much will I make'!$C$5/12)^(Calculations!$B$1*12-Calculations!$A391))</f>
        <v>34154.578645701658</v>
      </c>
      <c r="AH391" s="25">
        <f t="shared" si="71"/>
        <v>18237534834.72699</v>
      </c>
    </row>
    <row r="392" spans="1:34" ht="15.75" customHeight="1">
      <c r="A392" s="22">
        <f t="shared" si="55"/>
        <v>388</v>
      </c>
      <c r="B392" s="22">
        <f t="shared" si="82"/>
        <v>2382.4707343018049</v>
      </c>
      <c r="C392" s="25">
        <f t="shared" si="47"/>
        <v>3492.6997571193774</v>
      </c>
      <c r="D392" s="25">
        <f t="shared" si="56"/>
        <v>1366039.0602654447</v>
      </c>
      <c r="E392" s="25">
        <f>$C392/((1+'How much will I make'!$C$5/12)^(Calculations!$B$1*12-Calculations!$A392))</f>
        <v>2382.4707343018049</v>
      </c>
      <c r="F392" s="25">
        <f t="shared" si="57"/>
        <v>461322.85916964081</v>
      </c>
      <c r="G392" s="25">
        <f t="shared" si="48"/>
        <v>5112.1902452836221</v>
      </c>
      <c r="H392" s="25">
        <f t="shared" si="58"/>
        <v>4973524.9419606384</v>
      </c>
      <c r="I392" s="25">
        <f>G392/((1+'How much will I make'!$C$5/12)^(Calculations!$B$1*12-Calculations!$A392))</f>
        <v>3487.171670781293</v>
      </c>
      <c r="J392" s="25">
        <f t="shared" si="59"/>
        <v>1359315.7389455568</v>
      </c>
      <c r="K392" s="25">
        <f t="shared" si="49"/>
        <v>7470.8584537986062</v>
      </c>
      <c r="L392" s="25">
        <f t="shared" si="60"/>
        <v>21685935.094159458</v>
      </c>
      <c r="M392" s="25">
        <f>K392/((1+'How much will I make'!$C$5/12)^(Calculations!$B$1*12-Calculations!$A392))</f>
        <v>5096.0869424878119</v>
      </c>
      <c r="N392" s="25">
        <f t="shared" si="61"/>
        <v>4916512.5135772834</v>
      </c>
      <c r="O392" s="25">
        <f t="shared" si="50"/>
        <v>10900.77461572882</v>
      </c>
      <c r="P392" s="25">
        <f t="shared" si="62"/>
        <v>107574903.78416452</v>
      </c>
      <c r="Q392" s="25">
        <f>O392/((1+'How much will I make'!$C$5/12)^(Calculations!$B$1*12-Calculations!$A392))</f>
        <v>7435.7311848108729</v>
      </c>
      <c r="R392" s="25">
        <f t="shared" si="63"/>
        <v>21272823.359195545</v>
      </c>
      <c r="S392" s="25">
        <f t="shared" si="51"/>
        <v>15880.826411852579</v>
      </c>
      <c r="T392" s="25">
        <f t="shared" si="64"/>
        <v>579448371.70087004</v>
      </c>
      <c r="U392" s="25">
        <f>S392/((1+'How much will I make'!$C$5/12)^(Calculations!$B$1*12-Calculations!$A392))</f>
        <v>10832.767427444443</v>
      </c>
      <c r="V392" s="25">
        <f t="shared" si="65"/>
        <v>104671322.48060516</v>
      </c>
      <c r="W392" s="25">
        <f t="shared" si="52"/>
        <v>23100.596302972201</v>
      </c>
      <c r="X392" s="25">
        <f t="shared" si="66"/>
        <v>3283682310.7578602</v>
      </c>
      <c r="Y392" s="25">
        <f>W392/((1+'How much will I make'!$C$5/12)^(Calculations!$B$1*12-Calculations!$A392))</f>
        <v>15757.579655842899</v>
      </c>
      <c r="Z392" s="25">
        <f t="shared" si="67"/>
        <v>559218864.32351649</v>
      </c>
      <c r="AA392" s="25">
        <f t="shared" si="53"/>
        <v>33551.584662799141</v>
      </c>
      <c r="AB392" s="25">
        <f t="shared" si="68"/>
        <v>19203759766.910229</v>
      </c>
      <c r="AC392" s="25">
        <f>AA392/((1+'How much will I make'!$C$5/12)^(Calculations!$B$1*12-Calculations!$A392))</f>
        <v>22886.498727991326</v>
      </c>
      <c r="AD392" s="25">
        <f t="shared" si="69"/>
        <v>3143498036.588275</v>
      </c>
      <c r="AE392" s="25">
        <f t="shared" si="54"/>
        <v>48657.296293002713</v>
      </c>
      <c r="AF392" s="25">
        <f t="shared" si="70"/>
        <v>114563394847.25545</v>
      </c>
      <c r="AG392" s="25">
        <f>AE392/((1+'How much will I make'!$C$5/12)^(Calculations!$B$1*12-Calculations!$A392))</f>
        <v>33190.538119411693</v>
      </c>
      <c r="AH392" s="25">
        <f t="shared" si="71"/>
        <v>18237568025.26511</v>
      </c>
    </row>
    <row r="393" spans="1:34" ht="15.75" customHeight="1">
      <c r="A393" s="22">
        <f t="shared" si="55"/>
        <v>389</v>
      </c>
      <c r="B393" s="22">
        <f t="shared" si="82"/>
        <v>2382.4707343018049</v>
      </c>
      <c r="C393" s="25">
        <f t="shared" si="47"/>
        <v>3478.2072270068488</v>
      </c>
      <c r="D393" s="25">
        <f t="shared" si="56"/>
        <v>1369517.2674924515</v>
      </c>
      <c r="E393" s="25">
        <f>$C393/((1+'How much will I make'!$C$5/12)^(Calculations!$B$1*12-Calculations!$A393))</f>
        <v>2382.4707343018049</v>
      </c>
      <c r="F393" s="25">
        <f t="shared" si="57"/>
        <v>463705.32990394259</v>
      </c>
      <c r="G393" s="25">
        <f t="shared" si="48"/>
        <v>5069.9407391242521</v>
      </c>
      <c r="H393" s="25">
        <f t="shared" si="58"/>
        <v>4978594.8826997625</v>
      </c>
      <c r="I393" s="25">
        <f>G393/((1+'How much will I make'!$C$5/12)^(Calculations!$B$1*12-Calculations!$A393))</f>
        <v>3472.7618704888073</v>
      </c>
      <c r="J393" s="25">
        <f t="shared" si="59"/>
        <v>1362788.5008160456</v>
      </c>
      <c r="K393" s="25">
        <f t="shared" si="49"/>
        <v>7378.625633381338</v>
      </c>
      <c r="L393" s="25">
        <f t="shared" si="60"/>
        <v>21693313.719792839</v>
      </c>
      <c r="M393" s="25">
        <f>K393/((1+'How much will I make'!$C$5/12)^(Calculations!$B$1*12-Calculations!$A393))</f>
        <v>5054.1438400805046</v>
      </c>
      <c r="N393" s="25">
        <f t="shared" si="61"/>
        <v>4921566.6574173635</v>
      </c>
      <c r="O393" s="25">
        <f t="shared" si="50"/>
        <v>10722.073392520149</v>
      </c>
      <c r="P393" s="25">
        <f t="shared" si="62"/>
        <v>107585625.85755704</v>
      </c>
      <c r="Q393" s="25">
        <f>O393/((1+'How much will I make'!$C$5/12)^(Calculations!$B$1*12-Calculations!$A393))</f>
        <v>7344.3082604074598</v>
      </c>
      <c r="R393" s="25">
        <f t="shared" si="63"/>
        <v>21280167.667455953</v>
      </c>
      <c r="S393" s="25">
        <f t="shared" si="51"/>
        <v>15556.727913651508</v>
      </c>
      <c r="T393" s="25">
        <f t="shared" si="64"/>
        <v>579463928.42878366</v>
      </c>
      <c r="U393" s="25">
        <f>S393/((1+'How much will I make'!$C$5/12)^(Calculations!$B$1*12-Calculations!$A393))</f>
        <v>10655.905918424944</v>
      </c>
      <c r="V393" s="25">
        <f t="shared" si="65"/>
        <v>104681978.38652357</v>
      </c>
      <c r="W393" s="25">
        <f t="shared" si="52"/>
        <v>22537.16712485093</v>
      </c>
      <c r="X393" s="25">
        <f t="shared" si="66"/>
        <v>3283704847.9249849</v>
      </c>
      <c r="Y393" s="25">
        <f>W393/((1+'How much will I make'!$C$5/12)^(Calculations!$B$1*12-Calculations!$A393))</f>
        <v>15437.303646577802</v>
      </c>
      <c r="Z393" s="25">
        <f t="shared" si="67"/>
        <v>559234301.62716305</v>
      </c>
      <c r="AA393" s="25">
        <f t="shared" si="53"/>
        <v>32600.73003672792</v>
      </c>
      <c r="AB393" s="25">
        <f t="shared" si="68"/>
        <v>19203792367.640266</v>
      </c>
      <c r="AC393" s="25">
        <f>AA393/((1+'How much will I make'!$C$5/12)^(Calculations!$B$1*12-Calculations!$A393))</f>
        <v>22330.551390469278</v>
      </c>
      <c r="AD393" s="25">
        <f t="shared" si="69"/>
        <v>3143520367.1396656</v>
      </c>
      <c r="AE393" s="25">
        <f t="shared" si="54"/>
        <v>47087.706090002604</v>
      </c>
      <c r="AF393" s="25">
        <f t="shared" si="70"/>
        <v>114563441934.96153</v>
      </c>
      <c r="AG393" s="25">
        <f>AE393/((1+'How much will I make'!$C$5/12)^(Calculations!$B$1*12-Calculations!$A393))</f>
        <v>32253.708414428285</v>
      </c>
      <c r="AH393" s="25">
        <f t="shared" si="71"/>
        <v>18237600278.973526</v>
      </c>
    </row>
    <row r="394" spans="1:34" ht="15.75" customHeight="1">
      <c r="A394" s="22">
        <f t="shared" si="55"/>
        <v>390</v>
      </c>
      <c r="B394" s="22">
        <f t="shared" si="82"/>
        <v>2382.4707343018049</v>
      </c>
      <c r="C394" s="25">
        <f t="shared" si="47"/>
        <v>3463.774831874041</v>
      </c>
      <c r="D394" s="25">
        <f t="shared" si="56"/>
        <v>1372981.0423243255</v>
      </c>
      <c r="E394" s="25">
        <f>$C394/((1+'How much will I make'!$C$5/12)^(Calculations!$B$1*12-Calculations!$A394))</f>
        <v>2382.4707343018049</v>
      </c>
      <c r="F394" s="25">
        <f t="shared" si="57"/>
        <v>466087.80063824437</v>
      </c>
      <c r="G394" s="25">
        <f t="shared" si="48"/>
        <v>5028.0404024372747</v>
      </c>
      <c r="H394" s="25">
        <f t="shared" si="58"/>
        <v>4983622.9231022</v>
      </c>
      <c r="I394" s="25">
        <f>G394/((1+'How much will I make'!$C$5/12)^(Calculations!$B$1*12-Calculations!$A394))</f>
        <v>3458.4116148256298</v>
      </c>
      <c r="J394" s="25">
        <f t="shared" si="59"/>
        <v>1366246.9124308713</v>
      </c>
      <c r="K394" s="25">
        <f t="shared" si="49"/>
        <v>7287.531489759348</v>
      </c>
      <c r="L394" s="25">
        <f t="shared" si="60"/>
        <v>21700601.251282599</v>
      </c>
      <c r="M394" s="25">
        <f>K394/((1+'How much will I make'!$C$5/12)^(Calculations!$B$1*12-Calculations!$A394))</f>
        <v>5012.5459483925988</v>
      </c>
      <c r="N394" s="25">
        <f t="shared" si="61"/>
        <v>4926579.2033657562</v>
      </c>
      <c r="O394" s="25">
        <f t="shared" si="50"/>
        <v>10546.301697560804</v>
      </c>
      <c r="P394" s="25">
        <f t="shared" si="62"/>
        <v>107596172.15925461</v>
      </c>
      <c r="Q394" s="25">
        <f>O394/((1+'How much will I make'!$C$5/12)^(Calculations!$B$1*12-Calculations!$A394))</f>
        <v>7254.0093883532691</v>
      </c>
      <c r="R394" s="25">
        <f t="shared" si="63"/>
        <v>21287421.676844306</v>
      </c>
      <c r="S394" s="25">
        <f t="shared" si="51"/>
        <v>15239.243670515765</v>
      </c>
      <c r="T394" s="25">
        <f t="shared" si="64"/>
        <v>579479167.67245412</v>
      </c>
      <c r="U394" s="25">
        <f>S394/((1+'How much will I make'!$C$5/12)^(Calculations!$B$1*12-Calculations!$A394))</f>
        <v>10481.931944246577</v>
      </c>
      <c r="V394" s="25">
        <f t="shared" si="65"/>
        <v>104692460.31846783</v>
      </c>
      <c r="W394" s="25">
        <f t="shared" si="52"/>
        <v>21987.480121805787</v>
      </c>
      <c r="X394" s="25">
        <f t="shared" si="66"/>
        <v>3283726835.4051065</v>
      </c>
      <c r="Y394" s="25">
        <f>W394/((1+'How much will I make'!$C$5/12)^(Calculations!$B$1*12-Calculations!$A394))</f>
        <v>15123.537312297763</v>
      </c>
      <c r="Z394" s="25">
        <f t="shared" si="67"/>
        <v>559249425.16447532</v>
      </c>
      <c r="AA394" s="25">
        <f t="shared" si="53"/>
        <v>31676.822707751828</v>
      </c>
      <c r="AB394" s="25">
        <f t="shared" si="68"/>
        <v>19203824044.462975</v>
      </c>
      <c r="AC394" s="25">
        <f>AA394/((1+'How much will I make'!$C$5/12)^(Calculations!$B$1*12-Calculations!$A394))</f>
        <v>21788.108846571235</v>
      </c>
      <c r="AD394" s="25">
        <f t="shared" si="69"/>
        <v>3143542155.2485123</v>
      </c>
      <c r="AE394" s="25">
        <f t="shared" si="54"/>
        <v>45568.747829034779</v>
      </c>
      <c r="AF394" s="25">
        <f t="shared" si="70"/>
        <v>114563487503.70937</v>
      </c>
      <c r="AG394" s="25">
        <f>AE394/((1+'How much will I make'!$C$5/12)^(Calculations!$B$1*12-Calculations!$A394))</f>
        <v>31343.321483375868</v>
      </c>
      <c r="AH394" s="25">
        <f t="shared" si="71"/>
        <v>18237631622.29501</v>
      </c>
    </row>
    <row r="395" spans="1:34" ht="15.75" customHeight="1">
      <c r="A395" s="22">
        <f t="shared" si="55"/>
        <v>391</v>
      </c>
      <c r="B395" s="22">
        <f t="shared" si="82"/>
        <v>2382.4707343018049</v>
      </c>
      <c r="C395" s="25">
        <f t="shared" si="47"/>
        <v>3449.4023221982143</v>
      </c>
      <c r="D395" s="25">
        <f t="shared" si="56"/>
        <v>1376430.4446465238</v>
      </c>
      <c r="E395" s="25">
        <f>$C395/((1+'How much will I make'!$C$5/12)^(Calculations!$B$1*12-Calculations!$A395))</f>
        <v>2382.4707343018049</v>
      </c>
      <c r="F395" s="25">
        <f t="shared" si="57"/>
        <v>468470.27137254615</v>
      </c>
      <c r="G395" s="25">
        <f t="shared" si="48"/>
        <v>4986.48634952457</v>
      </c>
      <c r="H395" s="25">
        <f t="shared" si="58"/>
        <v>4988609.409451725</v>
      </c>
      <c r="I395" s="25">
        <f>G395/((1+'How much will I make'!$C$5/12)^(Calculations!$B$1*12-Calculations!$A395))</f>
        <v>3444.1206577395742</v>
      </c>
      <c r="J395" s="25">
        <f t="shared" si="59"/>
        <v>1369691.0330886107</v>
      </c>
      <c r="K395" s="25">
        <f t="shared" si="49"/>
        <v>7197.5619651944171</v>
      </c>
      <c r="L395" s="25">
        <f t="shared" si="60"/>
        <v>21707798.813247792</v>
      </c>
      <c r="M395" s="25">
        <f>K395/((1+'How much will I make'!$C$5/12)^(Calculations!$B$1*12-Calculations!$A395))</f>
        <v>4971.2904261836075</v>
      </c>
      <c r="N395" s="25">
        <f t="shared" si="61"/>
        <v>4931550.4937919397</v>
      </c>
      <c r="O395" s="25">
        <f t="shared" si="50"/>
        <v>10373.411505797512</v>
      </c>
      <c r="P395" s="25">
        <f t="shared" si="62"/>
        <v>107606545.57076041</v>
      </c>
      <c r="Q395" s="25">
        <f>O395/((1+'How much will I make'!$C$5/12)^(Calculations!$B$1*12-Calculations!$A395))</f>
        <v>7164.8207483325341</v>
      </c>
      <c r="R395" s="25">
        <f t="shared" si="63"/>
        <v>21294586.497592639</v>
      </c>
      <c r="S395" s="25">
        <f t="shared" si="51"/>
        <v>14928.238697648099</v>
      </c>
      <c r="T395" s="25">
        <f t="shared" si="64"/>
        <v>579494095.91115177</v>
      </c>
      <c r="U395" s="25">
        <f>S395/((1+'How much will I make'!$C$5/12)^(Calculations!$B$1*12-Calculations!$A395))</f>
        <v>10310.798361483372</v>
      </c>
      <c r="V395" s="25">
        <f t="shared" si="65"/>
        <v>104702771.11682931</v>
      </c>
      <c r="W395" s="25">
        <f t="shared" si="52"/>
        <v>21451.200118834913</v>
      </c>
      <c r="X395" s="25">
        <f t="shared" si="66"/>
        <v>3283748286.6052256</v>
      </c>
      <c r="Y395" s="25">
        <f>W395/((1+'How much will I make'!$C$5/12)^(Calculations!$B$1*12-Calculations!$A395))</f>
        <v>14816.148342535616</v>
      </c>
      <c r="Z395" s="25">
        <f t="shared" si="67"/>
        <v>559264241.31281781</v>
      </c>
      <c r="AA395" s="25">
        <f t="shared" si="53"/>
        <v>30779.098987289228</v>
      </c>
      <c r="AB395" s="25">
        <f t="shared" si="68"/>
        <v>19203854823.561962</v>
      </c>
      <c r="AC395" s="25">
        <f>AA395/((1+'How much will I make'!$C$5/12)^(Calculations!$B$1*12-Calculations!$A395))</f>
        <v>21258.843044630241</v>
      </c>
      <c r="AD395" s="25">
        <f t="shared" si="69"/>
        <v>3143563414.091557</v>
      </c>
      <c r="AE395" s="25">
        <f t="shared" si="54"/>
        <v>44098.788221646566</v>
      </c>
      <c r="AF395" s="25">
        <f t="shared" si="70"/>
        <v>114563531602.49759</v>
      </c>
      <c r="AG395" s="25">
        <f>AE395/((1+'How much will I make'!$C$5/12)^(Calculations!$B$1*12-Calculations!$A395))</f>
        <v>30458.630957635432</v>
      </c>
      <c r="AH395" s="25">
        <f t="shared" si="71"/>
        <v>18237662080.925968</v>
      </c>
    </row>
    <row r="396" spans="1:34" ht="15.75" customHeight="1">
      <c r="A396" s="22">
        <f t="shared" si="55"/>
        <v>392</v>
      </c>
      <c r="B396" s="22">
        <f t="shared" si="82"/>
        <v>2382.4707343018049</v>
      </c>
      <c r="C396" s="25">
        <f t="shared" si="47"/>
        <v>3435.0894494919985</v>
      </c>
      <c r="D396" s="25">
        <f t="shared" si="56"/>
        <v>1379865.5340960159</v>
      </c>
      <c r="E396" s="25">
        <f>$C396/((1+'How much will I make'!$C$5/12)^(Calculations!$B$1*12-Calculations!$A396))</f>
        <v>2382.4707343018049</v>
      </c>
      <c r="F396" s="25">
        <f t="shared" si="57"/>
        <v>470852.74210684793</v>
      </c>
      <c r="G396" s="25">
        <f t="shared" si="48"/>
        <v>4945.2757185367636</v>
      </c>
      <c r="H396" s="25">
        <f t="shared" si="58"/>
        <v>4993554.6851702621</v>
      </c>
      <c r="I396" s="25">
        <f>G396/((1+'How much will I make'!$C$5/12)^(Calculations!$B$1*12-Calculations!$A396))</f>
        <v>3429.8887541951954</v>
      </c>
      <c r="J396" s="25">
        <f t="shared" si="59"/>
        <v>1373120.921842806</v>
      </c>
      <c r="K396" s="25">
        <f t="shared" si="49"/>
        <v>7108.7031755006592</v>
      </c>
      <c r="L396" s="25">
        <f t="shared" si="60"/>
        <v>21714907.516423292</v>
      </c>
      <c r="M396" s="25">
        <f>K396/((1+'How much will I make'!$C$5/12)^(Calculations!$B$1*12-Calculations!$A396))</f>
        <v>4930.3744555977328</v>
      </c>
      <c r="N396" s="25">
        <f t="shared" si="61"/>
        <v>4936480.8682475379</v>
      </c>
      <c r="O396" s="25">
        <f t="shared" si="50"/>
        <v>10203.355579472964</v>
      </c>
      <c r="P396" s="25">
        <f t="shared" si="62"/>
        <v>107616748.92633988</v>
      </c>
      <c r="Q396" s="25">
        <f>O396/((1+'How much will I make'!$C$5/12)^(Calculations!$B$1*12-Calculations!$A396))</f>
        <v>7076.7286899513956</v>
      </c>
      <c r="R396" s="25">
        <f t="shared" si="63"/>
        <v>21301663.226282589</v>
      </c>
      <c r="S396" s="25">
        <f t="shared" si="51"/>
        <v>14623.580765043036</v>
      </c>
      <c r="T396" s="25">
        <f t="shared" si="64"/>
        <v>579508719.49191678</v>
      </c>
      <c r="U396" s="25">
        <f>S396/((1+'How much will I make'!$C$5/12)^(Calculations!$B$1*12-Calculations!$A396))</f>
        <v>10142.458796397927</v>
      </c>
      <c r="V396" s="25">
        <f t="shared" si="65"/>
        <v>104712913.5756257</v>
      </c>
      <c r="W396" s="25">
        <f t="shared" si="52"/>
        <v>20928.000115936506</v>
      </c>
      <c r="X396" s="25">
        <f t="shared" si="66"/>
        <v>3283769214.6053414</v>
      </c>
      <c r="Y396" s="25">
        <f>W396/((1+'How much will I make'!$C$5/12)^(Calculations!$B$1*12-Calculations!$A396))</f>
        <v>14515.007116061317</v>
      </c>
      <c r="Z396" s="25">
        <f t="shared" si="67"/>
        <v>559278756.31993389</v>
      </c>
      <c r="AA396" s="25">
        <f t="shared" si="53"/>
        <v>29906.816829754716</v>
      </c>
      <c r="AB396" s="25">
        <f t="shared" si="68"/>
        <v>19203884730.378792</v>
      </c>
      <c r="AC396" s="25">
        <f>AA396/((1+'How much will I make'!$C$5/12)^(Calculations!$B$1*12-Calculations!$A396))</f>
        <v>20742.433901845696</v>
      </c>
      <c r="AD396" s="25">
        <f t="shared" si="69"/>
        <v>3143584156.5254588</v>
      </c>
      <c r="AE396" s="25">
        <f t="shared" si="54"/>
        <v>42676.246666109575</v>
      </c>
      <c r="AF396" s="25">
        <f t="shared" si="70"/>
        <v>114563574278.74426</v>
      </c>
      <c r="AG396" s="25">
        <f>AE396/((1+'How much will I make'!$C$5/12)^(Calculations!$B$1*12-Calculations!$A396))</f>
        <v>29598.911535444098</v>
      </c>
      <c r="AH396" s="25">
        <f t="shared" si="71"/>
        <v>18237691679.837505</v>
      </c>
    </row>
    <row r="397" spans="1:34" ht="15.75" customHeight="1">
      <c r="A397" s="22">
        <f t="shared" si="55"/>
        <v>393</v>
      </c>
      <c r="B397" s="22">
        <f t="shared" si="82"/>
        <v>2382.4707343018049</v>
      </c>
      <c r="C397" s="25">
        <f t="shared" si="47"/>
        <v>3420.8359662990861</v>
      </c>
      <c r="D397" s="25">
        <f t="shared" si="56"/>
        <v>1383286.3700623149</v>
      </c>
      <c r="E397" s="25">
        <f>$C397/((1+'How much will I make'!$C$5/12)^(Calculations!$B$1*12-Calculations!$A397))</f>
        <v>2382.4707343018049</v>
      </c>
      <c r="F397" s="25">
        <f t="shared" si="57"/>
        <v>473235.21284114971</v>
      </c>
      <c r="G397" s="25">
        <f t="shared" si="48"/>
        <v>4904.4056712761294</v>
      </c>
      <c r="H397" s="25">
        <f t="shared" si="58"/>
        <v>4998459.0908415383</v>
      </c>
      <c r="I397" s="25">
        <f>G397/((1+'How much will I make'!$C$5/12)^(Calculations!$B$1*12-Calculations!$A397))</f>
        <v>3415.7156601695947</v>
      </c>
      <c r="J397" s="25">
        <f t="shared" si="59"/>
        <v>1376536.6375029755</v>
      </c>
      <c r="K397" s="25">
        <f t="shared" si="49"/>
        <v>7020.9414079018843</v>
      </c>
      <c r="L397" s="25">
        <f t="shared" si="60"/>
        <v>21721928.457831193</v>
      </c>
      <c r="M397" s="25">
        <f>K397/((1+'How much will I make'!$C$5/12)^(Calculations!$B$1*12-Calculations!$A397))</f>
        <v>4889.7952419714129</v>
      </c>
      <c r="N397" s="25">
        <f t="shared" si="61"/>
        <v>4941370.6634895094</v>
      </c>
      <c r="O397" s="25">
        <f t="shared" si="50"/>
        <v>10036.087455219307</v>
      </c>
      <c r="P397" s="25">
        <f t="shared" si="62"/>
        <v>107626785.01379509</v>
      </c>
      <c r="Q397" s="25">
        <f>O397/((1+'How much will I make'!$C$5/12)^(Calculations!$B$1*12-Calculations!$A397))</f>
        <v>6989.7197306487124</v>
      </c>
      <c r="R397" s="25">
        <f t="shared" si="63"/>
        <v>21308652.946013238</v>
      </c>
      <c r="S397" s="25">
        <f t="shared" si="51"/>
        <v>14325.140341266648</v>
      </c>
      <c r="T397" s="25">
        <f t="shared" si="64"/>
        <v>579523044.63225806</v>
      </c>
      <c r="U397" s="25">
        <f>S397/((1+'How much will I make'!$C$5/12)^(Calculations!$B$1*12-Calculations!$A397))</f>
        <v>9976.8676323751024</v>
      </c>
      <c r="V397" s="25">
        <f t="shared" si="65"/>
        <v>104722890.44325808</v>
      </c>
      <c r="W397" s="25">
        <f t="shared" si="52"/>
        <v>20417.561088718543</v>
      </c>
      <c r="X397" s="25">
        <f t="shared" si="66"/>
        <v>3283789632.16643</v>
      </c>
      <c r="Y397" s="25">
        <f>W397/((1+'How much will I make'!$C$5/12)^(Calculations!$B$1*12-Calculations!$A397))</f>
        <v>14219.986646222669</v>
      </c>
      <c r="Z397" s="25">
        <f t="shared" si="67"/>
        <v>559292976.30658007</v>
      </c>
      <c r="AA397" s="25">
        <f t="shared" si="53"/>
        <v>29059.255219194874</v>
      </c>
      <c r="AB397" s="25">
        <f t="shared" si="68"/>
        <v>19203913789.63401</v>
      </c>
      <c r="AC397" s="25">
        <f>AA397/((1+'How much will I make'!$C$5/12)^(Calculations!$B$1*12-Calculations!$A397))</f>
        <v>20238.569110707747</v>
      </c>
      <c r="AD397" s="25">
        <f t="shared" si="69"/>
        <v>3143604395.0945697</v>
      </c>
      <c r="AE397" s="25">
        <f t="shared" si="54"/>
        <v>41299.593547847973</v>
      </c>
      <c r="AF397" s="25">
        <f t="shared" si="70"/>
        <v>114563615578.33781</v>
      </c>
      <c r="AG397" s="25">
        <f>AE397/((1+'How much will I make'!$C$5/12)^(Calculations!$B$1*12-Calculations!$A397))</f>
        <v>28763.458387266237</v>
      </c>
      <c r="AH397" s="25">
        <f t="shared" si="71"/>
        <v>18237720443.295891</v>
      </c>
    </row>
    <row r="398" spans="1:34" ht="15.75" customHeight="1">
      <c r="A398" s="22">
        <f t="shared" si="55"/>
        <v>394</v>
      </c>
      <c r="B398" s="22">
        <f t="shared" si="82"/>
        <v>2382.4707343018049</v>
      </c>
      <c r="C398" s="25">
        <f t="shared" si="47"/>
        <v>3406.6416261899599</v>
      </c>
      <c r="D398" s="25">
        <f t="shared" si="56"/>
        <v>1386693.0116885048</v>
      </c>
      <c r="E398" s="25">
        <f>$C398/((1+'How much will I make'!$C$5/12)^(Calculations!$B$1*12-Calculations!$A398))</f>
        <v>2382.4707343018049</v>
      </c>
      <c r="F398" s="25">
        <f t="shared" si="57"/>
        <v>475617.68357545149</v>
      </c>
      <c r="G398" s="25">
        <f t="shared" si="48"/>
        <v>4863.8733930011222</v>
      </c>
      <c r="H398" s="25">
        <f t="shared" si="58"/>
        <v>5003322.9642345393</v>
      </c>
      <c r="I398" s="25">
        <f>G398/((1+'How much will I make'!$C$5/12)^(Calculations!$B$1*12-Calculations!$A398))</f>
        <v>3401.6011326482358</v>
      </c>
      <c r="J398" s="25">
        <f t="shared" si="59"/>
        <v>1379938.2386356238</v>
      </c>
      <c r="K398" s="25">
        <f t="shared" si="49"/>
        <v>6934.2631189154417</v>
      </c>
      <c r="L398" s="25">
        <f t="shared" si="60"/>
        <v>21728862.720950108</v>
      </c>
      <c r="M398" s="25">
        <f>K398/((1+'How much will I make'!$C$5/12)^(Calculations!$B$1*12-Calculations!$A398))</f>
        <v>4849.5500136424316</v>
      </c>
      <c r="N398" s="25">
        <f t="shared" si="61"/>
        <v>4946220.2135031521</v>
      </c>
      <c r="O398" s="25">
        <f t="shared" si="50"/>
        <v>9871.5614313632559</v>
      </c>
      <c r="P398" s="25">
        <f t="shared" si="62"/>
        <v>107636656.57522646</v>
      </c>
      <c r="Q398" s="25">
        <f>O398/((1+'How much will I make'!$C$5/12)^(Calculations!$B$1*12-Calculations!$A398))</f>
        <v>6903.780553632545</v>
      </c>
      <c r="R398" s="25">
        <f t="shared" si="63"/>
        <v>21315556.72656687</v>
      </c>
      <c r="S398" s="25">
        <f t="shared" si="51"/>
        <v>14032.790538383659</v>
      </c>
      <c r="T398" s="25">
        <f t="shared" si="64"/>
        <v>579537077.42279649</v>
      </c>
      <c r="U398" s="25">
        <f>S398/((1+'How much will I make'!$C$5/12)^(Calculations!$B$1*12-Calculations!$A398))</f>
        <v>9813.9799975608221</v>
      </c>
      <c r="V398" s="25">
        <f t="shared" si="65"/>
        <v>104732704.42325564</v>
      </c>
      <c r="W398" s="25">
        <f t="shared" si="52"/>
        <v>19919.57179387175</v>
      </c>
      <c r="X398" s="25">
        <f t="shared" si="66"/>
        <v>3283809551.738224</v>
      </c>
      <c r="Y398" s="25">
        <f>W398/((1+'How much will I make'!$C$5/12)^(Calculations!$B$1*12-Calculations!$A398))</f>
        <v>13930.962527397012</v>
      </c>
      <c r="Z398" s="25">
        <f t="shared" si="67"/>
        <v>559306907.26910746</v>
      </c>
      <c r="AA398" s="25">
        <f t="shared" si="53"/>
        <v>28235.713573306759</v>
      </c>
      <c r="AB398" s="25">
        <f t="shared" si="68"/>
        <v>19203942025.347584</v>
      </c>
      <c r="AC398" s="25">
        <f>AA398/((1+'How much will I make'!$C$5/12)^(Calculations!$B$1*12-Calculations!$A398))</f>
        <v>19746.943950123761</v>
      </c>
      <c r="AD398" s="25">
        <f t="shared" si="69"/>
        <v>3143624142.0385199</v>
      </c>
      <c r="AE398" s="25">
        <f t="shared" si="54"/>
        <v>39967.348594691583</v>
      </c>
      <c r="AF398" s="25">
        <f t="shared" si="70"/>
        <v>114563655545.68642</v>
      </c>
      <c r="AG398" s="25">
        <f>AE398/((1+'How much will I make'!$C$5/12)^(Calculations!$B$1*12-Calculations!$A398))</f>
        <v>27951.586577948245</v>
      </c>
      <c r="AH398" s="25">
        <f t="shared" si="71"/>
        <v>18237748394.882469</v>
      </c>
    </row>
    <row r="399" spans="1:34" ht="15.75" customHeight="1">
      <c r="A399" s="22">
        <f t="shared" si="55"/>
        <v>395</v>
      </c>
      <c r="B399" s="22">
        <f t="shared" si="82"/>
        <v>2382.4707343018049</v>
      </c>
      <c r="C399" s="25">
        <f t="shared" si="47"/>
        <v>3392.5061837576368</v>
      </c>
      <c r="D399" s="25">
        <f t="shared" si="56"/>
        <v>1390085.5178722625</v>
      </c>
      <c r="E399" s="25">
        <f>$C399/((1+'How much will I make'!$C$5/12)^(Calculations!$B$1*12-Calculations!$A399))</f>
        <v>2382.4707343018049</v>
      </c>
      <c r="F399" s="25">
        <f t="shared" si="57"/>
        <v>478000.15430975327</v>
      </c>
      <c r="G399" s="25">
        <f t="shared" si="48"/>
        <v>4823.6760922325166</v>
      </c>
      <c r="H399" s="25">
        <f t="shared" si="58"/>
        <v>5008146.6403267719</v>
      </c>
      <c r="I399" s="25">
        <f>G399/((1+'How much will I make'!$C$5/12)^(Calculations!$B$1*12-Calculations!$A399))</f>
        <v>3387.5449296207621</v>
      </c>
      <c r="J399" s="25">
        <f t="shared" si="59"/>
        <v>1383325.7835652446</v>
      </c>
      <c r="K399" s="25">
        <f t="shared" si="49"/>
        <v>6848.6549322621649</v>
      </c>
      <c r="L399" s="25">
        <f t="shared" si="60"/>
        <v>21735711.375882369</v>
      </c>
      <c r="M399" s="25">
        <f>K399/((1+'How much will I make'!$C$5/12)^(Calculations!$B$1*12-Calculations!$A399))</f>
        <v>4809.6360217606007</v>
      </c>
      <c r="N399" s="25">
        <f t="shared" si="61"/>
        <v>4951029.8495249124</v>
      </c>
      <c r="O399" s="25">
        <f t="shared" si="50"/>
        <v>9709.7325554392664</v>
      </c>
      <c r="P399" s="25">
        <f t="shared" si="62"/>
        <v>107646366.30778189</v>
      </c>
      <c r="Q399" s="25">
        <f>O399/((1+'How much will I make'!$C$5/12)^(Calculations!$B$1*12-Calculations!$A399))</f>
        <v>6818.8980058419784</v>
      </c>
      <c r="R399" s="25">
        <f t="shared" si="63"/>
        <v>21322375.624572713</v>
      </c>
      <c r="S399" s="25">
        <f t="shared" si="51"/>
        <v>13746.407058008483</v>
      </c>
      <c r="T399" s="25">
        <f t="shared" si="64"/>
        <v>579550823.82985449</v>
      </c>
      <c r="U399" s="25">
        <f>S399/((1+'How much will I make'!$C$5/12)^(Calculations!$B$1*12-Calculations!$A399))</f>
        <v>9653.7517527026848</v>
      </c>
      <c r="V399" s="25">
        <f t="shared" si="65"/>
        <v>104742358.17500834</v>
      </c>
      <c r="W399" s="25">
        <f t="shared" si="52"/>
        <v>19433.728579387072</v>
      </c>
      <c r="X399" s="25">
        <f t="shared" si="66"/>
        <v>3283828985.4668036</v>
      </c>
      <c r="Y399" s="25">
        <f>W399/((1+'How much will I make'!$C$5/12)^(Calculations!$B$1*12-Calculations!$A399))</f>
        <v>13647.812882531216</v>
      </c>
      <c r="Z399" s="25">
        <f t="shared" si="67"/>
        <v>559320555.08199</v>
      </c>
      <c r="AA399" s="25">
        <f t="shared" si="53"/>
        <v>27435.511164346652</v>
      </c>
      <c r="AB399" s="25">
        <f t="shared" si="68"/>
        <v>19203969460.858749</v>
      </c>
      <c r="AC399" s="25">
        <f>AA399/((1+'How much will I make'!$C$5/12)^(Calculations!$B$1*12-Calculations!$A399))</f>
        <v>19267.261101132899</v>
      </c>
      <c r="AD399" s="25">
        <f t="shared" si="69"/>
        <v>3143643409.2996211</v>
      </c>
      <c r="AE399" s="25">
        <f t="shared" si="54"/>
        <v>38678.079285185398</v>
      </c>
      <c r="AF399" s="25">
        <f t="shared" si="70"/>
        <v>114563694223.7657</v>
      </c>
      <c r="AG399" s="25">
        <f>AE399/((1+'How much will I make'!$C$5/12)^(Calculations!$B$1*12-Calculations!$A399))</f>
        <v>27162.63050518357</v>
      </c>
      <c r="AH399" s="25">
        <f t="shared" si="71"/>
        <v>18237775557.512974</v>
      </c>
    </row>
    <row r="400" spans="1:34" ht="15.75" customHeight="1">
      <c r="A400" s="22">
        <f t="shared" si="55"/>
        <v>396</v>
      </c>
      <c r="B400" s="22">
        <f t="shared" si="82"/>
        <v>2382.4707343018049</v>
      </c>
      <c r="C400" s="25">
        <f t="shared" si="47"/>
        <v>3378.4293946134139</v>
      </c>
      <c r="D400" s="25">
        <f t="shared" si="56"/>
        <v>1393463.947266876</v>
      </c>
      <c r="E400" s="25">
        <f>$C400/((1+'How much will I make'!$C$5/12)^(Calculations!$B$1*12-Calculations!$A400))</f>
        <v>2382.4707343018049</v>
      </c>
      <c r="F400" s="25">
        <f t="shared" si="57"/>
        <v>480382.62504405505</v>
      </c>
      <c r="G400" s="25">
        <f t="shared" si="48"/>
        <v>4783.8110005611734</v>
      </c>
      <c r="H400" s="25">
        <f t="shared" si="58"/>
        <v>5012930.4513273332</v>
      </c>
      <c r="I400" s="25">
        <f>G400/((1+'How much will I make'!$C$5/12)^(Calculations!$B$1*12-Calculations!$A400))</f>
        <v>3373.5468100768749</v>
      </c>
      <c r="J400" s="25">
        <f t="shared" si="59"/>
        <v>1386699.3303753214</v>
      </c>
      <c r="K400" s="25">
        <f t="shared" si="49"/>
        <v>6764.1036368021387</v>
      </c>
      <c r="L400" s="25">
        <f t="shared" si="60"/>
        <v>21742475.47951917</v>
      </c>
      <c r="M400" s="25">
        <f>K400/((1+'How much will I make'!$C$5/12)^(Calculations!$B$1*12-Calculations!$A400))</f>
        <v>4770.05054010002</v>
      </c>
      <c r="N400" s="25">
        <f t="shared" si="61"/>
        <v>4955799.9000650123</v>
      </c>
      <c r="O400" s="25">
        <f t="shared" si="50"/>
        <v>9550.5566119074774</v>
      </c>
      <c r="P400" s="25">
        <f t="shared" si="62"/>
        <v>107655916.8643938</v>
      </c>
      <c r="Q400" s="25">
        <f>O400/((1+'How much will I make'!$C$5/12)^(Calculations!$B$1*12-Calculations!$A400))</f>
        <v>6735.0590959340871</v>
      </c>
      <c r="R400" s="25">
        <f t="shared" si="63"/>
        <v>21329110.683668647</v>
      </c>
      <c r="S400" s="25">
        <f t="shared" si="51"/>
        <v>13465.868138457288</v>
      </c>
      <c r="T400" s="25">
        <f t="shared" si="64"/>
        <v>579564289.69799292</v>
      </c>
      <c r="U400" s="25">
        <f>S400/((1+'How much will I make'!$C$5/12)^(Calculations!$B$1*12-Calculations!$A400))</f>
        <v>9496.1394791891726</v>
      </c>
      <c r="V400" s="25">
        <f t="shared" si="65"/>
        <v>104751854.31448753</v>
      </c>
      <c r="W400" s="25">
        <f t="shared" si="52"/>
        <v>18959.735199402025</v>
      </c>
      <c r="X400" s="25">
        <f t="shared" si="66"/>
        <v>3283847945.202003</v>
      </c>
      <c r="Y400" s="25">
        <f>W400/((1+'How much will I make'!$C$5/12)^(Calculations!$B$1*12-Calculations!$A400))</f>
        <v>13370.418311748064</v>
      </c>
      <c r="Z400" s="25">
        <f t="shared" si="67"/>
        <v>559333925.50030172</v>
      </c>
      <c r="AA400" s="25">
        <f t="shared" si="53"/>
        <v>26657.986556450192</v>
      </c>
      <c r="AB400" s="25">
        <f t="shared" si="68"/>
        <v>19203996118.845306</v>
      </c>
      <c r="AC400" s="25">
        <f>AA400/((1+'How much will I make'!$C$5/12)^(Calculations!$B$1*12-Calculations!$A400))</f>
        <v>18799.230467097284</v>
      </c>
      <c r="AD400" s="25">
        <f t="shared" si="69"/>
        <v>3143662208.5300884</v>
      </c>
      <c r="AE400" s="25">
        <f t="shared" si="54"/>
        <v>37430.399308243926</v>
      </c>
      <c r="AF400" s="25">
        <f t="shared" si="70"/>
        <v>114563731654.16501</v>
      </c>
      <c r="AG400" s="25">
        <f>AE400/((1+'How much will I make'!$C$5/12)^(Calculations!$B$1*12-Calculations!$A400))</f>
        <v>26395.943353827581</v>
      </c>
      <c r="AH400" s="25">
        <f t="shared" si="71"/>
        <v>18237801953.456329</v>
      </c>
    </row>
    <row r="401" spans="1:34" ht="15.75" customHeight="1">
      <c r="A401" s="22">
        <f t="shared" si="55"/>
        <v>397</v>
      </c>
      <c r="B401" s="22">
        <f>B400*(1+'How much will I make'!$C$4)</f>
        <v>2501.5942710168952</v>
      </c>
      <c r="C401" s="25">
        <f t="shared" si="47"/>
        <v>3532.6315661517856</v>
      </c>
      <c r="D401" s="25">
        <f t="shared" si="56"/>
        <v>1396996.5788330277</v>
      </c>
      <c r="E401" s="25">
        <f>$C401/((1+'How much will I make'!$C$5/12)^(Calculations!$B$1*12-Calculations!$A401))</f>
        <v>2501.5942710168952</v>
      </c>
      <c r="F401" s="25">
        <f t="shared" si="57"/>
        <v>482884.21931507194</v>
      </c>
      <c r="G401" s="25">
        <f t="shared" si="48"/>
        <v>4981.4891410802311</v>
      </c>
      <c r="H401" s="25">
        <f t="shared" si="58"/>
        <v>5017911.9404684138</v>
      </c>
      <c r="I401" s="25">
        <f>G401/((1+'How much will I make'!$C$5/12)^(Calculations!$B$1*12-Calculations!$A401))</f>
        <v>3527.5868607022867</v>
      </c>
      <c r="J401" s="25">
        <f t="shared" si="59"/>
        <v>1390226.9172360238</v>
      </c>
      <c r="K401" s="25">
        <f t="shared" si="49"/>
        <v>7014.6259937207369</v>
      </c>
      <c r="L401" s="25">
        <f t="shared" si="60"/>
        <v>21749490.105512891</v>
      </c>
      <c r="M401" s="25">
        <f>K401/((1+'How much will I make'!$C$5/12)^(Calculations!$B$1*12-Calculations!$A401))</f>
        <v>4967.3304081165033</v>
      </c>
      <c r="N401" s="25">
        <f t="shared" si="61"/>
        <v>4960767.2304731291</v>
      </c>
      <c r="O401" s="25">
        <f t="shared" si="50"/>
        <v>9863.6896155765717</v>
      </c>
      <c r="P401" s="25">
        <f t="shared" si="62"/>
        <v>107665780.55400938</v>
      </c>
      <c r="Q401" s="25">
        <f>O401/((1+'How much will I make'!$C$5/12)^(Calculations!$B$1*12-Calculations!$A401))</f>
        <v>6984.8635419103284</v>
      </c>
      <c r="R401" s="25">
        <f t="shared" si="63"/>
        <v>21336095.547210556</v>
      </c>
      <c r="S401" s="25">
        <f t="shared" si="51"/>
        <v>13850.607228127499</v>
      </c>
      <c r="T401" s="25">
        <f t="shared" si="64"/>
        <v>579578140.30522108</v>
      </c>
      <c r="U401" s="25">
        <f>S401/((1+'How much will I make'!$C$5/12)^(Calculations!$B$1*12-Calculations!$A401))</f>
        <v>9808.155490648247</v>
      </c>
      <c r="V401" s="25">
        <f t="shared" si="65"/>
        <v>104761662.46997818</v>
      </c>
      <c r="W401" s="25">
        <f t="shared" si="52"/>
        <v>19422.167765241098</v>
      </c>
      <c r="X401" s="25">
        <f t="shared" si="66"/>
        <v>3283867367.3697681</v>
      </c>
      <c r="Y401" s="25">
        <f>W401/((1+'How much will I make'!$C$5/12)^(Calculations!$B$1*12-Calculations!$A401))</f>
        <v>13753.594934096942</v>
      </c>
      <c r="Z401" s="25">
        <f t="shared" si="67"/>
        <v>559347679.09523582</v>
      </c>
      <c r="AA401" s="25">
        <f t="shared" si="53"/>
        <v>27197.621911843926</v>
      </c>
      <c r="AB401" s="25">
        <f t="shared" si="68"/>
        <v>19204023316.467216</v>
      </c>
      <c r="AC401" s="25">
        <f>AA401/((1+'How much will I make'!$C$5/12)^(Calculations!$B$1*12-Calculations!$A401))</f>
        <v>19259.697448173963</v>
      </c>
      <c r="AD401" s="25">
        <f t="shared" si="69"/>
        <v>3143681468.2275367</v>
      </c>
      <c r="AE401" s="25">
        <f t="shared" si="54"/>
        <v>38034.11542611882</v>
      </c>
      <c r="AF401" s="25">
        <f t="shared" si="70"/>
        <v>114563769688.28044</v>
      </c>
      <c r="AG401" s="25">
        <f>AE401/((1+'How much will I make'!$C$5/12)^(Calculations!$B$1*12-Calculations!$A401))</f>
        <v>26933.441393895431</v>
      </c>
      <c r="AH401" s="25">
        <f t="shared" si="71"/>
        <v>18237828886.897724</v>
      </c>
    </row>
    <row r="402" spans="1:34" ht="15.75" customHeight="1">
      <c r="A402" s="22">
        <f t="shared" si="55"/>
        <v>398</v>
      </c>
      <c r="B402" s="22">
        <f t="shared" ref="B402:B412" si="83">B401</f>
        <v>2501.5942710168952</v>
      </c>
      <c r="C402" s="25">
        <f t="shared" si="47"/>
        <v>3517.9733438855951</v>
      </c>
      <c r="D402" s="25">
        <f t="shared" si="56"/>
        <v>1400514.5521769132</v>
      </c>
      <c r="E402" s="25">
        <f>$C402/((1+'How much will I make'!$C$5/12)^(Calculations!$B$1*12-Calculations!$A402))</f>
        <v>2501.5942710168952</v>
      </c>
      <c r="F402" s="25">
        <f t="shared" si="57"/>
        <v>485385.81358608883</v>
      </c>
      <c r="G402" s="25">
        <f t="shared" si="48"/>
        <v>4940.3198093357669</v>
      </c>
      <c r="H402" s="25">
        <f t="shared" si="58"/>
        <v>5022852.26027775</v>
      </c>
      <c r="I402" s="25">
        <f>G402/((1+'How much will I make'!$C$5/12)^(Calculations!$B$1*12-Calculations!$A402))</f>
        <v>3513.010055492774</v>
      </c>
      <c r="J402" s="25">
        <f t="shared" si="59"/>
        <v>1393739.9272915167</v>
      </c>
      <c r="K402" s="25">
        <f t="shared" si="49"/>
        <v>6928.0256728106051</v>
      </c>
      <c r="L402" s="25">
        <f t="shared" si="60"/>
        <v>21756418.131185703</v>
      </c>
      <c r="M402" s="25">
        <f>K402/((1+'How much will I make'!$C$5/12)^(Calculations!$B$1*12-Calculations!$A402))</f>
        <v>4926.4470302719237</v>
      </c>
      <c r="N402" s="25">
        <f t="shared" si="61"/>
        <v>4965693.6775034014</v>
      </c>
      <c r="O402" s="25">
        <f t="shared" si="50"/>
        <v>9701.9897858130244</v>
      </c>
      <c r="P402" s="25">
        <f t="shared" si="62"/>
        <v>107675482.5437952</v>
      </c>
      <c r="Q402" s="25">
        <f>O402/((1+'How much will I make'!$C$5/12)^(Calculations!$B$1*12-Calculations!$A402))</f>
        <v>6898.9840721327455</v>
      </c>
      <c r="R402" s="25">
        <f t="shared" si="63"/>
        <v>21342994.531282689</v>
      </c>
      <c r="S402" s="25">
        <f t="shared" si="51"/>
        <v>13567.941774492245</v>
      </c>
      <c r="T402" s="25">
        <f t="shared" si="64"/>
        <v>579591708.24699557</v>
      </c>
      <c r="U402" s="25">
        <f>S402/((1+'How much will I make'!$C$5/12)^(Calculations!$B$1*12-Calculations!$A402))</f>
        <v>9648.0223397805221</v>
      </c>
      <c r="V402" s="25">
        <f t="shared" si="65"/>
        <v>104771310.49231796</v>
      </c>
      <c r="W402" s="25">
        <f t="shared" si="52"/>
        <v>18948.456356332779</v>
      </c>
      <c r="X402" s="25">
        <f t="shared" si="66"/>
        <v>3283886315.8261247</v>
      </c>
      <c r="Y402" s="25">
        <f>W402/((1+'How much will I make'!$C$5/12)^(Calculations!$B$1*12-Calculations!$A402))</f>
        <v>13474.050321615299</v>
      </c>
      <c r="Z402" s="25">
        <f t="shared" si="67"/>
        <v>559361153.1455574</v>
      </c>
      <c r="AA402" s="25">
        <f t="shared" si="53"/>
        <v>26426.83910462568</v>
      </c>
      <c r="AB402" s="25">
        <f t="shared" si="68"/>
        <v>19204049743.30632</v>
      </c>
      <c r="AC402" s="25">
        <f>AA402/((1+'How much will I make'!$C$5/12)^(Calculations!$B$1*12-Calculations!$A402))</f>
        <v>18791.850546598893</v>
      </c>
      <c r="AD402" s="25">
        <f t="shared" si="69"/>
        <v>3143700260.0780835</v>
      </c>
      <c r="AE402" s="25">
        <f t="shared" si="54"/>
        <v>36807.20847688918</v>
      </c>
      <c r="AF402" s="25">
        <f t="shared" si="70"/>
        <v>114563806495.48892</v>
      </c>
      <c r="AG402" s="25">
        <f>AE402/((1+'How much will I make'!$C$5/12)^(Calculations!$B$1*12-Calculations!$A402))</f>
        <v>26173.223290035483</v>
      </c>
      <c r="AH402" s="25">
        <f t="shared" si="71"/>
        <v>18237855060.121014</v>
      </c>
    </row>
    <row r="403" spans="1:34" ht="15.75" customHeight="1">
      <c r="A403" s="22">
        <f t="shared" si="55"/>
        <v>399</v>
      </c>
      <c r="B403" s="22">
        <f t="shared" si="83"/>
        <v>2501.5942710168952</v>
      </c>
      <c r="C403" s="25">
        <f t="shared" si="47"/>
        <v>3503.3759441184352</v>
      </c>
      <c r="D403" s="25">
        <f t="shared" si="56"/>
        <v>1404017.9281210317</v>
      </c>
      <c r="E403" s="25">
        <f>$C403/((1+'How much will I make'!$C$5/12)^(Calculations!$B$1*12-Calculations!$A403))</f>
        <v>2501.5942710168952</v>
      </c>
      <c r="F403" s="25">
        <f t="shared" si="57"/>
        <v>487887.40785710572</v>
      </c>
      <c r="G403" s="25">
        <f t="shared" si="48"/>
        <v>4899.4907200024127</v>
      </c>
      <c r="H403" s="25">
        <f t="shared" si="58"/>
        <v>5027751.750997752</v>
      </c>
      <c r="I403" s="25">
        <f>G403/((1+'How much will I make'!$C$5/12)^(Calculations!$B$1*12-Calculations!$A403))</f>
        <v>3498.4934850155305</v>
      </c>
      <c r="J403" s="25">
        <f t="shared" si="59"/>
        <v>1397238.4207765323</v>
      </c>
      <c r="K403" s="25">
        <f t="shared" si="49"/>
        <v>6842.4944916647946</v>
      </c>
      <c r="L403" s="25">
        <f t="shared" si="60"/>
        <v>21763260.62567737</v>
      </c>
      <c r="M403" s="25">
        <f>K403/((1+'How much will I make'!$C$5/12)^(Calculations!$B$1*12-Calculations!$A403))</f>
        <v>4885.9001411338832</v>
      </c>
      <c r="N403" s="25">
        <f t="shared" si="61"/>
        <v>4970579.5776445353</v>
      </c>
      <c r="O403" s="25">
        <f t="shared" si="50"/>
        <v>9542.9407729308441</v>
      </c>
      <c r="P403" s="25">
        <f t="shared" si="62"/>
        <v>107685025.48456813</v>
      </c>
      <c r="Q403" s="25">
        <f>O403/((1+'How much will I make'!$C$5/12)^(Calculations!$B$1*12-Calculations!$A403))</f>
        <v>6814.1604974753755</v>
      </c>
      <c r="R403" s="25">
        <f t="shared" si="63"/>
        <v>21349808.691780165</v>
      </c>
      <c r="S403" s="25">
        <f t="shared" si="51"/>
        <v>13291.045003584244</v>
      </c>
      <c r="T403" s="25">
        <f t="shared" si="64"/>
        <v>579604999.2919991</v>
      </c>
      <c r="U403" s="25">
        <f>S403/((1+'How much will I make'!$C$5/12)^(Calculations!$B$1*12-Calculations!$A403))</f>
        <v>9490.5036077024743</v>
      </c>
      <c r="V403" s="25">
        <f t="shared" si="65"/>
        <v>104780800.99592566</v>
      </c>
      <c r="W403" s="25">
        <f t="shared" si="52"/>
        <v>18486.298884227101</v>
      </c>
      <c r="X403" s="25">
        <f t="shared" si="66"/>
        <v>3283904802.1250091</v>
      </c>
      <c r="Y403" s="25">
        <f>W403/((1+'How much will I make'!$C$5/12)^(Calculations!$B$1*12-Calculations!$A403))</f>
        <v>13200.187510200352</v>
      </c>
      <c r="Z403" s="25">
        <f t="shared" si="67"/>
        <v>559374353.33306766</v>
      </c>
      <c r="AA403" s="25">
        <f t="shared" si="53"/>
        <v>25677.900344575559</v>
      </c>
      <c r="AB403" s="25">
        <f t="shared" si="68"/>
        <v>19204075421.206665</v>
      </c>
      <c r="AC403" s="25">
        <f>AA403/((1+'How much will I make'!$C$5/12)^(Calculations!$B$1*12-Calculations!$A403))</f>
        <v>18335.368347086369</v>
      </c>
      <c r="AD403" s="25">
        <f t="shared" si="69"/>
        <v>3143718595.4464307</v>
      </c>
      <c r="AE403" s="25">
        <f t="shared" si="54"/>
        <v>35619.879171183078</v>
      </c>
      <c r="AF403" s="25">
        <f t="shared" si="70"/>
        <v>114563842115.36809</v>
      </c>
      <c r="AG403" s="25">
        <f>AE403/((1+'How much will I make'!$C$5/12)^(Calculations!$B$1*12-Calculations!$A403))</f>
        <v>25434.462955236097</v>
      </c>
      <c r="AH403" s="25">
        <f t="shared" si="71"/>
        <v>18237880494.583969</v>
      </c>
    </row>
    <row r="404" spans="1:34" ht="15.75" customHeight="1">
      <c r="A404" s="22">
        <f t="shared" si="55"/>
        <v>400</v>
      </c>
      <c r="B404" s="22">
        <f t="shared" si="83"/>
        <v>2501.5942710168952</v>
      </c>
      <c r="C404" s="25">
        <f t="shared" si="47"/>
        <v>3488.8391144747907</v>
      </c>
      <c r="D404" s="25">
        <f t="shared" si="56"/>
        <v>1407506.7672355066</v>
      </c>
      <c r="E404" s="25">
        <f>$C404/((1+'How much will I make'!$C$5/12)^(Calculations!$B$1*12-Calculations!$A404))</f>
        <v>2501.5942710168952</v>
      </c>
      <c r="F404" s="25">
        <f t="shared" si="57"/>
        <v>490389.00212812261</v>
      </c>
      <c r="G404" s="25">
        <f t="shared" si="48"/>
        <v>4858.9990611594185</v>
      </c>
      <c r="H404" s="25">
        <f t="shared" si="58"/>
        <v>5032610.7500589117</v>
      </c>
      <c r="I404" s="25">
        <f>G404/((1+'How much will I make'!$C$5/12)^(Calculations!$B$1*12-Calculations!$A404))</f>
        <v>3484.0369003667065</v>
      </c>
      <c r="J404" s="25">
        <f t="shared" si="59"/>
        <v>1400722.4576768989</v>
      </c>
      <c r="K404" s="25">
        <f t="shared" si="49"/>
        <v>6758.019251026958</v>
      </c>
      <c r="L404" s="25">
        <f t="shared" si="60"/>
        <v>21770018.644928396</v>
      </c>
      <c r="M404" s="25">
        <f>K404/((1+'How much will I make'!$C$5/12)^(Calculations!$B$1*12-Calculations!$A404))</f>
        <v>4845.6869712480075</v>
      </c>
      <c r="N404" s="25">
        <f t="shared" si="61"/>
        <v>4975425.2646157835</v>
      </c>
      <c r="O404" s="25">
        <f t="shared" si="50"/>
        <v>9386.4991209155851</v>
      </c>
      <c r="P404" s="25">
        <f t="shared" si="62"/>
        <v>107694411.98368905</v>
      </c>
      <c r="Q404" s="25">
        <f>O404/((1+'How much will I make'!$C$5/12)^(Calculations!$B$1*12-Calculations!$A404))</f>
        <v>6730.3798356211701</v>
      </c>
      <c r="R404" s="25">
        <f t="shared" si="63"/>
        <v>21356539.071615785</v>
      </c>
      <c r="S404" s="25">
        <f t="shared" si="51"/>
        <v>13019.799187184566</v>
      </c>
      <c r="T404" s="25">
        <f t="shared" si="64"/>
        <v>579618019.09118629</v>
      </c>
      <c r="U404" s="25">
        <f>S404/((1+'How much will I make'!$C$5/12)^(Calculations!$B$1*12-Calculations!$A404))</f>
        <v>9335.5566100257001</v>
      </c>
      <c r="V404" s="25">
        <f t="shared" si="65"/>
        <v>104790136.5525357</v>
      </c>
      <c r="W404" s="25">
        <f t="shared" si="52"/>
        <v>18035.413545587417</v>
      </c>
      <c r="X404" s="25">
        <f t="shared" si="66"/>
        <v>3283922837.5385547</v>
      </c>
      <c r="Y404" s="25">
        <f>W404/((1+'How much will I make'!$C$5/12)^(Calculations!$B$1*12-Calculations!$A404))</f>
        <v>12931.891016090589</v>
      </c>
      <c r="Z404" s="25">
        <f t="shared" si="67"/>
        <v>559387285.22408378</v>
      </c>
      <c r="AA404" s="25">
        <f t="shared" si="53"/>
        <v>24950.186569628077</v>
      </c>
      <c r="AB404" s="25">
        <f t="shared" si="68"/>
        <v>19204100371.393234</v>
      </c>
      <c r="AC404" s="25">
        <f>AA404/((1+'How much will I make'!$C$5/12)^(Calculations!$B$1*12-Calculations!$A404))</f>
        <v>17889.974783999252</v>
      </c>
      <c r="AD404" s="25">
        <f t="shared" si="69"/>
        <v>3143736485.4212146</v>
      </c>
      <c r="AE404" s="25">
        <f t="shared" si="54"/>
        <v>34470.850810822332</v>
      </c>
      <c r="AF404" s="25">
        <f t="shared" si="70"/>
        <v>114563876586.2189</v>
      </c>
      <c r="AG404" s="25">
        <f>AE404/((1+'How much will I make'!$C$5/12)^(Calculations!$B$1*12-Calculations!$A404))</f>
        <v>24716.554726660881</v>
      </c>
      <c r="AH404" s="25">
        <f t="shared" si="71"/>
        <v>18237905211.138695</v>
      </c>
    </row>
    <row r="405" spans="1:34" ht="15.75" customHeight="1">
      <c r="A405" s="22">
        <f t="shared" si="55"/>
        <v>401</v>
      </c>
      <c r="B405" s="22">
        <f t="shared" si="83"/>
        <v>2501.5942710168952</v>
      </c>
      <c r="C405" s="25">
        <f t="shared" si="47"/>
        <v>3474.3626036263477</v>
      </c>
      <c r="D405" s="25">
        <f t="shared" si="56"/>
        <v>1410981.129839133</v>
      </c>
      <c r="E405" s="25">
        <f>$C405/((1+'How much will I make'!$C$5/12)^(Calculations!$B$1*12-Calculations!$A405))</f>
        <v>2501.5942710168952</v>
      </c>
      <c r="F405" s="25">
        <f t="shared" si="57"/>
        <v>492890.5963991395</v>
      </c>
      <c r="G405" s="25">
        <f t="shared" si="48"/>
        <v>4818.8420441250428</v>
      </c>
      <c r="H405" s="25">
        <f t="shared" si="58"/>
        <v>5037429.5921030371</v>
      </c>
      <c r="I405" s="25">
        <f>G405/((1+'How much will I make'!$C$5/12)^(Calculations!$B$1*12-Calculations!$A405))</f>
        <v>3469.6400536709757</v>
      </c>
      <c r="J405" s="25">
        <f t="shared" si="59"/>
        <v>1404192.09773057</v>
      </c>
      <c r="K405" s="25">
        <f t="shared" si="49"/>
        <v>6674.5869145945244</v>
      </c>
      <c r="L405" s="25">
        <f t="shared" si="60"/>
        <v>21776693.231842991</v>
      </c>
      <c r="M405" s="25">
        <f>K405/((1+'How much will I make'!$C$5/12)^(Calculations!$B$1*12-Calculations!$A405))</f>
        <v>4805.8047739537833</v>
      </c>
      <c r="N405" s="25">
        <f t="shared" si="61"/>
        <v>4980231.0693897372</v>
      </c>
      <c r="O405" s="25">
        <f t="shared" si="50"/>
        <v>9232.6220861464753</v>
      </c>
      <c r="P405" s="25">
        <f t="shared" si="62"/>
        <v>107703644.60577521</v>
      </c>
      <c r="Q405" s="25">
        <f>O405/((1+'How much will I make'!$C$5/12)^(Calculations!$B$1*12-Calculations!$A405))</f>
        <v>6647.6292638717277</v>
      </c>
      <c r="R405" s="25">
        <f t="shared" si="63"/>
        <v>21363186.700879656</v>
      </c>
      <c r="S405" s="25">
        <f t="shared" si="51"/>
        <v>12754.088999691005</v>
      </c>
      <c r="T405" s="25">
        <f t="shared" si="64"/>
        <v>579630773.18018603</v>
      </c>
      <c r="U405" s="25">
        <f>S405/((1+'How much will I make'!$C$5/12)^(Calculations!$B$1*12-Calculations!$A405))</f>
        <v>9183.1393592497698</v>
      </c>
      <c r="V405" s="25">
        <f t="shared" si="65"/>
        <v>104799319.69189495</v>
      </c>
      <c r="W405" s="25">
        <f t="shared" si="52"/>
        <v>17595.525410329192</v>
      </c>
      <c r="X405" s="25">
        <f t="shared" si="66"/>
        <v>3283940433.0639648</v>
      </c>
      <c r="Y405" s="25">
        <f>W405/((1+'How much will I make'!$C$5/12)^(Calculations!$B$1*12-Calculations!$A405))</f>
        <v>12669.047702755417</v>
      </c>
      <c r="Z405" s="25">
        <f t="shared" si="67"/>
        <v>559399954.27178657</v>
      </c>
      <c r="AA405" s="25">
        <f t="shared" si="53"/>
        <v>24243.096261986801</v>
      </c>
      <c r="AB405" s="25">
        <f t="shared" si="68"/>
        <v>19204124614.489498</v>
      </c>
      <c r="AC405" s="25">
        <f>AA405/((1+'How much will I make'!$C$5/12)^(Calculations!$B$1*12-Calculations!$A405))</f>
        <v>17455.400497748258</v>
      </c>
      <c r="AD405" s="25">
        <f t="shared" si="69"/>
        <v>3143753940.8217125</v>
      </c>
      <c r="AE405" s="25">
        <f t="shared" si="54"/>
        <v>33358.887881440955</v>
      </c>
      <c r="AF405" s="25">
        <f t="shared" si="70"/>
        <v>114563909945.10678</v>
      </c>
      <c r="AG405" s="25">
        <f>AE405/((1+'How much will I make'!$C$5/12)^(Calculations!$B$1*12-Calculations!$A405))</f>
        <v>24018.910036795442</v>
      </c>
      <c r="AH405" s="25">
        <f t="shared" si="71"/>
        <v>18237929230.048733</v>
      </c>
    </row>
    <row r="406" spans="1:34" ht="15.75" customHeight="1">
      <c r="A406" s="22">
        <f t="shared" si="55"/>
        <v>402</v>
      </c>
      <c r="B406" s="22">
        <f t="shared" si="83"/>
        <v>2501.5942710168952</v>
      </c>
      <c r="C406" s="25">
        <f t="shared" si="47"/>
        <v>3459.9461612876485</v>
      </c>
      <c r="D406" s="25">
        <f t="shared" si="56"/>
        <v>1414441.0760004206</v>
      </c>
      <c r="E406" s="25">
        <f>$C406/((1+'How much will I make'!$C$5/12)^(Calculations!$B$1*12-Calculations!$A406))</f>
        <v>2501.5942710168952</v>
      </c>
      <c r="F406" s="25">
        <f t="shared" si="57"/>
        <v>495392.19067015639</v>
      </c>
      <c r="G406" s="25">
        <f t="shared" si="48"/>
        <v>4779.0169032645063</v>
      </c>
      <c r="H406" s="25">
        <f t="shared" si="58"/>
        <v>5042208.6090063015</v>
      </c>
      <c r="I406" s="25">
        <f>G406/((1+'How much will I make'!$C$5/12)^(Calculations!$B$1*12-Calculations!$A406))</f>
        <v>3455.3026980772956</v>
      </c>
      <c r="J406" s="25">
        <f t="shared" si="59"/>
        <v>1407647.4004286474</v>
      </c>
      <c r="K406" s="25">
        <f t="shared" si="49"/>
        <v>6592.1846070069405</v>
      </c>
      <c r="L406" s="25">
        <f t="shared" si="60"/>
        <v>21783285.416449998</v>
      </c>
      <c r="M406" s="25">
        <f>K406/((1+'How much will I make'!$C$5/12)^(Calculations!$B$1*12-Calculations!$A406))</f>
        <v>4766.2508251969648</v>
      </c>
      <c r="N406" s="25">
        <f t="shared" si="61"/>
        <v>4984997.3202149337</v>
      </c>
      <c r="O406" s="25">
        <f t="shared" si="50"/>
        <v>9081.2676257178482</v>
      </c>
      <c r="P406" s="25">
        <f t="shared" si="62"/>
        <v>107712725.87340093</v>
      </c>
      <c r="Q406" s="25">
        <f>O406/((1+'How much will I make'!$C$5/12)^(Calculations!$B$1*12-Calculations!$A406))</f>
        <v>6565.896117184785</v>
      </c>
      <c r="R406" s="25">
        <f t="shared" si="63"/>
        <v>21369752.59699684</v>
      </c>
      <c r="S406" s="25">
        <f t="shared" si="51"/>
        <v>12493.801469085067</v>
      </c>
      <c r="T406" s="25">
        <f t="shared" si="64"/>
        <v>579643266.98165512</v>
      </c>
      <c r="U406" s="25">
        <f>S406/((1+'How much will I make'!$C$5/12)^(Calculations!$B$1*12-Calculations!$A406))</f>
        <v>9033.2105533844697</v>
      </c>
      <c r="V406" s="25">
        <f t="shared" si="65"/>
        <v>104808352.90244833</v>
      </c>
      <c r="W406" s="25">
        <f t="shared" si="52"/>
        <v>17166.366253979693</v>
      </c>
      <c r="X406" s="25">
        <f t="shared" si="66"/>
        <v>3283957599.4302187</v>
      </c>
      <c r="Y406" s="25">
        <f>W406/((1+'How much will I make'!$C$5/12)^(Calculations!$B$1*12-Calculations!$A406))</f>
        <v>12411.546733187217</v>
      </c>
      <c r="Z406" s="25">
        <f t="shared" si="67"/>
        <v>559412365.81851971</v>
      </c>
      <c r="AA406" s="25">
        <f t="shared" si="53"/>
        <v>23556.044950918349</v>
      </c>
      <c r="AB406" s="25">
        <f t="shared" si="68"/>
        <v>19204148170.534451</v>
      </c>
      <c r="AC406" s="25">
        <f>AA406/((1+'How much will I make'!$C$5/12)^(Calculations!$B$1*12-Calculations!$A406))</f>
        <v>17031.382671892032</v>
      </c>
      <c r="AD406" s="25">
        <f t="shared" si="69"/>
        <v>3143770972.2043843</v>
      </c>
      <c r="AE406" s="25">
        <f t="shared" si="54"/>
        <v>32282.794723975119</v>
      </c>
      <c r="AF406" s="25">
        <f t="shared" si="70"/>
        <v>114563942227.9015</v>
      </c>
      <c r="AG406" s="25">
        <f>AE406/((1+'How much will I make'!$C$5/12)^(Calculations!$B$1*12-Calculations!$A406))</f>
        <v>23340.956930918157</v>
      </c>
      <c r="AH406" s="25">
        <f t="shared" si="71"/>
        <v>18237952571.005665</v>
      </c>
    </row>
    <row r="407" spans="1:34" ht="15.75" customHeight="1">
      <c r="A407" s="22">
        <f t="shared" si="55"/>
        <v>403</v>
      </c>
      <c r="B407" s="22">
        <f t="shared" si="83"/>
        <v>2501.5942710168952</v>
      </c>
      <c r="C407" s="25">
        <f t="shared" si="47"/>
        <v>3445.5895382117656</v>
      </c>
      <c r="D407" s="25">
        <f t="shared" si="56"/>
        <v>1417886.6655386323</v>
      </c>
      <c r="E407" s="25">
        <f>$C407/((1+'How much will I make'!$C$5/12)^(Calculations!$B$1*12-Calculations!$A407))</f>
        <v>2501.5942710168952</v>
      </c>
      <c r="F407" s="25">
        <f t="shared" si="57"/>
        <v>497893.78494117328</v>
      </c>
      <c r="G407" s="25">
        <f t="shared" si="48"/>
        <v>4739.5208957995092</v>
      </c>
      <c r="H407" s="25">
        <f t="shared" si="58"/>
        <v>5046948.1299021011</v>
      </c>
      <c r="I407" s="25">
        <f>G407/((1+'How much will I make'!$C$5/12)^(Calculations!$B$1*12-Calculations!$A407))</f>
        <v>3441.0245877546618</v>
      </c>
      <c r="J407" s="25">
        <f t="shared" si="59"/>
        <v>1411088.425016402</v>
      </c>
      <c r="K407" s="25">
        <f t="shared" si="49"/>
        <v>6510.7996118587052</v>
      </c>
      <c r="L407" s="25">
        <f t="shared" si="60"/>
        <v>21789796.216061857</v>
      </c>
      <c r="M407" s="25">
        <f>K407/((1+'How much will I make'!$C$5/12)^(Calculations!$B$1*12-Calculations!$A407))</f>
        <v>4727.0224233434919</v>
      </c>
      <c r="N407" s="25">
        <f t="shared" si="61"/>
        <v>4989724.3426382774</v>
      </c>
      <c r="O407" s="25">
        <f t="shared" si="50"/>
        <v>8932.3943859519823</v>
      </c>
      <c r="P407" s="25">
        <f t="shared" si="62"/>
        <v>107721658.26778688</v>
      </c>
      <c r="Q407" s="25">
        <f>O407/((1+'How much will I make'!$C$5/12)^(Calculations!$B$1*12-Calculations!$A407))</f>
        <v>6485.1678862357921</v>
      </c>
      <c r="R407" s="25">
        <f t="shared" si="63"/>
        <v>21376237.764883075</v>
      </c>
      <c r="S407" s="25">
        <f t="shared" si="51"/>
        <v>12238.825928899661</v>
      </c>
      <c r="T407" s="25">
        <f t="shared" si="64"/>
        <v>579655505.80758405</v>
      </c>
      <c r="U407" s="25">
        <f>S407/((1+'How much will I make'!$C$5/12)^(Calculations!$B$1*12-Calculations!$A407))</f>
        <v>8885.7295647577885</v>
      </c>
      <c r="V407" s="25">
        <f t="shared" si="65"/>
        <v>104817238.63201308</v>
      </c>
      <c r="W407" s="25">
        <f t="shared" si="52"/>
        <v>16747.674394126534</v>
      </c>
      <c r="X407" s="25">
        <f t="shared" si="66"/>
        <v>3283974347.1046128</v>
      </c>
      <c r="Y407" s="25">
        <f>W407/((1+'How much will I make'!$C$5/12)^(Calculations!$B$1*12-Calculations!$A407))</f>
        <v>12159.27952316309</v>
      </c>
      <c r="Z407" s="25">
        <f t="shared" si="67"/>
        <v>559424525.09804285</v>
      </c>
      <c r="AA407" s="25">
        <f t="shared" si="53"/>
        <v>22888.46472963726</v>
      </c>
      <c r="AB407" s="25">
        <f t="shared" si="68"/>
        <v>19204171058.99918</v>
      </c>
      <c r="AC407" s="25">
        <f>AA407/((1+'How much will I make'!$C$5/12)^(Calculations!$B$1*12-Calculations!$A407))</f>
        <v>16617.664874194248</v>
      </c>
      <c r="AD407" s="25">
        <f t="shared" si="69"/>
        <v>3143787589.8692584</v>
      </c>
      <c r="AE407" s="25">
        <f t="shared" si="54"/>
        <v>31241.414249008176</v>
      </c>
      <c r="AF407" s="25">
        <f t="shared" si="70"/>
        <v>114563973469.31575</v>
      </c>
      <c r="AG407" s="25">
        <f>AE407/((1+'How much will I make'!$C$5/12)^(Calculations!$B$1*12-Calculations!$A407))</f>
        <v>22682.139598190628</v>
      </c>
      <c r="AH407" s="25">
        <f t="shared" si="71"/>
        <v>18237975253.145264</v>
      </c>
    </row>
    <row r="408" spans="1:34" ht="15.75" customHeight="1">
      <c r="A408" s="22">
        <f t="shared" si="55"/>
        <v>404</v>
      </c>
      <c r="B408" s="22">
        <f t="shared" si="83"/>
        <v>2501.5942710168952</v>
      </c>
      <c r="C408" s="25">
        <f t="shared" si="47"/>
        <v>3431.292486185991</v>
      </c>
      <c r="D408" s="25">
        <f t="shared" si="56"/>
        <v>1421317.9580248182</v>
      </c>
      <c r="E408" s="25">
        <f>$C408/((1+'How much will I make'!$C$5/12)^(Calculations!$B$1*12-Calculations!$A408))</f>
        <v>2501.5942710168952</v>
      </c>
      <c r="F408" s="25">
        <f t="shared" si="57"/>
        <v>500395.37921219016</v>
      </c>
      <c r="G408" s="25">
        <f t="shared" si="48"/>
        <v>4700.3513016193492</v>
      </c>
      <c r="H408" s="25">
        <f t="shared" si="58"/>
        <v>5051648.4812037209</v>
      </c>
      <c r="I408" s="25">
        <f>G408/((1+'How much will I make'!$C$5/12)^(Calculations!$B$1*12-Calculations!$A408))</f>
        <v>3426.8054778879073</v>
      </c>
      <c r="J408" s="25">
        <f t="shared" si="59"/>
        <v>1414515.2304942899</v>
      </c>
      <c r="K408" s="25">
        <f t="shared" si="49"/>
        <v>6430.4193697369938</v>
      </c>
      <c r="L408" s="25">
        <f t="shared" si="60"/>
        <v>21796226.635431595</v>
      </c>
      <c r="M408" s="25">
        <f>K408/((1+'How much will I make'!$C$5/12)^(Calculations!$B$1*12-Calculations!$A408))</f>
        <v>4688.1168889949859</v>
      </c>
      <c r="N408" s="25">
        <f t="shared" si="61"/>
        <v>4994412.4595272727</v>
      </c>
      <c r="O408" s="25">
        <f t="shared" si="50"/>
        <v>8785.9616911003086</v>
      </c>
      <c r="P408" s="25">
        <f t="shared" si="62"/>
        <v>107730444.22947797</v>
      </c>
      <c r="Q408" s="25">
        <f>O408/((1+'How much will I make'!$C$5/12)^(Calculations!$B$1*12-Calculations!$A408))</f>
        <v>6405.4322155033833</v>
      </c>
      <c r="R408" s="25">
        <f t="shared" si="63"/>
        <v>21382643.197098579</v>
      </c>
      <c r="S408" s="25">
        <f t="shared" si="51"/>
        <v>11989.053971167014</v>
      </c>
      <c r="T408" s="25">
        <f t="shared" si="64"/>
        <v>579667494.86155522</v>
      </c>
      <c r="U408" s="25">
        <f>S408/((1+'How much will I make'!$C$5/12)^(Calculations!$B$1*12-Calculations!$A408))</f>
        <v>8740.6564290066399</v>
      </c>
      <c r="V408" s="25">
        <f t="shared" si="65"/>
        <v>104825979.28844209</v>
      </c>
      <c r="W408" s="25">
        <f t="shared" si="52"/>
        <v>16339.194530855155</v>
      </c>
      <c r="X408" s="25">
        <f t="shared" si="66"/>
        <v>3283990686.2991438</v>
      </c>
      <c r="Y408" s="25">
        <f>W408/((1+'How much will I make'!$C$5/12)^(Calculations!$B$1*12-Calculations!$A408))</f>
        <v>11912.139695456523</v>
      </c>
      <c r="Z408" s="25">
        <f t="shared" si="67"/>
        <v>559436437.23773825</v>
      </c>
      <c r="AA408" s="25">
        <f t="shared" si="53"/>
        <v>22239.803785882363</v>
      </c>
      <c r="AB408" s="25">
        <f t="shared" si="68"/>
        <v>19204193298.802967</v>
      </c>
      <c r="AC408" s="25">
        <f>AA408/((1+'How much will I make'!$C$5/12)^(Calculations!$B$1*12-Calculations!$A408))</f>
        <v>16213.996901541759</v>
      </c>
      <c r="AD408" s="25">
        <f t="shared" si="69"/>
        <v>3143803803.8661599</v>
      </c>
      <c r="AE408" s="25">
        <f t="shared" si="54"/>
        <v>30233.626692588561</v>
      </c>
      <c r="AF408" s="25">
        <f t="shared" si="70"/>
        <v>114564003702.94244</v>
      </c>
      <c r="AG408" s="25">
        <f>AE408/((1+'How much will I make'!$C$5/12)^(Calculations!$B$1*12-Calculations!$A408))</f>
        <v>22041.917915983635</v>
      </c>
      <c r="AH408" s="25">
        <f t="shared" si="71"/>
        <v>18237997295.063179</v>
      </c>
    </row>
    <row r="409" spans="1:34" ht="15.75" customHeight="1">
      <c r="A409" s="22">
        <f t="shared" si="55"/>
        <v>405</v>
      </c>
      <c r="B409" s="22">
        <f t="shared" si="83"/>
        <v>2501.5942710168952</v>
      </c>
      <c r="C409" s="25">
        <f t="shared" si="47"/>
        <v>3417.0547580275429</v>
      </c>
      <c r="D409" s="25">
        <f t="shared" si="56"/>
        <v>1424735.0127828456</v>
      </c>
      <c r="E409" s="25">
        <f>$C409/((1+'How much will I make'!$C$5/12)^(Calculations!$B$1*12-Calculations!$A409))</f>
        <v>2501.5942710168952</v>
      </c>
      <c r="F409" s="25">
        <f t="shared" si="57"/>
        <v>502896.97348320705</v>
      </c>
      <c r="G409" s="25">
        <f t="shared" si="48"/>
        <v>4661.5054230935693</v>
      </c>
      <c r="H409" s="25">
        <f t="shared" si="58"/>
        <v>5056309.9866268141</v>
      </c>
      <c r="I409" s="25">
        <f>G409/((1+'How much will I make'!$C$5/12)^(Calculations!$B$1*12-Calculations!$A409))</f>
        <v>3412.6451246734946</v>
      </c>
      <c r="J409" s="25">
        <f t="shared" si="59"/>
        <v>1417927.8756189635</v>
      </c>
      <c r="K409" s="25">
        <f t="shared" si="49"/>
        <v>6351.0314762834496</v>
      </c>
      <c r="L409" s="25">
        <f t="shared" si="60"/>
        <v>21802577.66690788</v>
      </c>
      <c r="M409" s="25">
        <f>K409/((1+'How much will I make'!$C$5/12)^(Calculations!$B$1*12-Calculations!$A409))</f>
        <v>4649.5315648057258</v>
      </c>
      <c r="N409" s="25">
        <f t="shared" si="61"/>
        <v>4999061.9910920784</v>
      </c>
      <c r="O409" s="25">
        <f t="shared" si="50"/>
        <v>8641.9295322298112</v>
      </c>
      <c r="P409" s="25">
        <f t="shared" si="62"/>
        <v>107739086.1590102</v>
      </c>
      <c r="Q409" s="25">
        <f>O409/((1+'How much will I make'!$C$5/12)^(Calculations!$B$1*12-Calculations!$A409))</f>
        <v>6326.6769013783414</v>
      </c>
      <c r="R409" s="25">
        <f t="shared" si="63"/>
        <v>21388969.873999957</v>
      </c>
      <c r="S409" s="25">
        <f t="shared" si="51"/>
        <v>11744.37940032687</v>
      </c>
      <c r="T409" s="25">
        <f t="shared" si="64"/>
        <v>579679239.24095559</v>
      </c>
      <c r="U409" s="25">
        <f>S409/((1+'How much will I make'!$C$5/12)^(Calculations!$B$1*12-Calculations!$A409))</f>
        <v>8597.9518342473475</v>
      </c>
      <c r="V409" s="25">
        <f t="shared" si="65"/>
        <v>104834577.24027634</v>
      </c>
      <c r="W409" s="25">
        <f t="shared" si="52"/>
        <v>15940.677591078203</v>
      </c>
      <c r="X409" s="25">
        <f t="shared" si="66"/>
        <v>3284006626.9767346</v>
      </c>
      <c r="Y409" s="25">
        <f>W409/((1+'How much will I make'!$C$5/12)^(Calculations!$B$1*12-Calculations!$A409))</f>
        <v>11670.023034979766</v>
      </c>
      <c r="Z409" s="25">
        <f t="shared" si="67"/>
        <v>559448107.26077318</v>
      </c>
      <c r="AA409" s="25">
        <f t="shared" si="53"/>
        <v>21609.525945796639</v>
      </c>
      <c r="AB409" s="25">
        <f t="shared" si="68"/>
        <v>19204214908.328915</v>
      </c>
      <c r="AC409" s="25">
        <f>AA409/((1+'How much will I make'!$C$5/12)^(Calculations!$B$1*12-Calculations!$A409))</f>
        <v>15820.134628629821</v>
      </c>
      <c r="AD409" s="25">
        <f t="shared" si="69"/>
        <v>3143819624.0007887</v>
      </c>
      <c r="AE409" s="25">
        <f t="shared" si="54"/>
        <v>29258.348412182466</v>
      </c>
      <c r="AF409" s="25">
        <f t="shared" si="70"/>
        <v>114564032961.29086</v>
      </c>
      <c r="AG409" s="25">
        <f>AE409/((1+'How much will I make'!$C$5/12)^(Calculations!$B$1*12-Calculations!$A409))</f>
        <v>21419.767007064733</v>
      </c>
      <c r="AH409" s="25">
        <f t="shared" si="71"/>
        <v>18238018714.830185</v>
      </c>
    </row>
    <row r="410" spans="1:34" ht="15.75" customHeight="1">
      <c r="A410" s="22">
        <f t="shared" si="55"/>
        <v>406</v>
      </c>
      <c r="B410" s="22">
        <f t="shared" si="83"/>
        <v>2501.5942710168952</v>
      </c>
      <c r="C410" s="25">
        <f t="shared" si="47"/>
        <v>3402.8761075792963</v>
      </c>
      <c r="D410" s="25">
        <f t="shared" si="56"/>
        <v>1428137.888890425</v>
      </c>
      <c r="E410" s="25">
        <f>$C410/((1+'How much will I make'!$C$5/12)^(Calculations!$B$1*12-Calculations!$A410))</f>
        <v>2501.5942710168952</v>
      </c>
      <c r="F410" s="25">
        <f t="shared" si="57"/>
        <v>505398.56775422394</v>
      </c>
      <c r="G410" s="25">
        <f t="shared" si="48"/>
        <v>4622.9805848861852</v>
      </c>
      <c r="H410" s="25">
        <f t="shared" si="58"/>
        <v>5060932.9672117</v>
      </c>
      <c r="I410" s="25">
        <f>G410/((1+'How much will I make'!$C$5/12)^(Calculations!$B$1*12-Calculations!$A410))</f>
        <v>3398.5432853153393</v>
      </c>
      <c r="J410" s="25">
        <f t="shared" si="59"/>
        <v>1421326.4189042789</v>
      </c>
      <c r="K410" s="25">
        <f t="shared" si="49"/>
        <v>6272.6236802799513</v>
      </c>
      <c r="L410" s="25">
        <f t="shared" si="60"/>
        <v>21808850.290588159</v>
      </c>
      <c r="M410" s="25">
        <f>K410/((1+'How much will I make'!$C$5/12)^(Calculations!$B$1*12-Calculations!$A410))</f>
        <v>4611.2638153011521</v>
      </c>
      <c r="N410" s="25">
        <f t="shared" si="61"/>
        <v>5003673.2549073799</v>
      </c>
      <c r="O410" s="25">
        <f t="shared" si="50"/>
        <v>8500.2585562916192</v>
      </c>
      <c r="P410" s="25">
        <f t="shared" si="62"/>
        <v>107747586.41756649</v>
      </c>
      <c r="Q410" s="25">
        <f>O410/((1+'How much will I make'!$C$5/12)^(Calculations!$B$1*12-Calculations!$A410))</f>
        <v>6248.8898902958208</v>
      </c>
      <c r="R410" s="25">
        <f t="shared" si="63"/>
        <v>21395218.763890252</v>
      </c>
      <c r="S410" s="25">
        <f t="shared" si="51"/>
        <v>11504.698188075305</v>
      </c>
      <c r="T410" s="25">
        <f t="shared" si="64"/>
        <v>579690743.93914366</v>
      </c>
      <c r="U410" s="25">
        <f>S410/((1+'How much will I make'!$C$5/12)^(Calculations!$B$1*12-Calculations!$A410))</f>
        <v>8457.5771104229025</v>
      </c>
      <c r="V410" s="25">
        <f t="shared" si="65"/>
        <v>104843034.81738676</v>
      </c>
      <c r="W410" s="25">
        <f t="shared" si="52"/>
        <v>15551.880576661661</v>
      </c>
      <c r="X410" s="25">
        <f t="shared" si="66"/>
        <v>3284022178.8573112</v>
      </c>
      <c r="Y410" s="25">
        <f>W410/((1+'How much will I make'!$C$5/12)^(Calculations!$B$1*12-Calculations!$A410))</f>
        <v>11432.827444837898</v>
      </c>
      <c r="Z410" s="25">
        <f t="shared" si="67"/>
        <v>559459540.08821797</v>
      </c>
      <c r="AA410" s="25">
        <f t="shared" si="53"/>
        <v>20997.110230733575</v>
      </c>
      <c r="AB410" s="25">
        <f t="shared" si="68"/>
        <v>19204235905.439144</v>
      </c>
      <c r="AC410" s="25">
        <f>AA410/((1+'How much will I make'!$C$5/12)^(Calculations!$B$1*12-Calculations!$A410))</f>
        <v>15435.839860323022</v>
      </c>
      <c r="AD410" s="25">
        <f t="shared" si="69"/>
        <v>3143835059.8406491</v>
      </c>
      <c r="AE410" s="25">
        <f t="shared" si="54"/>
        <v>28314.530721466901</v>
      </c>
      <c r="AF410" s="25">
        <f t="shared" si="70"/>
        <v>114564061275.82158</v>
      </c>
      <c r="AG410" s="25">
        <f>AE410/((1+'How much will I make'!$C$5/12)^(Calculations!$B$1*12-Calculations!$A410))</f>
        <v>20815.176809284676</v>
      </c>
      <c r="AH410" s="25">
        <f t="shared" si="71"/>
        <v>18238039530.006992</v>
      </c>
    </row>
    <row r="411" spans="1:34" ht="15.75" customHeight="1">
      <c r="A411" s="22">
        <f t="shared" si="55"/>
        <v>407</v>
      </c>
      <c r="B411" s="22">
        <f t="shared" si="83"/>
        <v>2501.5942710168952</v>
      </c>
      <c r="C411" s="25">
        <f t="shared" si="47"/>
        <v>3388.7562897055227</v>
      </c>
      <c r="D411" s="25">
        <f t="shared" si="56"/>
        <v>1431526.6451801306</v>
      </c>
      <c r="E411" s="25">
        <f>$C411/((1+'How much will I make'!$C$5/12)^(Calculations!$B$1*12-Calculations!$A411))</f>
        <v>2501.5942710168952</v>
      </c>
      <c r="F411" s="25">
        <f t="shared" si="57"/>
        <v>507900.16202524083</v>
      </c>
      <c r="G411" s="25">
        <f t="shared" si="48"/>
        <v>4584.7741337714224</v>
      </c>
      <c r="H411" s="25">
        <f t="shared" si="58"/>
        <v>5065517.7413454717</v>
      </c>
      <c r="I411" s="25">
        <f>G411/((1+'How much will I make'!$C$5/12)^(Calculations!$B$1*12-Calculations!$A411))</f>
        <v>3384.4997180206478</v>
      </c>
      <c r="J411" s="25">
        <f t="shared" si="59"/>
        <v>1424710.9186222996</v>
      </c>
      <c r="K411" s="25">
        <f t="shared" si="49"/>
        <v>6195.1838817579755</v>
      </c>
      <c r="L411" s="25">
        <f t="shared" si="60"/>
        <v>21815045.474469919</v>
      </c>
      <c r="M411" s="25">
        <f>K411/((1+'How much will I make'!$C$5/12)^(Calculations!$B$1*12-Calculations!$A411))</f>
        <v>4573.3110266978501</v>
      </c>
      <c r="N411" s="25">
        <f t="shared" si="61"/>
        <v>5008246.5659340778</v>
      </c>
      <c r="O411" s="25">
        <f t="shared" si="50"/>
        <v>8360.9100553688077</v>
      </c>
      <c r="P411" s="25">
        <f t="shared" si="62"/>
        <v>107755947.32762186</v>
      </c>
      <c r="Q411" s="25">
        <f>O411/((1+'How much will I make'!$C$5/12)^(Calculations!$B$1*12-Calculations!$A411))</f>
        <v>6172.0592768905462</v>
      </c>
      <c r="R411" s="25">
        <f t="shared" si="63"/>
        <v>21401390.823167142</v>
      </c>
      <c r="S411" s="25">
        <f t="shared" si="51"/>
        <v>11269.908429134995</v>
      </c>
      <c r="T411" s="25">
        <f t="shared" si="64"/>
        <v>579702013.8475728</v>
      </c>
      <c r="U411" s="25">
        <f>S411/((1+'How much will I make'!$C$5/12)^(Calculations!$B$1*12-Calculations!$A411))</f>
        <v>8319.4942188241639</v>
      </c>
      <c r="V411" s="25">
        <f t="shared" si="65"/>
        <v>104851354.31160559</v>
      </c>
      <c r="W411" s="25">
        <f t="shared" si="52"/>
        <v>15172.566416255278</v>
      </c>
      <c r="X411" s="25">
        <f t="shared" si="66"/>
        <v>3284037351.4237275</v>
      </c>
      <c r="Y411" s="25">
        <f>W411/((1+'How much will I make'!$C$5/12)^(Calculations!$B$1*12-Calculations!$A411))</f>
        <v>11200.452903276153</v>
      </c>
      <c r="Z411" s="25">
        <f t="shared" si="67"/>
        <v>559470740.54112124</v>
      </c>
      <c r="AA411" s="25">
        <f t="shared" si="53"/>
        <v>20402.050426623715</v>
      </c>
      <c r="AB411" s="25">
        <f t="shared" si="68"/>
        <v>19204256307.489571</v>
      </c>
      <c r="AC411" s="25">
        <f>AA411/((1+'How much will I make'!$C$5/12)^(Calculations!$B$1*12-Calculations!$A411))</f>
        <v>15060.880187602625</v>
      </c>
      <c r="AD411" s="25">
        <f t="shared" si="69"/>
        <v>3143850120.7208366</v>
      </c>
      <c r="AE411" s="25">
        <f t="shared" si="54"/>
        <v>27401.158762709903</v>
      </c>
      <c r="AF411" s="25">
        <f t="shared" si="70"/>
        <v>114564088676.98035</v>
      </c>
      <c r="AG411" s="25">
        <f>AE411/((1+'How much will I make'!$C$5/12)^(Calculations!$B$1*12-Calculations!$A411))</f>
        <v>20227.651657409708</v>
      </c>
      <c r="AH411" s="25">
        <f t="shared" si="71"/>
        <v>18238059757.658649</v>
      </c>
    </row>
    <row r="412" spans="1:34" ht="15.75" customHeight="1">
      <c r="A412" s="22">
        <f t="shared" si="55"/>
        <v>408</v>
      </c>
      <c r="B412" s="22">
        <f t="shared" si="83"/>
        <v>2501.5942710168952</v>
      </c>
      <c r="C412" s="25">
        <f t="shared" si="47"/>
        <v>3374.6950602876577</v>
      </c>
      <c r="D412" s="25">
        <f t="shared" si="56"/>
        <v>1434901.3402404182</v>
      </c>
      <c r="E412" s="25">
        <f>$C412/((1+'How much will I make'!$C$5/12)^(Calculations!$B$1*12-Calculations!$A412))</f>
        <v>2501.5942710168952</v>
      </c>
      <c r="F412" s="25">
        <f t="shared" si="57"/>
        <v>510401.75629625772</v>
      </c>
      <c r="G412" s="25">
        <f t="shared" si="48"/>
        <v>4546.8834384509983</v>
      </c>
      <c r="H412" s="25">
        <f t="shared" si="58"/>
        <v>5070064.6247839229</v>
      </c>
      <c r="I412" s="25">
        <f>G412/((1+'How much will I make'!$C$5/12)^(Calculations!$B$1*12-Calculations!$A412))</f>
        <v>3370.5141819957698</v>
      </c>
      <c r="J412" s="25">
        <f t="shared" si="59"/>
        <v>1428081.4328042953</v>
      </c>
      <c r="K412" s="25">
        <f t="shared" si="49"/>
        <v>6118.7001301313348</v>
      </c>
      <c r="L412" s="25">
        <f t="shared" si="60"/>
        <v>21821164.17460005</v>
      </c>
      <c r="M412" s="25">
        <f>K412/((1+'How much will I make'!$C$5/12)^(Calculations!$B$1*12-Calculations!$A412))</f>
        <v>4535.6706067250288</v>
      </c>
      <c r="N412" s="25">
        <f t="shared" si="61"/>
        <v>5012782.2365408028</v>
      </c>
      <c r="O412" s="25">
        <f t="shared" si="50"/>
        <v>8223.8459561004656</v>
      </c>
      <c r="P412" s="25">
        <f t="shared" si="62"/>
        <v>107764171.17357796</v>
      </c>
      <c r="Q412" s="25">
        <f>O412/((1+'How much will I make'!$C$5/12)^(Calculations!$B$1*12-Calculations!$A412))</f>
        <v>6096.1733021746786</v>
      </c>
      <c r="R412" s="25">
        <f t="shared" si="63"/>
        <v>21407486.996469315</v>
      </c>
      <c r="S412" s="25">
        <f t="shared" si="51"/>
        <v>11039.910297928158</v>
      </c>
      <c r="T412" s="25">
        <f t="shared" si="64"/>
        <v>579713053.75787067</v>
      </c>
      <c r="U412" s="25">
        <f>S412/((1+'How much will I make'!$C$5/12)^(Calculations!$B$1*12-Calculations!$A412))</f>
        <v>8183.6657417821361</v>
      </c>
      <c r="V412" s="25">
        <f t="shared" si="65"/>
        <v>104859537.97734737</v>
      </c>
      <c r="W412" s="25">
        <f t="shared" si="52"/>
        <v>14802.50382073686</v>
      </c>
      <c r="X412" s="25">
        <f t="shared" si="66"/>
        <v>3284052153.9275484</v>
      </c>
      <c r="Y412" s="25">
        <f>W412/((1+'How much will I make'!$C$5/12)^(Calculations!$B$1*12-Calculations!$A412))</f>
        <v>10972.80142150225</v>
      </c>
      <c r="Z412" s="25">
        <f t="shared" si="67"/>
        <v>559481713.34254277</v>
      </c>
      <c r="AA412" s="25">
        <f t="shared" si="53"/>
        <v>19823.854665545314</v>
      </c>
      <c r="AB412" s="25">
        <f t="shared" si="68"/>
        <v>19204276131.344234</v>
      </c>
      <c r="AC412" s="25">
        <f>AA412/((1+'How much will I make'!$C$5/12)^(Calculations!$B$1*12-Calculations!$A412))</f>
        <v>14695.028847013089</v>
      </c>
      <c r="AD412" s="25">
        <f t="shared" si="69"/>
        <v>3143864815.7496839</v>
      </c>
      <c r="AE412" s="25">
        <f t="shared" si="54"/>
        <v>26517.250415525712</v>
      </c>
      <c r="AF412" s="25">
        <f t="shared" si="70"/>
        <v>114564115194.23076</v>
      </c>
      <c r="AG412" s="25">
        <f>AE412/((1+'How much will I make'!$C$5/12)^(Calculations!$B$1*12-Calculations!$A412))</f>
        <v>19656.709876757013</v>
      </c>
      <c r="AH412" s="25">
        <f t="shared" si="71"/>
        <v>18238079414.368526</v>
      </c>
    </row>
    <row r="413" spans="1:34" ht="15.75" customHeight="1">
      <c r="A413" s="22">
        <f t="shared" si="55"/>
        <v>409</v>
      </c>
      <c r="B413" s="22">
        <f>B412*(1+'How much will I make'!$C$4)</f>
        <v>2626.6739845677398</v>
      </c>
      <c r="C413" s="25">
        <f t="shared" si="47"/>
        <v>3528.7267850310777</v>
      </c>
      <c r="D413" s="25">
        <f t="shared" si="56"/>
        <v>1438430.0670254494</v>
      </c>
      <c r="E413" s="25">
        <f>$C413/((1+'How much will I make'!$C$5/12)^(Calculations!$B$1*12-Calculations!$A413))</f>
        <v>2626.6739845677398</v>
      </c>
      <c r="F413" s="25">
        <f t="shared" si="57"/>
        <v>513028.43028082547</v>
      </c>
      <c r="G413" s="25">
        <f t="shared" si="48"/>
        <v>4734.7711838415344</v>
      </c>
      <c r="H413" s="25">
        <f t="shared" si="58"/>
        <v>5074799.3959677648</v>
      </c>
      <c r="I413" s="25">
        <f>G413/((1+'How much will I make'!$C$5/12)^(Calculations!$B$1*12-Calculations!$A413))</f>
        <v>3524.4157593141704</v>
      </c>
      <c r="J413" s="25">
        <f t="shared" si="59"/>
        <v>1431605.8485636094</v>
      </c>
      <c r="K413" s="25">
        <f t="shared" si="49"/>
        <v>6345.3186534695315</v>
      </c>
      <c r="L413" s="25">
        <f t="shared" si="60"/>
        <v>21827509.493253518</v>
      </c>
      <c r="M413" s="25">
        <f>K413/((1+'How much will I make'!$C$5/12)^(Calculations!$B$1*12-Calculations!$A413))</f>
        <v>4723.2569836698285</v>
      </c>
      <c r="N413" s="25">
        <f t="shared" si="61"/>
        <v>5017505.4935244722</v>
      </c>
      <c r="O413" s="25">
        <f t="shared" si="50"/>
        <v>8493.4802497431047</v>
      </c>
      <c r="P413" s="25">
        <f t="shared" si="62"/>
        <v>107772664.65382771</v>
      </c>
      <c r="Q413" s="25">
        <f>O413/((1+'How much will I make'!$C$5/12)^(Calculations!$B$1*12-Calculations!$A413))</f>
        <v>6322.28136932501</v>
      </c>
      <c r="R413" s="25">
        <f t="shared" si="63"/>
        <v>21413809.27783864</v>
      </c>
      <c r="S413" s="25">
        <f t="shared" si="51"/>
        <v>11355.336306440393</v>
      </c>
      <c r="T413" s="25">
        <f t="shared" si="64"/>
        <v>579724409.09417713</v>
      </c>
      <c r="U413" s="25">
        <f>S413/((1+'How much will I make'!$C$5/12)^(Calculations!$B$1*12-Calculations!$A413))</f>
        <v>8452.5576161549779</v>
      </c>
      <c r="V413" s="25">
        <f t="shared" si="65"/>
        <v>104867990.53496353</v>
      </c>
      <c r="W413" s="25">
        <f t="shared" si="52"/>
        <v>15163.540499291419</v>
      </c>
      <c r="X413" s="25">
        <f t="shared" si="66"/>
        <v>3284067317.4680476</v>
      </c>
      <c r="Y413" s="25">
        <f>W413/((1+'How much will I make'!$C$5/12)^(Calculations!$B$1*12-Calculations!$A413))</f>
        <v>11287.265852484326</v>
      </c>
      <c r="Z413" s="25">
        <f t="shared" si="67"/>
        <v>559493000.60839522</v>
      </c>
      <c r="AA413" s="25">
        <f t="shared" si="53"/>
        <v>20225.147270111014</v>
      </c>
      <c r="AB413" s="25">
        <f t="shared" si="68"/>
        <v>19204296356.491505</v>
      </c>
      <c r="AC413" s="25">
        <f>AA413/((1+'How much will I make'!$C$5/12)^(Calculations!$B$1*12-Calculations!$A413))</f>
        <v>15054.96781269904</v>
      </c>
      <c r="AD413" s="25">
        <f t="shared" si="69"/>
        <v>3143879870.7174964</v>
      </c>
      <c r="AE413" s="25">
        <f t="shared" si="54"/>
        <v>26944.948002872898</v>
      </c>
      <c r="AF413" s="25">
        <f t="shared" si="70"/>
        <v>114564142139.17876</v>
      </c>
      <c r="AG413" s="25">
        <f>AE413/((1+'How much will I make'!$C$5/12)^(Calculations!$B$1*12-Calculations!$A413))</f>
        <v>20056.977557715167</v>
      </c>
      <c r="AH413" s="25">
        <f t="shared" si="71"/>
        <v>18238099471.346085</v>
      </c>
    </row>
    <row r="414" spans="1:34" ht="15.75" customHeight="1">
      <c r="A414" s="22">
        <f t="shared" si="55"/>
        <v>410</v>
      </c>
      <c r="B414" s="22">
        <f t="shared" ref="B414:B424" si="84">B413</f>
        <v>2626.6739845677398</v>
      </c>
      <c r="C414" s="25">
        <f t="shared" si="47"/>
        <v>3514.0847651761765</v>
      </c>
      <c r="D414" s="25">
        <f t="shared" si="56"/>
        <v>1441944.1517906256</v>
      </c>
      <c r="E414" s="25">
        <f>$C414/((1+'How much will I make'!$C$5/12)^(Calculations!$B$1*12-Calculations!$A414))</f>
        <v>2626.6739845677398</v>
      </c>
      <c r="F414" s="25">
        <f t="shared" si="57"/>
        <v>515655.10426539322</v>
      </c>
      <c r="G414" s="25">
        <f t="shared" si="48"/>
        <v>4695.6408434792083</v>
      </c>
      <c r="H414" s="25">
        <f t="shared" si="58"/>
        <v>5079495.0368112437</v>
      </c>
      <c r="I414" s="25">
        <f>G414/((1+'How much will I make'!$C$5/12)^(Calculations!$B$1*12-Calculations!$A414))</f>
        <v>3509.8520578294024</v>
      </c>
      <c r="J414" s="25">
        <f t="shared" si="59"/>
        <v>1435115.7006214389</v>
      </c>
      <c r="K414" s="25">
        <f t="shared" si="49"/>
        <v>6266.9813861427483</v>
      </c>
      <c r="L414" s="25">
        <f t="shared" si="60"/>
        <v>21833776.474639662</v>
      </c>
      <c r="M414" s="25">
        <f>K414/((1+'How much will I make'!$C$5/12)^(Calculations!$B$1*12-Calculations!$A414))</f>
        <v>4684.3824405943578</v>
      </c>
      <c r="N414" s="25">
        <f t="shared" si="61"/>
        <v>5022189.8759650663</v>
      </c>
      <c r="O414" s="25">
        <f t="shared" si="50"/>
        <v>8354.2428685997747</v>
      </c>
      <c r="P414" s="25">
        <f t="shared" si="62"/>
        <v>107781018.89669631</v>
      </c>
      <c r="Q414" s="25">
        <f>O414/((1+'How much will I make'!$C$5/12)^(Calculations!$B$1*12-Calculations!$A414))</f>
        <v>6244.5484016693754</v>
      </c>
      <c r="R414" s="25">
        <f t="shared" si="63"/>
        <v>21420053.826240309</v>
      </c>
      <c r="S414" s="25">
        <f t="shared" si="51"/>
        <v>11123.594749166101</v>
      </c>
      <c r="T414" s="25">
        <f t="shared" si="64"/>
        <v>579735532.68892634</v>
      </c>
      <c r="U414" s="25">
        <f>S414/((1+'How much will I make'!$C$5/12)^(Calculations!$B$1*12-Calculations!$A414))</f>
        <v>8314.5566754830634</v>
      </c>
      <c r="V414" s="25">
        <f t="shared" si="65"/>
        <v>104876305.09163901</v>
      </c>
      <c r="W414" s="25">
        <f t="shared" si="52"/>
        <v>14793.698048089187</v>
      </c>
      <c r="X414" s="25">
        <f t="shared" si="66"/>
        <v>3284082111.1660957</v>
      </c>
      <c r="Y414" s="25">
        <f>W414/((1+'How much will I make'!$C$5/12)^(Calculations!$B$1*12-Calculations!$A414))</f>
        <v>11057.849879872856</v>
      </c>
      <c r="Z414" s="25">
        <f t="shared" si="67"/>
        <v>559504058.45827508</v>
      </c>
      <c r="AA414" s="25">
        <f t="shared" si="53"/>
        <v>19651.964958812321</v>
      </c>
      <c r="AB414" s="25">
        <f t="shared" si="68"/>
        <v>19204316008.456463</v>
      </c>
      <c r="AC414" s="25">
        <f>AA414/((1+'How much will I make'!$C$5/12)^(Calculations!$B$1*12-Calculations!$A414))</f>
        <v>14689.260092552508</v>
      </c>
      <c r="AD414" s="25">
        <f t="shared" si="69"/>
        <v>3143894559.9775891</v>
      </c>
      <c r="AE414" s="25">
        <f t="shared" si="54"/>
        <v>26075.756131812475</v>
      </c>
      <c r="AF414" s="25">
        <f t="shared" si="70"/>
        <v>114564168214.93489</v>
      </c>
      <c r="AG414" s="25">
        <f>AE414/((1+'How much will I make'!$C$5/12)^(Calculations!$B$1*12-Calculations!$A414))</f>
        <v>19490.853191166752</v>
      </c>
      <c r="AH414" s="25">
        <f t="shared" si="71"/>
        <v>18238118962.199276</v>
      </c>
    </row>
    <row r="415" spans="1:34" ht="15.75" customHeight="1">
      <c r="A415" s="22">
        <f t="shared" si="55"/>
        <v>411</v>
      </c>
      <c r="B415" s="22">
        <f t="shared" si="84"/>
        <v>2626.6739845677398</v>
      </c>
      <c r="C415" s="25">
        <f t="shared" si="47"/>
        <v>3499.5035005903828</v>
      </c>
      <c r="D415" s="25">
        <f t="shared" si="56"/>
        <v>1445443.655291216</v>
      </c>
      <c r="E415" s="25">
        <f>$C415/((1+'How much will I make'!$C$5/12)^(Calculations!$B$1*12-Calculations!$A415))</f>
        <v>2626.6739845677398</v>
      </c>
      <c r="F415" s="25">
        <f t="shared" si="57"/>
        <v>518281.77824996097</v>
      </c>
      <c r="G415" s="25">
        <f t="shared" si="48"/>
        <v>4656.8338943595454</v>
      </c>
      <c r="H415" s="25">
        <f t="shared" si="58"/>
        <v>5084151.8707056036</v>
      </c>
      <c r="I415" s="25">
        <f>G415/((1+'How much will I make'!$C$5/12)^(Calculations!$B$1*12-Calculations!$A415))</f>
        <v>3495.3485369292807</v>
      </c>
      <c r="J415" s="25">
        <f t="shared" si="59"/>
        <v>1438611.0491583683</v>
      </c>
      <c r="K415" s="25">
        <f t="shared" si="49"/>
        <v>6189.6112455730836</v>
      </c>
      <c r="L415" s="25">
        <f t="shared" si="60"/>
        <v>21839966.085885234</v>
      </c>
      <c r="M415" s="25">
        <f>K415/((1+'How much will I make'!$C$5/12)^(Calculations!$B$1*12-Calculations!$A415))</f>
        <v>4645.8278526059266</v>
      </c>
      <c r="N415" s="25">
        <f t="shared" si="61"/>
        <v>5026835.7038176721</v>
      </c>
      <c r="O415" s="25">
        <f t="shared" si="50"/>
        <v>8217.2880674751905</v>
      </c>
      <c r="P415" s="25">
        <f t="shared" si="62"/>
        <v>107789236.18476379</v>
      </c>
      <c r="Q415" s="25">
        <f>O415/((1+'How much will I make'!$C$5/12)^(Calculations!$B$1*12-Calculations!$A415))</f>
        <v>6167.7711672226224</v>
      </c>
      <c r="R415" s="25">
        <f t="shared" si="63"/>
        <v>21426221.597407531</v>
      </c>
      <c r="S415" s="25">
        <f t="shared" si="51"/>
        <v>10896.582611428019</v>
      </c>
      <c r="T415" s="25">
        <f t="shared" si="64"/>
        <v>579746429.27153778</v>
      </c>
      <c r="U415" s="25">
        <f>S415/((1+'How much will I make'!$C$5/12)^(Calculations!$B$1*12-Calculations!$A415))</f>
        <v>8178.8088113935455</v>
      </c>
      <c r="V415" s="25">
        <f t="shared" si="65"/>
        <v>104884483.90045041</v>
      </c>
      <c r="W415" s="25">
        <f t="shared" si="52"/>
        <v>14432.876144477257</v>
      </c>
      <c r="X415" s="25">
        <f t="shared" si="66"/>
        <v>3284096544.0422401</v>
      </c>
      <c r="Y415" s="25">
        <f>W415/((1+'How much will I make'!$C$5/12)^(Calculations!$B$1*12-Calculations!$A415))</f>
        <v>10833.09683353398</v>
      </c>
      <c r="Z415" s="25">
        <f t="shared" si="67"/>
        <v>559514891.55510867</v>
      </c>
      <c r="AA415" s="25">
        <f t="shared" si="53"/>
        <v>19095.026680627358</v>
      </c>
      <c r="AB415" s="25">
        <f t="shared" si="68"/>
        <v>19204335103.483143</v>
      </c>
      <c r="AC415" s="25">
        <f>AA415/((1+'How much will I make'!$C$5/12)^(Calculations!$B$1*12-Calculations!$A415))</f>
        <v>14332.435960749614</v>
      </c>
      <c r="AD415" s="25">
        <f t="shared" si="69"/>
        <v>3143908892.4135499</v>
      </c>
      <c r="AE415" s="25">
        <f t="shared" si="54"/>
        <v>25234.602708205621</v>
      </c>
      <c r="AF415" s="25">
        <f t="shared" si="70"/>
        <v>114564193449.5376</v>
      </c>
      <c r="AG415" s="25">
        <f>AE415/((1+'How much will I make'!$C$5/12)^(Calculations!$B$1*12-Calculations!$A415))</f>
        <v>18940.708141416078</v>
      </c>
      <c r="AH415" s="25">
        <f t="shared" si="71"/>
        <v>18238137902.907417</v>
      </c>
    </row>
    <row r="416" spans="1:34" ht="15.75" customHeight="1">
      <c r="A416" s="22">
        <f t="shared" si="55"/>
        <v>412</v>
      </c>
      <c r="B416" s="22">
        <f t="shared" si="84"/>
        <v>2626.6739845677398</v>
      </c>
      <c r="C416" s="25">
        <f t="shared" si="47"/>
        <v>3484.9827391771455</v>
      </c>
      <c r="D416" s="25">
        <f t="shared" si="56"/>
        <v>1448928.638030393</v>
      </c>
      <c r="E416" s="25">
        <f>$C416/((1+'How much will I make'!$C$5/12)^(Calculations!$B$1*12-Calculations!$A416))</f>
        <v>2626.6739845677398</v>
      </c>
      <c r="F416" s="25">
        <f t="shared" si="57"/>
        <v>520908.45223452873</v>
      </c>
      <c r="G416" s="25">
        <f t="shared" si="48"/>
        <v>4618.3476638276488</v>
      </c>
      <c r="H416" s="25">
        <f t="shared" si="58"/>
        <v>5088770.2183694309</v>
      </c>
      <c r="I416" s="25">
        <f>G416/((1+'How much will I make'!$C$5/12)^(Calculations!$B$1*12-Calculations!$A416))</f>
        <v>3480.9049479337054</v>
      </c>
      <c r="J416" s="25">
        <f t="shared" si="59"/>
        <v>1442091.954106302</v>
      </c>
      <c r="K416" s="25">
        <f t="shared" si="49"/>
        <v>6113.1962919240341</v>
      </c>
      <c r="L416" s="25">
        <f t="shared" si="60"/>
        <v>21846079.282177158</v>
      </c>
      <c r="M416" s="25">
        <f>K416/((1+'How much will I make'!$C$5/12)^(Calculations!$B$1*12-Calculations!$A416))</f>
        <v>4607.5905863293347</v>
      </c>
      <c r="N416" s="25">
        <f t="shared" si="61"/>
        <v>5031443.294404001</v>
      </c>
      <c r="O416" s="25">
        <f t="shared" si="50"/>
        <v>8082.5784270247768</v>
      </c>
      <c r="P416" s="25">
        <f t="shared" si="62"/>
        <v>107797318.76319082</v>
      </c>
      <c r="Q416" s="25">
        <f>O416/((1+'How much will I make'!$C$5/12)^(Calculations!$B$1*12-Calculations!$A416))</f>
        <v>6091.9379151666053</v>
      </c>
      <c r="R416" s="25">
        <f t="shared" si="63"/>
        <v>21432313.535322696</v>
      </c>
      <c r="S416" s="25">
        <f t="shared" si="51"/>
        <v>10674.203374460099</v>
      </c>
      <c r="T416" s="25">
        <f t="shared" si="64"/>
        <v>579757103.47491229</v>
      </c>
      <c r="U416" s="25">
        <f>S416/((1+'How much will I make'!$C$5/12)^(Calculations!$B$1*12-Calculations!$A416))</f>
        <v>8045.2772389626289</v>
      </c>
      <c r="V416" s="25">
        <f t="shared" si="65"/>
        <v>104892529.17768937</v>
      </c>
      <c r="W416" s="25">
        <f t="shared" si="52"/>
        <v>14080.854775099766</v>
      </c>
      <c r="X416" s="25">
        <f t="shared" si="66"/>
        <v>3284110624.8970151</v>
      </c>
      <c r="Y416" s="25">
        <f>W416/((1+'How much will I make'!$C$5/12)^(Calculations!$B$1*12-Calculations!$A416))</f>
        <v>10612.911938543451</v>
      </c>
      <c r="Z416" s="25">
        <f t="shared" si="67"/>
        <v>559525504.46704721</v>
      </c>
      <c r="AA416" s="25">
        <f t="shared" si="53"/>
        <v>18553.872078342374</v>
      </c>
      <c r="AB416" s="25">
        <f t="shared" si="68"/>
        <v>19204353657.355221</v>
      </c>
      <c r="AC416" s="25">
        <f>AA416/((1+'How much will I make'!$C$5/12)^(Calculations!$B$1*12-Calculations!$A416))</f>
        <v>13984.279621622092</v>
      </c>
      <c r="AD416" s="25">
        <f t="shared" si="69"/>
        <v>3143922876.6931715</v>
      </c>
      <c r="AE416" s="25">
        <f t="shared" si="54"/>
        <v>24420.58326600544</v>
      </c>
      <c r="AF416" s="25">
        <f t="shared" si="70"/>
        <v>114564217870.12086</v>
      </c>
      <c r="AG416" s="25">
        <f>AE416/((1+'How much will I make'!$C$5/12)^(Calculations!$B$1*12-Calculations!$A416))</f>
        <v>18406.091379359979</v>
      </c>
      <c r="AH416" s="25">
        <f t="shared" si="71"/>
        <v>18238156308.998798</v>
      </c>
    </row>
    <row r="417" spans="1:34" ht="15.75" customHeight="1">
      <c r="A417" s="22">
        <f t="shared" si="55"/>
        <v>413</v>
      </c>
      <c r="B417" s="22">
        <f t="shared" si="84"/>
        <v>2626.6739845677398</v>
      </c>
      <c r="C417" s="25">
        <f t="shared" si="47"/>
        <v>3470.5222298859539</v>
      </c>
      <c r="D417" s="25">
        <f t="shared" si="56"/>
        <v>1452399.160260279</v>
      </c>
      <c r="E417" s="25">
        <f>$C417/((1+'How much will I make'!$C$5/12)^(Calculations!$B$1*12-Calculations!$A417))</f>
        <v>2626.6739845677398</v>
      </c>
      <c r="F417" s="25">
        <f t="shared" si="57"/>
        <v>523535.12621909648</v>
      </c>
      <c r="G417" s="25">
        <f t="shared" si="48"/>
        <v>4580.1795013166766</v>
      </c>
      <c r="H417" s="25">
        <f t="shared" si="58"/>
        <v>5093350.3978707474</v>
      </c>
      <c r="I417" s="25">
        <f>G417/((1+'How much will I make'!$C$5/12)^(Calculations!$B$1*12-Calculations!$A417))</f>
        <v>3466.5210431901778</v>
      </c>
      <c r="J417" s="25">
        <f t="shared" si="59"/>
        <v>1445558.4751494923</v>
      </c>
      <c r="K417" s="25">
        <f t="shared" si="49"/>
        <v>6037.7247327644773</v>
      </c>
      <c r="L417" s="25">
        <f t="shared" si="60"/>
        <v>21852117.006909922</v>
      </c>
      <c r="M417" s="25">
        <f>K417/((1+'How much will I make'!$C$5/12)^(Calculations!$B$1*12-Calculations!$A417))</f>
        <v>4569.6680300632488</v>
      </c>
      <c r="N417" s="25">
        <f t="shared" si="61"/>
        <v>5036012.9624340646</v>
      </c>
      <c r="O417" s="25">
        <f t="shared" si="50"/>
        <v>7950.0771413358452</v>
      </c>
      <c r="P417" s="25">
        <f t="shared" si="62"/>
        <v>107805268.84033215</v>
      </c>
      <c r="Q417" s="25">
        <f>O417/((1+'How much will I make'!$C$5/12)^(Calculations!$B$1*12-Calculations!$A417))</f>
        <v>6017.0370391604583</v>
      </c>
      <c r="R417" s="25">
        <f t="shared" si="63"/>
        <v>21438330.572361857</v>
      </c>
      <c r="S417" s="25">
        <f t="shared" si="51"/>
        <v>10456.362489267038</v>
      </c>
      <c r="T417" s="25">
        <f t="shared" si="64"/>
        <v>579767559.83740151</v>
      </c>
      <c r="U417" s="25">
        <f>S417/((1+'How much will I make'!$C$5/12)^(Calculations!$B$1*12-Calculations!$A417))</f>
        <v>7913.9257738367096</v>
      </c>
      <c r="V417" s="25">
        <f t="shared" si="65"/>
        <v>104900443.10346322</v>
      </c>
      <c r="W417" s="25">
        <f t="shared" si="52"/>
        <v>13737.41929278026</v>
      </c>
      <c r="X417" s="25">
        <f t="shared" si="66"/>
        <v>3284124362.316308</v>
      </c>
      <c r="Y417" s="25">
        <f>W417/((1+'How much will I make'!$C$5/12)^(Calculations!$B$1*12-Calculations!$A417))</f>
        <v>10397.202346296634</v>
      </c>
      <c r="Z417" s="25">
        <f t="shared" si="67"/>
        <v>559535901.66939354</v>
      </c>
      <c r="AA417" s="25">
        <f t="shared" si="53"/>
        <v>18028.053841304332</v>
      </c>
      <c r="AB417" s="25">
        <f t="shared" si="68"/>
        <v>19204371685.409061</v>
      </c>
      <c r="AC417" s="25">
        <f>AA417/((1+'How much will I make'!$C$5/12)^(Calculations!$B$1*12-Calculations!$A417))</f>
        <v>13644.580521501719</v>
      </c>
      <c r="AD417" s="25">
        <f t="shared" si="69"/>
        <v>3143936521.2736931</v>
      </c>
      <c r="AE417" s="25">
        <f t="shared" si="54"/>
        <v>23632.822515489126</v>
      </c>
      <c r="AF417" s="25">
        <f t="shared" si="70"/>
        <v>114564241502.94337</v>
      </c>
      <c r="AG417" s="25">
        <f>AE417/((1+'How much will I make'!$C$5/12)^(Calculations!$B$1*12-Calculations!$A417))</f>
        <v>17886.564606555454</v>
      </c>
      <c r="AH417" s="25">
        <f t="shared" si="71"/>
        <v>18238174195.563404</v>
      </c>
    </row>
    <row r="418" spans="1:34" ht="15.75" customHeight="1">
      <c r="A418" s="22">
        <f t="shared" si="55"/>
        <v>414</v>
      </c>
      <c r="B418" s="22">
        <f t="shared" si="84"/>
        <v>2626.6739845677398</v>
      </c>
      <c r="C418" s="25">
        <f t="shared" si="47"/>
        <v>3456.1217227080037</v>
      </c>
      <c r="D418" s="25">
        <f t="shared" si="56"/>
        <v>1455855.281982987</v>
      </c>
      <c r="E418" s="25">
        <f>$C418/((1+'How much will I make'!$C$5/12)^(Calculations!$B$1*12-Calculations!$A418))</f>
        <v>2626.6739845677398</v>
      </c>
      <c r="F418" s="25">
        <f t="shared" si="57"/>
        <v>526161.80020366423</v>
      </c>
      <c r="G418" s="25">
        <f t="shared" si="48"/>
        <v>4542.3267781652994</v>
      </c>
      <c r="H418" s="25">
        <f t="shared" si="58"/>
        <v>5097892.7246489124</v>
      </c>
      <c r="I418" s="25">
        <f>G418/((1+'How much will I make'!$C$5/12)^(Calculations!$B$1*12-Calculations!$A418))</f>
        <v>3452.1965760695575</v>
      </c>
      <c r="J418" s="25">
        <f t="shared" si="59"/>
        <v>1449010.6717255618</v>
      </c>
      <c r="K418" s="25">
        <f t="shared" si="49"/>
        <v>5963.1849212488678</v>
      </c>
      <c r="L418" s="25">
        <f t="shared" si="60"/>
        <v>21858080.191831172</v>
      </c>
      <c r="M418" s="25">
        <f>K418/((1+'How much will I make'!$C$5/12)^(Calculations!$B$1*12-Calculations!$A418))</f>
        <v>4532.0575936018249</v>
      </c>
      <c r="N418" s="25">
        <f t="shared" si="61"/>
        <v>5040545.0200276664</v>
      </c>
      <c r="O418" s="25">
        <f t="shared" si="50"/>
        <v>7819.7480078713243</v>
      </c>
      <c r="P418" s="25">
        <f t="shared" si="62"/>
        <v>107813088.58834003</v>
      </c>
      <c r="Q418" s="25">
        <f>O418/((1+'How much will I make'!$C$5/12)^(Calculations!$B$1*12-Calculations!$A418))</f>
        <v>5943.0570755642239</v>
      </c>
      <c r="R418" s="25">
        <f t="shared" si="63"/>
        <v>21444273.629437421</v>
      </c>
      <c r="S418" s="25">
        <f t="shared" si="51"/>
        <v>10242.967336424854</v>
      </c>
      <c r="T418" s="25">
        <f t="shared" si="64"/>
        <v>579777802.80473793</v>
      </c>
      <c r="U418" s="25">
        <f>S418/((1+'How much will I make'!$C$5/12)^(Calculations!$B$1*12-Calculations!$A418))</f>
        <v>7784.7188224271313</v>
      </c>
      <c r="V418" s="25">
        <f t="shared" si="65"/>
        <v>104908227.82228565</v>
      </c>
      <c r="W418" s="25">
        <f t="shared" si="52"/>
        <v>13402.360285639277</v>
      </c>
      <c r="X418" s="25">
        <f t="shared" si="66"/>
        <v>3284137764.6765938</v>
      </c>
      <c r="Y418" s="25">
        <f>W418/((1+'How much will I make'!$C$5/12)^(Calculations!$B$1*12-Calculations!$A418))</f>
        <v>10185.877095355647</v>
      </c>
      <c r="Z418" s="25">
        <f t="shared" si="67"/>
        <v>559546087.54648888</v>
      </c>
      <c r="AA418" s="25">
        <f t="shared" si="53"/>
        <v>17517.137335680327</v>
      </c>
      <c r="AB418" s="25">
        <f t="shared" si="68"/>
        <v>19204389202.546398</v>
      </c>
      <c r="AC418" s="25">
        <f>AA418/((1+'How much will I make'!$C$5/12)^(Calculations!$B$1*12-Calculations!$A418))</f>
        <v>13313.133221384272</v>
      </c>
      <c r="AD418" s="25">
        <f t="shared" si="69"/>
        <v>3143949834.4069142</v>
      </c>
      <c r="AE418" s="25">
        <f t="shared" si="54"/>
        <v>22870.473402086252</v>
      </c>
      <c r="AF418" s="25">
        <f t="shared" si="70"/>
        <v>114564264373.41678</v>
      </c>
      <c r="AG418" s="25">
        <f>AE418/((1+'How much will I make'!$C$5/12)^(Calculations!$B$1*12-Calculations!$A418))</f>
        <v>17381.701895886556</v>
      </c>
      <c r="AH418" s="25">
        <f t="shared" si="71"/>
        <v>18238191577.265301</v>
      </c>
    </row>
    <row r="419" spans="1:34" ht="15.75" customHeight="1">
      <c r="A419" s="22">
        <f t="shared" si="55"/>
        <v>415</v>
      </c>
      <c r="B419" s="22">
        <f t="shared" si="84"/>
        <v>2626.6739845677398</v>
      </c>
      <c r="C419" s="25">
        <f t="shared" si="47"/>
        <v>3441.7809686718706</v>
      </c>
      <c r="D419" s="25">
        <f t="shared" si="56"/>
        <v>1459297.0629516589</v>
      </c>
      <c r="E419" s="25">
        <f>$C419/((1+'How much will I make'!$C$5/12)^(Calculations!$B$1*12-Calculations!$A419))</f>
        <v>2626.6739845677398</v>
      </c>
      <c r="F419" s="25">
        <f t="shared" si="57"/>
        <v>528788.47418823198</v>
      </c>
      <c r="G419" s="25">
        <f t="shared" si="48"/>
        <v>4504.7868874366613</v>
      </c>
      <c r="H419" s="25">
        <f t="shared" si="58"/>
        <v>5102397.5115363495</v>
      </c>
      <c r="I419" s="25">
        <f>G419/((1+'How much will I make'!$C$5/12)^(Calculations!$B$1*12-Calculations!$A419))</f>
        <v>3437.9313009618327</v>
      </c>
      <c r="J419" s="25">
        <f t="shared" si="59"/>
        <v>1452448.6030265237</v>
      </c>
      <c r="K419" s="25">
        <f t="shared" si="49"/>
        <v>5889.5653543198696</v>
      </c>
      <c r="L419" s="25">
        <f t="shared" si="60"/>
        <v>21863969.757185493</v>
      </c>
      <c r="M419" s="25">
        <f>K419/((1+'How much will I make'!$C$5/12)^(Calculations!$B$1*12-Calculations!$A419))</f>
        <v>4494.7567080577765</v>
      </c>
      <c r="N419" s="25">
        <f t="shared" si="61"/>
        <v>5045039.7767357239</v>
      </c>
      <c r="O419" s="25">
        <f t="shared" si="50"/>
        <v>7691.5554175783509</v>
      </c>
      <c r="P419" s="25">
        <f t="shared" si="62"/>
        <v>107820780.14375761</v>
      </c>
      <c r="Q419" s="25">
        <f>O419/((1+'How much will I make'!$C$5/12)^(Calculations!$B$1*12-Calculations!$A419))</f>
        <v>5869.9867016843355</v>
      </c>
      <c r="R419" s="25">
        <f t="shared" si="63"/>
        <v>21450143.616139106</v>
      </c>
      <c r="S419" s="25">
        <f t="shared" si="51"/>
        <v>10033.9271867019</v>
      </c>
      <c r="T419" s="25">
        <f t="shared" si="64"/>
        <v>579787836.73192465</v>
      </c>
      <c r="U419" s="25">
        <f>S419/((1+'How much will I make'!$C$5/12)^(Calculations!$B$1*12-Calculations!$A419))</f>
        <v>7657.6213722650573</v>
      </c>
      <c r="V419" s="25">
        <f t="shared" si="65"/>
        <v>104915885.44365792</v>
      </c>
      <c r="W419" s="25">
        <f t="shared" si="52"/>
        <v>13075.473449404173</v>
      </c>
      <c r="X419" s="25">
        <f t="shared" si="66"/>
        <v>3284150840.150043</v>
      </c>
      <c r="Y419" s="25">
        <f>W419/((1+'How much will I make'!$C$5/12)^(Calculations!$B$1*12-Calculations!$A419))</f>
        <v>9978.84707309232</v>
      </c>
      <c r="Z419" s="25">
        <f t="shared" si="67"/>
        <v>559556066.39356196</v>
      </c>
      <c r="AA419" s="25">
        <f t="shared" si="53"/>
        <v>17020.700245195458</v>
      </c>
      <c r="AB419" s="25">
        <f t="shared" si="68"/>
        <v>19204406223.246643</v>
      </c>
      <c r="AC419" s="25">
        <f>AA419/((1+'How much will I make'!$C$5/12)^(Calculations!$B$1*12-Calculations!$A419))</f>
        <v>12989.737272686678</v>
      </c>
      <c r="AD419" s="25">
        <f t="shared" si="69"/>
        <v>3143962824.144187</v>
      </c>
      <c r="AE419" s="25">
        <f t="shared" si="54"/>
        <v>22132.71619556734</v>
      </c>
      <c r="AF419" s="25">
        <f t="shared" si="70"/>
        <v>114564286506.13298</v>
      </c>
      <c r="AG419" s="25">
        <f>AE419/((1+'How much will I make'!$C$5/12)^(Calculations!$B$1*12-Calculations!$A419))</f>
        <v>16891.089342373627</v>
      </c>
      <c r="AH419" s="25">
        <f t="shared" si="71"/>
        <v>18238208468.354645</v>
      </c>
    </row>
    <row r="420" spans="1:34" ht="15.75" customHeight="1">
      <c r="A420" s="22">
        <f t="shared" si="55"/>
        <v>416</v>
      </c>
      <c r="B420" s="22">
        <f t="shared" si="84"/>
        <v>2626.6739845677398</v>
      </c>
      <c r="C420" s="25">
        <f t="shared" si="47"/>
        <v>3427.499719839207</v>
      </c>
      <c r="D420" s="25">
        <f t="shared" si="56"/>
        <v>1462724.5626714982</v>
      </c>
      <c r="E420" s="25">
        <f>$C420/((1+'How much will I make'!$C$5/12)^(Calculations!$B$1*12-Calculations!$A420))</f>
        <v>2626.6739845677398</v>
      </c>
      <c r="F420" s="25">
        <f t="shared" si="57"/>
        <v>531415.14817279973</v>
      </c>
      <c r="G420" s="25">
        <f t="shared" si="48"/>
        <v>4467.5572437388373</v>
      </c>
      <c r="H420" s="25">
        <f t="shared" si="58"/>
        <v>5106865.0687800888</v>
      </c>
      <c r="I420" s="25">
        <f>G420/((1+'How much will I make'!$C$5/12)^(Calculations!$B$1*12-Calculations!$A420))</f>
        <v>3423.7249732719079</v>
      </c>
      <c r="J420" s="25">
        <f t="shared" si="59"/>
        <v>1455872.3279997956</v>
      </c>
      <c r="K420" s="25">
        <f t="shared" si="49"/>
        <v>5816.854670933204</v>
      </c>
      <c r="L420" s="25">
        <f t="shared" si="60"/>
        <v>21869786.611856427</v>
      </c>
      <c r="M420" s="25">
        <f>K420/((1+'How much will I make'!$C$5/12)^(Calculations!$B$1*12-Calculations!$A420))</f>
        <v>4457.7628256869311</v>
      </c>
      <c r="N420" s="25">
        <f t="shared" si="61"/>
        <v>5049497.5395614104</v>
      </c>
      <c r="O420" s="25">
        <f t="shared" si="50"/>
        <v>7565.4643451590346</v>
      </c>
      <c r="P420" s="25">
        <f t="shared" si="62"/>
        <v>107828345.60810277</v>
      </c>
      <c r="Q420" s="25">
        <f>O420/((1+'How much will I make'!$C$5/12)^(Calculations!$B$1*12-Calculations!$A420))</f>
        <v>5797.8147340406767</v>
      </c>
      <c r="R420" s="25">
        <f t="shared" si="63"/>
        <v>21455941.430873148</v>
      </c>
      <c r="S420" s="25">
        <f t="shared" si="51"/>
        <v>9829.1531624834934</v>
      </c>
      <c r="T420" s="25">
        <f t="shared" si="64"/>
        <v>579797665.88508713</v>
      </c>
      <c r="U420" s="25">
        <f>S420/((1+'How much will I make'!$C$5/12)^(Calculations!$B$1*12-Calculations!$A420))</f>
        <v>7532.5989825137922</v>
      </c>
      <c r="V420" s="25">
        <f t="shared" si="65"/>
        <v>104923418.04264043</v>
      </c>
      <c r="W420" s="25">
        <f t="shared" si="52"/>
        <v>12756.559462833342</v>
      </c>
      <c r="X420" s="25">
        <f t="shared" si="66"/>
        <v>3284163596.709506</v>
      </c>
      <c r="Y420" s="25">
        <f>W420/((1+'How much will I make'!$C$5/12)^(Calculations!$B$1*12-Calculations!$A420))</f>
        <v>9776.0249781107723</v>
      </c>
      <c r="Z420" s="25">
        <f t="shared" si="67"/>
        <v>559565842.41854012</v>
      </c>
      <c r="AA420" s="25">
        <f t="shared" si="53"/>
        <v>16538.332222052271</v>
      </c>
      <c r="AB420" s="25">
        <f t="shared" si="68"/>
        <v>19204422761.578865</v>
      </c>
      <c r="AC420" s="25">
        <f>AA420/((1+'How much will I make'!$C$5/12)^(Calculations!$B$1*12-Calculations!$A420))</f>
        <v>12674.197096022228</v>
      </c>
      <c r="AD420" s="25">
        <f t="shared" si="69"/>
        <v>3143975498.3412828</v>
      </c>
      <c r="AE420" s="25">
        <f t="shared" si="54"/>
        <v>21418.757608613552</v>
      </c>
      <c r="AF420" s="25">
        <f t="shared" si="70"/>
        <v>114564307924.89059</v>
      </c>
      <c r="AG420" s="25">
        <f>AE420/((1+'How much will I make'!$C$5/12)^(Calculations!$B$1*12-Calculations!$A420))</f>
        <v>16414.324723838887</v>
      </c>
      <c r="AH420" s="25">
        <f t="shared" si="71"/>
        <v>18238224882.679367</v>
      </c>
    </row>
    <row r="421" spans="1:34" ht="15.75" customHeight="1">
      <c r="A421" s="22">
        <f t="shared" si="55"/>
        <v>417</v>
      </c>
      <c r="B421" s="22">
        <f t="shared" si="84"/>
        <v>2626.6739845677398</v>
      </c>
      <c r="C421" s="25">
        <f t="shared" si="47"/>
        <v>3413.2777293004565</v>
      </c>
      <c r="D421" s="25">
        <f t="shared" si="56"/>
        <v>1466137.8404007987</v>
      </c>
      <c r="E421" s="25">
        <f>$C421/((1+'How much will I make'!$C$5/12)^(Calculations!$B$1*12-Calculations!$A421))</f>
        <v>2626.6739845677398</v>
      </c>
      <c r="F421" s="25">
        <f t="shared" si="57"/>
        <v>534041.82215736748</v>
      </c>
      <c r="G421" s="25">
        <f t="shared" si="48"/>
        <v>4430.6352830467813</v>
      </c>
      <c r="H421" s="25">
        <f t="shared" si="58"/>
        <v>5111295.7040631352</v>
      </c>
      <c r="I421" s="25">
        <f>G421/((1+'How much will I make'!$C$5/12)^(Calculations!$B$1*12-Calculations!$A421))</f>
        <v>3409.5773494154114</v>
      </c>
      <c r="J421" s="25">
        <f t="shared" si="59"/>
        <v>1459281.9053492111</v>
      </c>
      <c r="K421" s="25">
        <f t="shared" si="49"/>
        <v>5745.0416503043989</v>
      </c>
      <c r="L421" s="25">
        <f t="shared" si="60"/>
        <v>21875531.65350673</v>
      </c>
      <c r="M421" s="25">
        <f>K421/((1+'How much will I make'!$C$5/12)^(Calculations!$B$1*12-Calculations!$A421))</f>
        <v>4421.0734197141974</v>
      </c>
      <c r="N421" s="25">
        <f t="shared" si="61"/>
        <v>5053918.6129811248</v>
      </c>
      <c r="O421" s="25">
        <f t="shared" si="50"/>
        <v>7441.4403395006893</v>
      </c>
      <c r="P421" s="25">
        <f t="shared" si="62"/>
        <v>107835787.04844227</v>
      </c>
      <c r="Q421" s="25">
        <f>O421/((1+'How much will I make'!$C$5/12)^(Calculations!$B$1*12-Calculations!$A421))</f>
        <v>5726.5301266549286</v>
      </c>
      <c r="R421" s="25">
        <f t="shared" si="63"/>
        <v>21461667.960999802</v>
      </c>
      <c r="S421" s="25">
        <f t="shared" si="51"/>
        <v>9628.5581999838323</v>
      </c>
      <c r="T421" s="25">
        <f t="shared" si="64"/>
        <v>579807294.44328713</v>
      </c>
      <c r="U421" s="25">
        <f>S421/((1+'How much will I make'!$C$5/12)^(Calculations!$B$1*12-Calculations!$A421))</f>
        <v>7409.6177746360145</v>
      </c>
      <c r="V421" s="25">
        <f t="shared" si="65"/>
        <v>104930827.66041507</v>
      </c>
      <c r="W421" s="25">
        <f t="shared" si="52"/>
        <v>12445.423866178873</v>
      </c>
      <c r="X421" s="25">
        <f t="shared" si="66"/>
        <v>3284176042.1333723</v>
      </c>
      <c r="Y421" s="25">
        <f>W421/((1+'How much will I make'!$C$5/12)^(Calculations!$B$1*12-Calculations!$A421))</f>
        <v>9577.3252834337218</v>
      </c>
      <c r="Z421" s="25">
        <f t="shared" si="67"/>
        <v>559575419.74382353</v>
      </c>
      <c r="AA421" s="25">
        <f t="shared" si="53"/>
        <v>16069.6345477431</v>
      </c>
      <c r="AB421" s="25">
        <f t="shared" si="68"/>
        <v>19204438831.213413</v>
      </c>
      <c r="AC421" s="25">
        <f>AA421/((1+'How much will I make'!$C$5/12)^(Calculations!$B$1*12-Calculations!$A421))</f>
        <v>12366.321862920471</v>
      </c>
      <c r="AD421" s="25">
        <f t="shared" si="69"/>
        <v>3143987864.6631455</v>
      </c>
      <c r="AE421" s="25">
        <f t="shared" si="54"/>
        <v>20727.829943819565</v>
      </c>
      <c r="AF421" s="25">
        <f t="shared" si="70"/>
        <v>114564328652.72054</v>
      </c>
      <c r="AG421" s="25">
        <f>AE421/((1+'How much will I make'!$C$5/12)^(Calculations!$B$1*12-Calculations!$A421))</f>
        <v>15951.017171149877</v>
      </c>
      <c r="AH421" s="25">
        <f t="shared" si="71"/>
        <v>18238240833.696537</v>
      </c>
    </row>
    <row r="422" spans="1:34" ht="15.75" customHeight="1">
      <c r="A422" s="22">
        <f t="shared" si="55"/>
        <v>418</v>
      </c>
      <c r="B422" s="22">
        <f t="shared" si="84"/>
        <v>2626.6739845677398</v>
      </c>
      <c r="C422" s="25">
        <f t="shared" si="47"/>
        <v>3399.1147511705772</v>
      </c>
      <c r="D422" s="25">
        <f t="shared" si="56"/>
        <v>1469536.9551519693</v>
      </c>
      <c r="E422" s="25">
        <f>$C422/((1+'How much will I make'!$C$5/12)^(Calculations!$B$1*12-Calculations!$A422))</f>
        <v>2626.6739845677398</v>
      </c>
      <c r="F422" s="25">
        <f t="shared" si="57"/>
        <v>536668.49614193523</v>
      </c>
      <c r="G422" s="25">
        <f t="shared" si="48"/>
        <v>4394.0184625257343</v>
      </c>
      <c r="H422" s="25">
        <f t="shared" si="58"/>
        <v>5115689.7225256609</v>
      </c>
      <c r="I422" s="25">
        <f>G422/((1+'How much will I make'!$C$5/12)^(Calculations!$B$1*12-Calculations!$A422))</f>
        <v>3395.4881868145239</v>
      </c>
      <c r="J422" s="25">
        <f t="shared" si="59"/>
        <v>1462677.3935360257</v>
      </c>
      <c r="K422" s="25">
        <f t="shared" si="49"/>
        <v>5674.115210177185</v>
      </c>
      <c r="L422" s="25">
        <f t="shared" si="60"/>
        <v>21881205.768716905</v>
      </c>
      <c r="M422" s="25">
        <f>K422/((1+'How much will I make'!$C$5/12)^(Calculations!$B$1*12-Calculations!$A422))</f>
        <v>4384.6859841609967</v>
      </c>
      <c r="N422" s="25">
        <f t="shared" si="61"/>
        <v>5058303.2989652855</v>
      </c>
      <c r="O422" s="25">
        <f t="shared" si="50"/>
        <v>7319.4495142629758</v>
      </c>
      <c r="P422" s="25">
        <f t="shared" si="62"/>
        <v>107843106.49795654</v>
      </c>
      <c r="Q422" s="25">
        <f>O422/((1+'How much will I make'!$C$5/12)^(Calculations!$B$1*12-Calculations!$A422))</f>
        <v>5656.121969359996</v>
      </c>
      <c r="R422" s="25">
        <f t="shared" si="63"/>
        <v>21467324.082969163</v>
      </c>
      <c r="S422" s="25">
        <f t="shared" si="51"/>
        <v>9432.057012229061</v>
      </c>
      <c r="T422" s="25">
        <f t="shared" si="64"/>
        <v>579816726.50029933</v>
      </c>
      <c r="U422" s="25">
        <f>S422/((1+'How much will I make'!$C$5/12)^(Calculations!$B$1*12-Calculations!$A422))</f>
        <v>7288.6444232133908</v>
      </c>
      <c r="V422" s="25">
        <f t="shared" si="65"/>
        <v>104938116.30483828</v>
      </c>
      <c r="W422" s="25">
        <f t="shared" si="52"/>
        <v>12141.876942613531</v>
      </c>
      <c r="X422" s="25">
        <f t="shared" si="66"/>
        <v>3284188184.0103149</v>
      </c>
      <c r="Y422" s="25">
        <f>W422/((1+'How much will I make'!$C$5/12)^(Calculations!$B$1*12-Calculations!$A422))</f>
        <v>9382.6642004371042</v>
      </c>
      <c r="Z422" s="25">
        <f t="shared" si="67"/>
        <v>559584802.40802395</v>
      </c>
      <c r="AA422" s="25">
        <f t="shared" si="53"/>
        <v>15614.219803475082</v>
      </c>
      <c r="AB422" s="25">
        <f t="shared" si="68"/>
        <v>19204454445.433216</v>
      </c>
      <c r="AC422" s="25">
        <f>AA422/((1+'How much will I make'!$C$5/12)^(Calculations!$B$1*12-Calculations!$A422))</f>
        <v>12065.925380420389</v>
      </c>
      <c r="AD422" s="25">
        <f t="shared" si="69"/>
        <v>3143999930.5885258</v>
      </c>
      <c r="AE422" s="25">
        <f t="shared" si="54"/>
        <v>20059.190268212478</v>
      </c>
      <c r="AF422" s="25">
        <f t="shared" si="70"/>
        <v>114564348711.9108</v>
      </c>
      <c r="AG422" s="25">
        <f>AE422/((1+'How much will I make'!$C$5/12)^(Calculations!$B$1*12-Calculations!$A422))</f>
        <v>15500.786847770654</v>
      </c>
      <c r="AH422" s="25">
        <f t="shared" si="71"/>
        <v>18238256334.483383</v>
      </c>
    </row>
    <row r="423" spans="1:34" ht="15.75" customHeight="1">
      <c r="A423" s="22">
        <f t="shared" si="55"/>
        <v>419</v>
      </c>
      <c r="B423" s="22">
        <f t="shared" si="84"/>
        <v>2626.6739845677398</v>
      </c>
      <c r="C423" s="25">
        <f t="shared" si="47"/>
        <v>3385.0105405848076</v>
      </c>
      <c r="D423" s="25">
        <f t="shared" si="56"/>
        <v>1472921.9656925541</v>
      </c>
      <c r="E423" s="25">
        <f>$C423/((1+'How much will I make'!$C$5/12)^(Calculations!$B$1*12-Calculations!$A423))</f>
        <v>2626.6739845677398</v>
      </c>
      <c r="F423" s="25">
        <f t="shared" si="57"/>
        <v>539295.17012650298</v>
      </c>
      <c r="G423" s="25">
        <f t="shared" si="48"/>
        <v>4357.7042603560994</v>
      </c>
      <c r="H423" s="25">
        <f t="shared" si="58"/>
        <v>5120047.4267860167</v>
      </c>
      <c r="I423" s="25">
        <f>G423/((1+'How much will I make'!$C$5/12)^(Calculations!$B$1*12-Calculations!$A423))</f>
        <v>3381.4572438938017</v>
      </c>
      <c r="J423" s="25">
        <f t="shared" si="59"/>
        <v>1466058.8507799194</v>
      </c>
      <c r="K423" s="25">
        <f t="shared" si="49"/>
        <v>5604.0644051132676</v>
      </c>
      <c r="L423" s="25">
        <f t="shared" si="60"/>
        <v>21886809.833122019</v>
      </c>
      <c r="M423" s="25">
        <f>K423/((1+'How much will I make'!$C$5/12)^(Calculations!$B$1*12-Calculations!$A423))</f>
        <v>4348.598033674074</v>
      </c>
      <c r="N423" s="25">
        <f t="shared" si="61"/>
        <v>5062651.8969989596</v>
      </c>
      <c r="O423" s="25">
        <f t="shared" si="50"/>
        <v>7199.4585386193212</v>
      </c>
      <c r="P423" s="25">
        <f t="shared" si="62"/>
        <v>107850305.95649517</v>
      </c>
      <c r="Q423" s="25">
        <f>O423/((1+'How much will I make'!$C$5/12)^(Calculations!$B$1*12-Calculations!$A423))</f>
        <v>5586.5794861301601</v>
      </c>
      <c r="R423" s="25">
        <f t="shared" si="63"/>
        <v>21472910.662455294</v>
      </c>
      <c r="S423" s="25">
        <f t="shared" si="51"/>
        <v>9239.5660527958189</v>
      </c>
      <c r="T423" s="25">
        <f t="shared" si="64"/>
        <v>579825966.06635213</v>
      </c>
      <c r="U423" s="25">
        <f>S423/((1+'How much will I make'!$C$5/12)^(Calculations!$B$1*12-Calculations!$A423))</f>
        <v>7169.6461469160313</v>
      </c>
      <c r="V423" s="25">
        <f t="shared" si="65"/>
        <v>104945285.95098521</v>
      </c>
      <c r="W423" s="25">
        <f t="shared" si="52"/>
        <v>11845.73360254979</v>
      </c>
      <c r="X423" s="25">
        <f t="shared" si="66"/>
        <v>3284200029.7439175</v>
      </c>
      <c r="Y423" s="25">
        <f>W423/((1+'How much will I make'!$C$5/12)^(Calculations!$B$1*12-Calculations!$A423))</f>
        <v>9191.9596435176536</v>
      </c>
      <c r="Z423" s="25">
        <f t="shared" si="67"/>
        <v>559593994.36766744</v>
      </c>
      <c r="AA423" s="25">
        <f t="shared" si="53"/>
        <v>15171.7115499353</v>
      </c>
      <c r="AB423" s="25">
        <f t="shared" si="68"/>
        <v>19204469617.144768</v>
      </c>
      <c r="AC423" s="25">
        <f>AA423/((1+'How much will I make'!$C$5/12)^(Calculations!$B$1*12-Calculations!$A423))</f>
        <v>11772.825978466855</v>
      </c>
      <c r="AD423" s="25">
        <f t="shared" si="69"/>
        <v>3144011703.4145041</v>
      </c>
      <c r="AE423" s="25">
        <f t="shared" si="54"/>
        <v>19412.119614399173</v>
      </c>
      <c r="AF423" s="25">
        <f t="shared" si="70"/>
        <v>114564368124.03041</v>
      </c>
      <c r="AG423" s="25">
        <f>AE423/((1+'How much will I make'!$C$5/12)^(Calculations!$B$1*12-Calculations!$A423))</f>
        <v>15063.26463835777</v>
      </c>
      <c r="AH423" s="25">
        <f t="shared" si="71"/>
        <v>18238271397.74802</v>
      </c>
    </row>
    <row r="424" spans="1:34" ht="15.75" customHeight="1">
      <c r="A424" s="22">
        <f t="shared" si="55"/>
        <v>420</v>
      </c>
      <c r="B424" s="22">
        <f t="shared" si="84"/>
        <v>2626.6739845677398</v>
      </c>
      <c r="C424" s="25">
        <f t="shared" si="47"/>
        <v>3370.9648536944142</v>
      </c>
      <c r="D424" s="25">
        <f t="shared" si="56"/>
        <v>1476292.9305462486</v>
      </c>
      <c r="E424" s="25">
        <f>$C424/((1+'How much will I make'!$C$5/12)^(Calculations!$B$1*12-Calculations!$A424))</f>
        <v>2626.6739845677398</v>
      </c>
      <c r="F424" s="25">
        <f t="shared" si="57"/>
        <v>541921.84411107074</v>
      </c>
      <c r="G424" s="25">
        <f t="shared" si="48"/>
        <v>4321.6901755597692</v>
      </c>
      <c r="H424" s="25">
        <f t="shared" si="58"/>
        <v>5124369.116961576</v>
      </c>
      <c r="I424" s="25">
        <f>G424/((1+'How much will I make'!$C$5/12)^(Calculations!$B$1*12-Calculations!$A424))</f>
        <v>3367.4842800760593</v>
      </c>
      <c r="J424" s="25">
        <f t="shared" si="59"/>
        <v>1469426.3350599955</v>
      </c>
      <c r="K424" s="25">
        <f t="shared" si="49"/>
        <v>5534.878424803228</v>
      </c>
      <c r="L424" s="25">
        <f t="shared" si="60"/>
        <v>21892344.711546823</v>
      </c>
      <c r="M424" s="25">
        <f>K424/((1+'How much will I make'!$C$5/12)^(Calculations!$B$1*12-Calculations!$A424))</f>
        <v>4312.807103355769</v>
      </c>
      <c r="N424" s="25">
        <f t="shared" si="61"/>
        <v>5066964.704102315</v>
      </c>
      <c r="O424" s="25">
        <f t="shared" si="50"/>
        <v>7081.4346281501503</v>
      </c>
      <c r="P424" s="25">
        <f t="shared" si="62"/>
        <v>107857387.39112331</v>
      </c>
      <c r="Q424" s="25">
        <f>O424/((1+'How much will I make'!$C$5/12)^(Calculations!$B$1*12-Calculations!$A424))</f>
        <v>5517.8920334318373</v>
      </c>
      <c r="R424" s="25">
        <f t="shared" si="63"/>
        <v>21478428.554488726</v>
      </c>
      <c r="S424" s="25">
        <f t="shared" si="51"/>
        <v>9051.0034802897808</v>
      </c>
      <c r="T424" s="25">
        <f t="shared" si="64"/>
        <v>579835017.06983244</v>
      </c>
      <c r="U424" s="25">
        <f>S424/((1+'How much will I make'!$C$5/12)^(Calculations!$B$1*12-Calculations!$A424))</f>
        <v>7052.5906996194417</v>
      </c>
      <c r="V424" s="25">
        <f t="shared" si="65"/>
        <v>104952338.54168482</v>
      </c>
      <c r="W424" s="25">
        <f t="shared" si="52"/>
        <v>11556.813270780282</v>
      </c>
      <c r="X424" s="25">
        <f t="shared" si="66"/>
        <v>3284211586.557188</v>
      </c>
      <c r="Y424" s="25">
        <f>W424/((1+'How much will I make'!$C$5/12)^(Calculations!$B$1*12-Calculations!$A424))</f>
        <v>9005.1311954786743</v>
      </c>
      <c r="Z424" s="25">
        <f t="shared" si="67"/>
        <v>559602999.49886286</v>
      </c>
      <c r="AA424" s="25">
        <f t="shared" si="53"/>
        <v>14741.744016131468</v>
      </c>
      <c r="AB424" s="25">
        <f t="shared" si="68"/>
        <v>19204484358.888783</v>
      </c>
      <c r="AC424" s="25">
        <f>AA424/((1+'How much will I make'!$C$5/12)^(Calculations!$B$1*12-Calculations!$A424))</f>
        <v>11486.846400042561</v>
      </c>
      <c r="AD424" s="25">
        <f t="shared" si="69"/>
        <v>3144023190.2609043</v>
      </c>
      <c r="AE424" s="25">
        <f t="shared" si="54"/>
        <v>18785.922207483072</v>
      </c>
      <c r="AF424" s="25">
        <f t="shared" si="70"/>
        <v>114564386909.95262</v>
      </c>
      <c r="AG424" s="25">
        <f>AE424/((1+'How much will I make'!$C$5/12)^(Calculations!$B$1*12-Calculations!$A424))</f>
        <v>14638.091846146061</v>
      </c>
      <c r="AH424" s="25">
        <f t="shared" si="71"/>
        <v>18238286035.839867</v>
      </c>
    </row>
    <row r="425" spans="1:34" ht="15.75" customHeight="1">
      <c r="A425" s="22">
        <f t="shared" si="55"/>
        <v>421</v>
      </c>
      <c r="B425" s="22">
        <f>B424*(1+'How much will I make'!$C$4)</f>
        <v>2758.0076837961269</v>
      </c>
      <c r="C425" s="25">
        <f t="shared" si="47"/>
        <v>3524.8263200456113</v>
      </c>
      <c r="D425" s="25">
        <f t="shared" si="56"/>
        <v>1479817.7568662942</v>
      </c>
      <c r="E425" s="25">
        <f>$C425/((1+'How much will I make'!$C$5/12)^(Calculations!$B$1*12-Calculations!$A425))</f>
        <v>2758.0076837961269</v>
      </c>
      <c r="F425" s="25">
        <f t="shared" si="57"/>
        <v>544679.85179486685</v>
      </c>
      <c r="G425" s="25">
        <f t="shared" si="48"/>
        <v>4500.2724142192637</v>
      </c>
      <c r="H425" s="25">
        <f t="shared" si="58"/>
        <v>5128869.3893757956</v>
      </c>
      <c r="I425" s="25">
        <f>G425/((1+'How much will I make'!$C$5/12)^(Calculations!$B$1*12-Calculations!$A425))</f>
        <v>3521.2475085671363</v>
      </c>
      <c r="J425" s="25">
        <f t="shared" si="59"/>
        <v>1472947.5825685626</v>
      </c>
      <c r="K425" s="25">
        <f t="shared" si="49"/>
        <v>5739.8739220181624</v>
      </c>
      <c r="L425" s="25">
        <f t="shared" si="60"/>
        <v>21898084.58546884</v>
      </c>
      <c r="M425" s="25">
        <f>K425/((1+'How much will I make'!$C$5/12)^(Calculations!$B$1*12-Calculations!$A425))</f>
        <v>4491.1762860254212</v>
      </c>
      <c r="N425" s="25">
        <f t="shared" si="61"/>
        <v>5071455.88038834</v>
      </c>
      <c r="O425" s="25">
        <f t="shared" si="50"/>
        <v>7313.612812679663</v>
      </c>
      <c r="P425" s="25">
        <f t="shared" si="62"/>
        <v>107864701.00393599</v>
      </c>
      <c r="Q425" s="25">
        <f>O425/((1+'How much will I make'!$C$5/12)^(Calculations!$B$1*12-Calculations!$A425))</f>
        <v>5722.5515535242885</v>
      </c>
      <c r="R425" s="25">
        <f t="shared" si="63"/>
        <v>21484151.106042251</v>
      </c>
      <c r="S425" s="25">
        <f t="shared" si="51"/>
        <v>9309.6035797266322</v>
      </c>
      <c r="T425" s="25">
        <f t="shared" si="64"/>
        <v>579844326.6734122</v>
      </c>
      <c r="U425" s="25">
        <f>S425/((1+'How much will I make'!$C$5/12)^(Calculations!$B$1*12-Calculations!$A425))</f>
        <v>7284.3186797497965</v>
      </c>
      <c r="V425" s="25">
        <f t="shared" si="65"/>
        <v>104959622.86036457</v>
      </c>
      <c r="W425" s="25">
        <f t="shared" si="52"/>
        <v>11838.686765189557</v>
      </c>
      <c r="X425" s="25">
        <f t="shared" si="66"/>
        <v>3284223425.2439532</v>
      </c>
      <c r="Y425" s="25">
        <f>W425/((1+'How much will I make'!$C$5/12)^(Calculations!$B$1*12-Calculations!$A425))</f>
        <v>9263.2050773003211</v>
      </c>
      <c r="Z425" s="25">
        <f t="shared" si="67"/>
        <v>559612262.70394015</v>
      </c>
      <c r="AA425" s="25">
        <f t="shared" si="53"/>
        <v>15040.159886903364</v>
      </c>
      <c r="AB425" s="25">
        <f t="shared" si="68"/>
        <v>19204499399.048668</v>
      </c>
      <c r="AC425" s="25">
        <f>AA425/((1+'How much will I make'!$C$5/12)^(Calculations!$B$1*12-Calculations!$A425))</f>
        <v>11768.204378667089</v>
      </c>
      <c r="AD425" s="25">
        <f t="shared" si="69"/>
        <v>3144034958.4652829</v>
      </c>
      <c r="AE425" s="25">
        <f t="shared" si="54"/>
        <v>19088.920952765049</v>
      </c>
      <c r="AF425" s="25">
        <f t="shared" si="70"/>
        <v>114564405998.87358</v>
      </c>
      <c r="AG425" s="25">
        <f>AE425/((1+'How much will I make'!$C$5/12)^(Calculations!$B$1*12-Calculations!$A425))</f>
        <v>14936.165893819594</v>
      </c>
      <c r="AH425" s="25">
        <f t="shared" si="71"/>
        <v>18238300972.00576</v>
      </c>
    </row>
    <row r="426" spans="1:34" ht="15.75" customHeight="1">
      <c r="A426" s="22">
        <f t="shared" si="55"/>
        <v>422</v>
      </c>
      <c r="B426" s="22">
        <f t="shared" ref="B426:B436" si="85">B425</f>
        <v>2758.0076837961269</v>
      </c>
      <c r="C426" s="25">
        <f t="shared" si="47"/>
        <v>3510.2004846927257</v>
      </c>
      <c r="D426" s="25">
        <f t="shared" si="56"/>
        <v>1483327.957350987</v>
      </c>
      <c r="E426" s="25">
        <f>$C426/((1+'How much will I make'!$C$5/12)^(Calculations!$B$1*12-Calculations!$A426))</f>
        <v>2758.0076837961269</v>
      </c>
      <c r="F426" s="25">
        <f t="shared" si="57"/>
        <v>547437.85947866295</v>
      </c>
      <c r="G426" s="25">
        <f t="shared" si="48"/>
        <v>4463.0800802174508</v>
      </c>
      <c r="H426" s="25">
        <f t="shared" si="58"/>
        <v>5133332.4694560133</v>
      </c>
      <c r="I426" s="25">
        <f>G426/((1+'How much will I make'!$C$5/12)^(Calculations!$B$1*12-Calculations!$A426))</f>
        <v>3506.6968990276014</v>
      </c>
      <c r="J426" s="25">
        <f t="shared" si="59"/>
        <v>1476454.2794675902</v>
      </c>
      <c r="K426" s="25">
        <f t="shared" si="49"/>
        <v>5669.0112810055944</v>
      </c>
      <c r="L426" s="25">
        <f t="shared" si="60"/>
        <v>21903753.596749846</v>
      </c>
      <c r="M426" s="25">
        <f>K426/((1+'How much will I make'!$C$5/12)^(Calculations!$B$1*12-Calculations!$A426))</f>
        <v>4454.2118721486695</v>
      </c>
      <c r="N426" s="25">
        <f t="shared" si="61"/>
        <v>5075910.0922604883</v>
      </c>
      <c r="O426" s="25">
        <f t="shared" si="50"/>
        <v>7193.7175206685233</v>
      </c>
      <c r="P426" s="25">
        <f t="shared" si="62"/>
        <v>107871894.72145666</v>
      </c>
      <c r="Q426" s="25">
        <f>O426/((1+'How much will I make'!$C$5/12)^(Calculations!$B$1*12-Calculations!$A426))</f>
        <v>5652.1923131121057</v>
      </c>
      <c r="R426" s="25">
        <f t="shared" si="63"/>
        <v>21489803.298355363</v>
      </c>
      <c r="S426" s="25">
        <f t="shared" si="51"/>
        <v>9119.6116699362938</v>
      </c>
      <c r="T426" s="25">
        <f t="shared" si="64"/>
        <v>579853446.2850821</v>
      </c>
      <c r="U426" s="25">
        <f>S426/((1+'How much will I make'!$C$5/12)^(Calculations!$B$1*12-Calculations!$A426))</f>
        <v>7165.3910278355133</v>
      </c>
      <c r="V426" s="25">
        <f t="shared" si="65"/>
        <v>104966788.25139241</v>
      </c>
      <c r="W426" s="25">
        <f t="shared" si="52"/>
        <v>11549.938307502009</v>
      </c>
      <c r="X426" s="25">
        <f t="shared" si="66"/>
        <v>3284234975.1822605</v>
      </c>
      <c r="Y426" s="25">
        <f>W426/((1+'How much will I make'!$C$5/12)^(Calculations!$B$1*12-Calculations!$A426))</f>
        <v>9074.9285513389314</v>
      </c>
      <c r="Z426" s="25">
        <f t="shared" si="67"/>
        <v>559621337.63249147</v>
      </c>
      <c r="AA426" s="25">
        <f t="shared" si="53"/>
        <v>14613.920537881815</v>
      </c>
      <c r="AB426" s="25">
        <f t="shared" si="68"/>
        <v>19204514012.969204</v>
      </c>
      <c r="AC426" s="25">
        <f>AA426/((1+'How much will I make'!$C$5/12)^(Calculations!$B$1*12-Calculations!$A426))</f>
        <v>11482.337065824973</v>
      </c>
      <c r="AD426" s="25">
        <f t="shared" si="69"/>
        <v>3144046440.8023486</v>
      </c>
      <c r="AE426" s="25">
        <f t="shared" si="54"/>
        <v>18473.149309127468</v>
      </c>
      <c r="AF426" s="25">
        <f t="shared" si="70"/>
        <v>114564424472.02289</v>
      </c>
      <c r="AG426" s="25">
        <f>AE426/((1+'How much will I make'!$C$5/12)^(Calculations!$B$1*12-Calculations!$A426))</f>
        <v>14514.580566171458</v>
      </c>
      <c r="AH426" s="25">
        <f t="shared" si="71"/>
        <v>18238315486.586327</v>
      </c>
    </row>
    <row r="427" spans="1:34" ht="15.75" customHeight="1">
      <c r="A427" s="22">
        <f t="shared" si="55"/>
        <v>423</v>
      </c>
      <c r="B427" s="22">
        <f t="shared" si="85"/>
        <v>2758.0076837961269</v>
      </c>
      <c r="C427" s="25">
        <f t="shared" si="47"/>
        <v>3495.635337453336</v>
      </c>
      <c r="D427" s="25">
        <f t="shared" si="56"/>
        <v>1486823.5926884403</v>
      </c>
      <c r="E427" s="25">
        <f>$C427/((1+'How much will I make'!$C$5/12)^(Calculations!$B$1*12-Calculations!$A427))</f>
        <v>2758.0076837961269</v>
      </c>
      <c r="F427" s="25">
        <f t="shared" si="57"/>
        <v>550195.86716245906</v>
      </c>
      <c r="G427" s="25">
        <f t="shared" si="48"/>
        <v>4426.1951208768105</v>
      </c>
      <c r="H427" s="25">
        <f t="shared" si="58"/>
        <v>5137758.6645768899</v>
      </c>
      <c r="I427" s="25">
        <f>G427/((1+'How much will I make'!$C$5/12)^(Calculations!$B$1*12-Calculations!$A427))</f>
        <v>3492.2064159737688</v>
      </c>
      <c r="J427" s="25">
        <f t="shared" si="59"/>
        <v>1479946.485883564</v>
      </c>
      <c r="K427" s="25">
        <f t="shared" si="49"/>
        <v>5599.023487412931</v>
      </c>
      <c r="L427" s="25">
        <f t="shared" si="60"/>
        <v>21909352.620237257</v>
      </c>
      <c r="M427" s="25">
        <f>K427/((1+'How much will I make'!$C$5/12)^(Calculations!$B$1*12-Calculations!$A427))</f>
        <v>4417.5516921309854</v>
      </c>
      <c r="N427" s="25">
        <f t="shared" si="61"/>
        <v>5080327.6439526193</v>
      </c>
      <c r="O427" s="25">
        <f t="shared" si="50"/>
        <v>7075.7877252477274</v>
      </c>
      <c r="P427" s="25">
        <f t="shared" si="62"/>
        <v>107878970.50918192</v>
      </c>
      <c r="Q427" s="25">
        <f>O427/((1+'How much will I make'!$C$5/12)^(Calculations!$B$1*12-Calculations!$A427))</f>
        <v>5582.6981453279413</v>
      </c>
      <c r="R427" s="25">
        <f t="shared" si="63"/>
        <v>21495385.99650069</v>
      </c>
      <c r="S427" s="25">
        <f t="shared" si="51"/>
        <v>8933.4971460600445</v>
      </c>
      <c r="T427" s="25">
        <f t="shared" si="64"/>
        <v>579862379.78222811</v>
      </c>
      <c r="U427" s="25">
        <f>S427/((1+'How much will I make'!$C$5/12)^(Calculations!$B$1*12-Calculations!$A427))</f>
        <v>7048.4050518708555</v>
      </c>
      <c r="V427" s="25">
        <f t="shared" si="65"/>
        <v>104973836.65644428</v>
      </c>
      <c r="W427" s="25">
        <f t="shared" si="52"/>
        <v>11268.23249512391</v>
      </c>
      <c r="X427" s="25">
        <f t="shared" si="66"/>
        <v>3284246243.4147558</v>
      </c>
      <c r="Y427" s="25">
        <f>W427/((1+'How much will I make'!$C$5/12)^(Calculations!$B$1*12-Calculations!$A427))</f>
        <v>8890.4787840352965</v>
      </c>
      <c r="Z427" s="25">
        <f t="shared" si="67"/>
        <v>559630228.11127555</v>
      </c>
      <c r="AA427" s="25">
        <f t="shared" si="53"/>
        <v>14199.76084652484</v>
      </c>
      <c r="AB427" s="25">
        <f t="shared" si="68"/>
        <v>19204528212.730049</v>
      </c>
      <c r="AC427" s="25">
        <f>AA427/((1+'How much will I make'!$C$5/12)^(Calculations!$B$1*12-Calculations!$A427))</f>
        <v>11203.413898234086</v>
      </c>
      <c r="AD427" s="25">
        <f t="shared" si="69"/>
        <v>3144057644.2162471</v>
      </c>
      <c r="AE427" s="25">
        <f t="shared" si="54"/>
        <v>17877.241266897552</v>
      </c>
      <c r="AF427" s="25">
        <f t="shared" si="70"/>
        <v>114564442349.26416</v>
      </c>
      <c r="AG427" s="25">
        <f>AE427/((1+'How much will I make'!$C$5/12)^(Calculations!$B$1*12-Calculations!$A427))</f>
        <v>14104.894824384366</v>
      </c>
      <c r="AH427" s="25">
        <f t="shared" si="71"/>
        <v>18238329591.481152</v>
      </c>
    </row>
    <row r="428" spans="1:34" ht="15.75" customHeight="1">
      <c r="A428" s="22">
        <f t="shared" si="55"/>
        <v>424</v>
      </c>
      <c r="B428" s="22">
        <f t="shared" si="85"/>
        <v>2758.0076837961269</v>
      </c>
      <c r="C428" s="25">
        <f t="shared" si="47"/>
        <v>3481.1306265095468</v>
      </c>
      <c r="D428" s="25">
        <f t="shared" si="56"/>
        <v>1490304.7233149498</v>
      </c>
      <c r="E428" s="25">
        <f>$C428/((1+'How much will I make'!$C$5/12)^(Calculations!$B$1*12-Calculations!$A428))</f>
        <v>2758.0076837961269</v>
      </c>
      <c r="F428" s="25">
        <f t="shared" si="57"/>
        <v>552953.87484625517</v>
      </c>
      <c r="G428" s="25">
        <f t="shared" si="48"/>
        <v>4389.614995910887</v>
      </c>
      <c r="H428" s="25">
        <f t="shared" si="58"/>
        <v>5142148.2795728007</v>
      </c>
      <c r="I428" s="25">
        <f>G428/((1+'How much will I make'!$C$5/12)^(Calculations!$B$1*12-Calculations!$A428))</f>
        <v>3477.7758109490837</v>
      </c>
      <c r="J428" s="25">
        <f t="shared" si="59"/>
        <v>1483424.261694513</v>
      </c>
      <c r="K428" s="25">
        <f t="shared" si="49"/>
        <v>5529.8997406547469</v>
      </c>
      <c r="L428" s="25">
        <f t="shared" si="60"/>
        <v>21914882.519977912</v>
      </c>
      <c r="M428" s="25">
        <f>K428/((1+'How much will I make'!$C$5/12)^(Calculations!$B$1*12-Calculations!$A428))</f>
        <v>4381.1932419899886</v>
      </c>
      <c r="N428" s="25">
        <f t="shared" si="61"/>
        <v>5084708.8371946095</v>
      </c>
      <c r="O428" s="25">
        <f t="shared" si="50"/>
        <v>6959.7912051617004</v>
      </c>
      <c r="P428" s="25">
        <f t="shared" si="62"/>
        <v>107885930.30038708</v>
      </c>
      <c r="Q428" s="25">
        <f>O428/((1+'How much will I make'!$C$5/12)^(Calculations!$B$1*12-Calculations!$A428))</f>
        <v>5514.0584140329256</v>
      </c>
      <c r="R428" s="25">
        <f t="shared" si="63"/>
        <v>21500900.054914724</v>
      </c>
      <c r="S428" s="25">
        <f t="shared" si="51"/>
        <v>8751.1808777731039</v>
      </c>
      <c r="T428" s="25">
        <f t="shared" si="64"/>
        <v>579871130.96310592</v>
      </c>
      <c r="U428" s="25">
        <f>S428/((1+'How much will I make'!$C$5/12)^(Calculations!$B$1*12-Calculations!$A428))</f>
        <v>6933.3290510239822</v>
      </c>
      <c r="V428" s="25">
        <f t="shared" si="65"/>
        <v>104980769.9854953</v>
      </c>
      <c r="W428" s="25">
        <f t="shared" si="52"/>
        <v>10993.397556218451</v>
      </c>
      <c r="X428" s="25">
        <f t="shared" si="66"/>
        <v>3284257236.8123121</v>
      </c>
      <c r="Y428" s="25">
        <f>W428/((1+'How much will I make'!$C$5/12)^(Calculations!$B$1*12-Calculations!$A428))</f>
        <v>8709.777995741897</v>
      </c>
      <c r="Z428" s="25">
        <f t="shared" si="67"/>
        <v>559638937.88927126</v>
      </c>
      <c r="AA428" s="25">
        <f t="shared" si="53"/>
        <v>13797.33847435612</v>
      </c>
      <c r="AB428" s="25">
        <f t="shared" si="68"/>
        <v>19204542010.068523</v>
      </c>
      <c r="AC428" s="25">
        <f>AA428/((1+'How much will I make'!$C$5/12)^(Calculations!$B$1*12-Calculations!$A428))</f>
        <v>10931.266192204108</v>
      </c>
      <c r="AD428" s="25">
        <f t="shared" si="69"/>
        <v>3144068575.4824395</v>
      </c>
      <c r="AE428" s="25">
        <f t="shared" si="54"/>
        <v>17300.556064739561</v>
      </c>
      <c r="AF428" s="25">
        <f t="shared" si="70"/>
        <v>114564459649.82022</v>
      </c>
      <c r="AG428" s="25">
        <f>AE428/((1+'How much will I make'!$C$5/12)^(Calculations!$B$1*12-Calculations!$A428))</f>
        <v>13706.77279305093</v>
      </c>
      <c r="AH428" s="25">
        <f t="shared" si="71"/>
        <v>18238343298.253944</v>
      </c>
    </row>
    <row r="429" spans="1:34" ht="15.75" customHeight="1">
      <c r="A429" s="22">
        <f t="shared" si="55"/>
        <v>425</v>
      </c>
      <c r="B429" s="22">
        <f t="shared" si="85"/>
        <v>2758.0076837961269</v>
      </c>
      <c r="C429" s="25">
        <f t="shared" si="47"/>
        <v>3466.6861010883458</v>
      </c>
      <c r="D429" s="25">
        <f t="shared" si="56"/>
        <v>1493771.4094160381</v>
      </c>
      <c r="E429" s="25">
        <f>$C429/((1+'How much will I make'!$C$5/12)^(Calculations!$B$1*12-Calculations!$A429))</f>
        <v>2758.0076837961269</v>
      </c>
      <c r="F429" s="25">
        <f t="shared" si="57"/>
        <v>555711.88253005128</v>
      </c>
      <c r="G429" s="25">
        <f t="shared" si="48"/>
        <v>4353.3371860273264</v>
      </c>
      <c r="H429" s="25">
        <f t="shared" si="58"/>
        <v>5146501.6167588281</v>
      </c>
      <c r="I429" s="25">
        <f>G429/((1+'How much will I make'!$C$5/12)^(Calculations!$B$1*12-Calculations!$A429))</f>
        <v>3463.404836523674</v>
      </c>
      <c r="J429" s="25">
        <f t="shared" si="59"/>
        <v>1486887.6665310366</v>
      </c>
      <c r="K429" s="25">
        <f t="shared" si="49"/>
        <v>5461.6293734861702</v>
      </c>
      <c r="L429" s="25">
        <f t="shared" si="60"/>
        <v>21920344.149351399</v>
      </c>
      <c r="M429" s="25">
        <f>K429/((1+'How much will I make'!$C$5/12)^(Calculations!$B$1*12-Calculations!$A429))</f>
        <v>4345.1340383522102</v>
      </c>
      <c r="N429" s="25">
        <f t="shared" si="61"/>
        <v>5089053.9712329619</v>
      </c>
      <c r="O429" s="25">
        <f t="shared" si="50"/>
        <v>6845.6962673721628</v>
      </c>
      <c r="P429" s="25">
        <f t="shared" si="62"/>
        <v>107892775.99665445</v>
      </c>
      <c r="Q429" s="25">
        <f>O429/((1+'How much will I make'!$C$5/12)^(Calculations!$B$1*12-Calculations!$A429))</f>
        <v>5446.2626138603873</v>
      </c>
      <c r="R429" s="25">
        <f t="shared" si="63"/>
        <v>21506346.317528583</v>
      </c>
      <c r="S429" s="25">
        <f t="shared" si="51"/>
        <v>8572.5853496552863</v>
      </c>
      <c r="T429" s="25">
        <f t="shared" si="64"/>
        <v>579879703.5484556</v>
      </c>
      <c r="U429" s="25">
        <f>S429/((1+'How much will I make'!$C$5/12)^(Calculations!$B$1*12-Calculations!$A429))</f>
        <v>6820.1318420276712</v>
      </c>
      <c r="V429" s="25">
        <f t="shared" si="65"/>
        <v>104987590.11733733</v>
      </c>
      <c r="W429" s="25">
        <f t="shared" si="52"/>
        <v>10725.265908505806</v>
      </c>
      <c r="X429" s="25">
        <f t="shared" si="66"/>
        <v>3284267962.0782208</v>
      </c>
      <c r="Y429" s="25">
        <f>W429/((1+'How much will I make'!$C$5/12)^(Calculations!$B$1*12-Calculations!$A429))</f>
        <v>8532.7499876983602</v>
      </c>
      <c r="Z429" s="25">
        <f t="shared" si="67"/>
        <v>559647470.63925898</v>
      </c>
      <c r="AA429" s="25">
        <f t="shared" si="53"/>
        <v>13406.320784799473</v>
      </c>
      <c r="AB429" s="25">
        <f t="shared" si="68"/>
        <v>19204555416.389309</v>
      </c>
      <c r="AC429" s="25">
        <f>AA429/((1+'How much will I make'!$C$5/12)^(Calculations!$B$1*12-Calculations!$A429))</f>
        <v>10665.729361624251</v>
      </c>
      <c r="AD429" s="25">
        <f t="shared" si="69"/>
        <v>3144079241.2118011</v>
      </c>
      <c r="AE429" s="25">
        <f t="shared" si="54"/>
        <v>16742.473611038284</v>
      </c>
      <c r="AF429" s="25">
        <f t="shared" si="70"/>
        <v>114564476392.29384</v>
      </c>
      <c r="AG429" s="25">
        <f>AE429/((1+'How much will I make'!$C$5/12)^(Calculations!$B$1*12-Calculations!$A429))</f>
        <v>13319.888077118037</v>
      </c>
      <c r="AH429" s="25">
        <f t="shared" si="71"/>
        <v>18238356618.142021</v>
      </c>
    </row>
    <row r="430" spans="1:34" ht="15.75" customHeight="1">
      <c r="A430" s="22">
        <f t="shared" si="55"/>
        <v>426</v>
      </c>
      <c r="B430" s="22">
        <f t="shared" si="85"/>
        <v>2758.0076837961269</v>
      </c>
      <c r="C430" s="25">
        <f t="shared" si="47"/>
        <v>3452.3015114572731</v>
      </c>
      <c r="D430" s="25">
        <f t="shared" si="56"/>
        <v>1497223.7109274953</v>
      </c>
      <c r="E430" s="25">
        <f>$C430/((1+'How much will I make'!$C$5/12)^(Calculations!$B$1*12-Calculations!$A430))</f>
        <v>2758.0076837961269</v>
      </c>
      <c r="F430" s="25">
        <f t="shared" si="57"/>
        <v>558469.89021384739</v>
      </c>
      <c r="G430" s="25">
        <f t="shared" si="48"/>
        <v>4317.3591927543748</v>
      </c>
      <c r="H430" s="25">
        <f t="shared" si="58"/>
        <v>5150818.9759515822</v>
      </c>
      <c r="I430" s="25">
        <f>G430/((1+'How much will I make'!$C$5/12)^(Calculations!$B$1*12-Calculations!$A430))</f>
        <v>3449.0932462901073</v>
      </c>
      <c r="J430" s="25">
        <f t="shared" si="59"/>
        <v>1490336.7597773266</v>
      </c>
      <c r="K430" s="25">
        <f t="shared" si="49"/>
        <v>5394.2018503567115</v>
      </c>
      <c r="L430" s="25">
        <f t="shared" si="60"/>
        <v>21925738.351201758</v>
      </c>
      <c r="M430" s="25">
        <f>K430/((1+'How much will I make'!$C$5/12)^(Calculations!$B$1*12-Calculations!$A430))</f>
        <v>4309.3716182834696</v>
      </c>
      <c r="N430" s="25">
        <f t="shared" si="61"/>
        <v>5093363.3428512458</v>
      </c>
      <c r="O430" s="25">
        <f t="shared" si="50"/>
        <v>6733.4717383988518</v>
      </c>
      <c r="P430" s="25">
        <f t="shared" si="62"/>
        <v>107899509.46839285</v>
      </c>
      <c r="Q430" s="25">
        <f>O430/((1+'How much will I make'!$C$5/12)^(Calculations!$B$1*12-Calculations!$A430))</f>
        <v>5379.3003686080092</v>
      </c>
      <c r="R430" s="25">
        <f t="shared" si="63"/>
        <v>21511725.61789719</v>
      </c>
      <c r="S430" s="25">
        <f t="shared" si="51"/>
        <v>8397.6346282337527</v>
      </c>
      <c r="T430" s="25">
        <f t="shared" si="64"/>
        <v>579888101.18308377</v>
      </c>
      <c r="U430" s="25">
        <f>S430/((1+'How much will I make'!$C$5/12)^(Calculations!$B$1*12-Calculations!$A430))</f>
        <v>6708.7827507292641</v>
      </c>
      <c r="V430" s="25">
        <f t="shared" si="65"/>
        <v>104994298.90008806</v>
      </c>
      <c r="W430" s="25">
        <f t="shared" si="52"/>
        <v>10463.674057078835</v>
      </c>
      <c r="X430" s="25">
        <f t="shared" si="66"/>
        <v>3284278425.7522779</v>
      </c>
      <c r="Y430" s="25">
        <f>W430/((1+'How much will I make'!$C$5/12)^(Calculations!$B$1*12-Calculations!$A430))</f>
        <v>8359.320109899616</v>
      </c>
      <c r="Z430" s="25">
        <f t="shared" si="67"/>
        <v>559655829.95936882</v>
      </c>
      <c r="AA430" s="25">
        <f t="shared" si="53"/>
        <v>13026.384568226207</v>
      </c>
      <c r="AB430" s="25">
        <f t="shared" si="68"/>
        <v>19204568442.773876</v>
      </c>
      <c r="AC430" s="25">
        <f>AA430/((1+'How much will I make'!$C$5/12)^(Calculations!$B$1*12-Calculations!$A430))</f>
        <v>10406.642818426903</v>
      </c>
      <c r="AD430" s="25">
        <f t="shared" si="69"/>
        <v>3144089647.8546195</v>
      </c>
      <c r="AE430" s="25">
        <f t="shared" si="54"/>
        <v>16202.393817133823</v>
      </c>
      <c r="AF430" s="25">
        <f t="shared" si="70"/>
        <v>114564492594.68765</v>
      </c>
      <c r="AG430" s="25">
        <f>AE430/((1+'How much will I make'!$C$5/12)^(Calculations!$B$1*12-Calculations!$A430))</f>
        <v>12943.923494296161</v>
      </c>
      <c r="AH430" s="25">
        <f t="shared" si="71"/>
        <v>18238369562.065514</v>
      </c>
    </row>
    <row r="431" spans="1:34" ht="15.75" customHeight="1">
      <c r="A431" s="22">
        <f t="shared" si="55"/>
        <v>427</v>
      </c>
      <c r="B431" s="22">
        <f t="shared" si="85"/>
        <v>2758.0076837961269</v>
      </c>
      <c r="C431" s="25">
        <f t="shared" si="47"/>
        <v>3437.9766089201057</v>
      </c>
      <c r="D431" s="25">
        <f t="shared" si="56"/>
        <v>1500661.6875364154</v>
      </c>
      <c r="E431" s="25">
        <f>$C431/((1+'How much will I make'!$C$5/12)^(Calculations!$B$1*12-Calculations!$A431))</f>
        <v>2758.0076837961269</v>
      </c>
      <c r="F431" s="25">
        <f t="shared" si="57"/>
        <v>561227.8978976435</v>
      </c>
      <c r="G431" s="25">
        <f t="shared" si="48"/>
        <v>4281.6785382688004</v>
      </c>
      <c r="H431" s="25">
        <f t="shared" si="58"/>
        <v>5155100.6544898506</v>
      </c>
      <c r="I431" s="25">
        <f>G431/((1+'How much will I make'!$C$5/12)^(Calculations!$B$1*12-Calculations!$A431))</f>
        <v>3434.8407948591557</v>
      </c>
      <c r="J431" s="25">
        <f t="shared" si="59"/>
        <v>1493771.6005721858</v>
      </c>
      <c r="K431" s="25">
        <f t="shared" si="49"/>
        <v>5327.606765784406</v>
      </c>
      <c r="L431" s="25">
        <f t="shared" si="60"/>
        <v>21931065.957967542</v>
      </c>
      <c r="M431" s="25">
        <f>K431/((1+'How much will I make'!$C$5/12)^(Calculations!$B$1*12-Calculations!$A431))</f>
        <v>4273.9035391206426</v>
      </c>
      <c r="N431" s="25">
        <f t="shared" si="61"/>
        <v>5097637.246390366</v>
      </c>
      <c r="O431" s="25">
        <f t="shared" si="50"/>
        <v>6623.0869558021477</v>
      </c>
      <c r="P431" s="25">
        <f t="shared" si="62"/>
        <v>107906132.55534865</v>
      </c>
      <c r="Q431" s="25">
        <f>O431/((1+'How much will I make'!$C$5/12)^(Calculations!$B$1*12-Calculations!$A431))</f>
        <v>5313.1614296497128</v>
      </c>
      <c r="R431" s="25">
        <f t="shared" si="63"/>
        <v>21517038.779326841</v>
      </c>
      <c r="S431" s="25">
        <f t="shared" si="51"/>
        <v>8226.2543296983713</v>
      </c>
      <c r="T431" s="25">
        <f t="shared" si="64"/>
        <v>579896327.43741345</v>
      </c>
      <c r="U431" s="25">
        <f>S431/((1+'How much will I make'!$C$5/12)^(Calculations!$B$1*12-Calculations!$A431))</f>
        <v>6599.2516037785836</v>
      </c>
      <c r="V431" s="25">
        <f t="shared" si="65"/>
        <v>105000898.15169184</v>
      </c>
      <c r="W431" s="25">
        <f t="shared" si="52"/>
        <v>10208.462494711059</v>
      </c>
      <c r="X431" s="25">
        <f t="shared" si="66"/>
        <v>3284288634.2147727</v>
      </c>
      <c r="Y431" s="25">
        <f>W431/((1+'How much will I make'!$C$5/12)^(Calculations!$B$1*12-Calculations!$A431))</f>
        <v>8189.4152296171033</v>
      </c>
      <c r="Z431" s="25">
        <f t="shared" si="67"/>
        <v>559664019.37459838</v>
      </c>
      <c r="AA431" s="25">
        <f t="shared" si="53"/>
        <v>12657.215774794697</v>
      </c>
      <c r="AB431" s="25">
        <f t="shared" si="68"/>
        <v>19204581099.989651</v>
      </c>
      <c r="AC431" s="25">
        <f>AA431/((1+'How much will I make'!$C$5/12)^(Calculations!$B$1*12-Calculations!$A431))</f>
        <v>10153.849875469166</v>
      </c>
      <c r="AD431" s="25">
        <f t="shared" si="69"/>
        <v>3144099801.704495</v>
      </c>
      <c r="AE431" s="25">
        <f t="shared" si="54"/>
        <v>15679.735952064988</v>
      </c>
      <c r="AF431" s="25">
        <f t="shared" si="70"/>
        <v>114564508274.4236</v>
      </c>
      <c r="AG431" s="25">
        <f>AE431/((1+'How much will I make'!$C$5/12)^(Calculations!$B$1*12-Calculations!$A431))</f>
        <v>12578.570815021671</v>
      </c>
      <c r="AH431" s="25">
        <f t="shared" si="71"/>
        <v>18238382140.63633</v>
      </c>
    </row>
    <row r="432" spans="1:34" ht="15.75" customHeight="1">
      <c r="A432" s="22">
        <f t="shared" si="55"/>
        <v>428</v>
      </c>
      <c r="B432" s="22">
        <f t="shared" si="85"/>
        <v>2758.0076837961269</v>
      </c>
      <c r="C432" s="25">
        <f t="shared" si="47"/>
        <v>3423.7111458125542</v>
      </c>
      <c r="D432" s="25">
        <f t="shared" si="56"/>
        <v>1504085.3986822281</v>
      </c>
      <c r="E432" s="25">
        <f>$C432/((1+'How much will I make'!$C$5/12)^(Calculations!$B$1*12-Calculations!$A432))</f>
        <v>2758.0076837961269</v>
      </c>
      <c r="F432" s="25">
        <f t="shared" si="57"/>
        <v>563985.90558143961</v>
      </c>
      <c r="G432" s="25">
        <f t="shared" si="48"/>
        <v>4246.2927652252565</v>
      </c>
      <c r="H432" s="25">
        <f t="shared" si="58"/>
        <v>5159346.9472550759</v>
      </c>
      <c r="I432" s="25">
        <f>G432/((1+'How much will I make'!$C$5/12)^(Calculations!$B$1*12-Calculations!$A432))</f>
        <v>3420.647237855605</v>
      </c>
      <c r="J432" s="25">
        <f t="shared" si="59"/>
        <v>1497192.2478100415</v>
      </c>
      <c r="K432" s="25">
        <f t="shared" si="49"/>
        <v>5261.8338427500312</v>
      </c>
      <c r="L432" s="25">
        <f t="shared" si="60"/>
        <v>21936327.791810293</v>
      </c>
      <c r="M432" s="25">
        <f>K432/((1+'How much will I make'!$C$5/12)^(Calculations!$B$1*12-Calculations!$A432))</f>
        <v>4238.727378304834</v>
      </c>
      <c r="N432" s="25">
        <f t="shared" si="61"/>
        <v>5101875.973768671</v>
      </c>
      <c r="O432" s="25">
        <f t="shared" si="50"/>
        <v>6514.5117598053912</v>
      </c>
      <c r="P432" s="25">
        <f t="shared" si="62"/>
        <v>107912647.06710845</v>
      </c>
      <c r="Q432" s="25">
        <f>O432/((1+'How much will I make'!$C$5/12)^(Calculations!$B$1*12-Calculations!$A432))</f>
        <v>5247.8356743671338</v>
      </c>
      <c r="R432" s="25">
        <f t="shared" si="63"/>
        <v>21522286.615001209</v>
      </c>
      <c r="S432" s="25">
        <f t="shared" si="51"/>
        <v>8058.3715882759552</v>
      </c>
      <c r="T432" s="25">
        <f t="shared" si="64"/>
        <v>579904385.80900168</v>
      </c>
      <c r="U432" s="25">
        <f>S432/((1+'How much will I make'!$C$5/12)^(Calculations!$B$1*12-Calculations!$A432))</f>
        <v>6491.5087204515858</v>
      </c>
      <c r="V432" s="25">
        <f t="shared" si="65"/>
        <v>105007389.6604123</v>
      </c>
      <c r="W432" s="25">
        <f t="shared" si="52"/>
        <v>9959.4756045961567</v>
      </c>
      <c r="X432" s="25">
        <f t="shared" si="66"/>
        <v>3284298593.6903772</v>
      </c>
      <c r="Y432" s="25">
        <f>W432/((1+'How much will I make'!$C$5/12)^(Calculations!$B$1*12-Calculations!$A432))</f>
        <v>8022.9637005598452</v>
      </c>
      <c r="Z432" s="25">
        <f t="shared" si="67"/>
        <v>559672042.33829892</v>
      </c>
      <c r="AA432" s="25">
        <f t="shared" si="53"/>
        <v>12298.509254861247</v>
      </c>
      <c r="AB432" s="25">
        <f t="shared" si="68"/>
        <v>19204593398.498905</v>
      </c>
      <c r="AC432" s="25">
        <f>AA432/((1+'How much will I make'!$C$5/12)^(Calculations!$B$1*12-Calculations!$A432))</f>
        <v>9907.1976517735584</v>
      </c>
      <c r="AD432" s="25">
        <f t="shared" si="69"/>
        <v>3144109708.9021468</v>
      </c>
      <c r="AE432" s="25">
        <f t="shared" si="54"/>
        <v>15173.938018127405</v>
      </c>
      <c r="AF432" s="25">
        <f t="shared" si="70"/>
        <v>114564523448.36162</v>
      </c>
      <c r="AG432" s="25">
        <f>AE432/((1+'How much will I make'!$C$5/12)^(Calculations!$B$1*12-Calculations!$A432))</f>
        <v>12223.530509758959</v>
      </c>
      <c r="AH432" s="25">
        <f t="shared" si="71"/>
        <v>18238394364.16684</v>
      </c>
    </row>
    <row r="433" spans="1:34" ht="15.75" customHeight="1">
      <c r="A433" s="22">
        <f t="shared" si="55"/>
        <v>429</v>
      </c>
      <c r="B433" s="22">
        <f t="shared" si="85"/>
        <v>2758.0076837961269</v>
      </c>
      <c r="C433" s="25">
        <f t="shared" si="47"/>
        <v>3409.5048754979784</v>
      </c>
      <c r="D433" s="25">
        <f t="shared" si="56"/>
        <v>1507494.9035577259</v>
      </c>
      <c r="E433" s="25">
        <f>$C433/((1+'How much will I make'!$C$5/12)^(Calculations!$B$1*12-Calculations!$A433))</f>
        <v>2758.0076837961269</v>
      </c>
      <c r="F433" s="25">
        <f t="shared" si="57"/>
        <v>566743.91326523572</v>
      </c>
      <c r="G433" s="25">
        <f t="shared" si="48"/>
        <v>4211.1994365870323</v>
      </c>
      <c r="H433" s="25">
        <f t="shared" si="58"/>
        <v>5163558.1466916632</v>
      </c>
      <c r="I433" s="25">
        <f>G433/((1+'How much will I make'!$C$5/12)^(Calculations!$B$1*12-Calculations!$A433))</f>
        <v>3406.5123319140544</v>
      </c>
      <c r="J433" s="25">
        <f t="shared" si="59"/>
        <v>1500598.7601419557</v>
      </c>
      <c r="K433" s="25">
        <f t="shared" si="49"/>
        <v>5196.872931111142</v>
      </c>
      <c r="L433" s="25">
        <f t="shared" si="60"/>
        <v>21941524.664741404</v>
      </c>
      <c r="M433" s="25">
        <f>K433/((1+'How much will I make'!$C$5/12)^(Calculations!$B$1*12-Calculations!$A433))</f>
        <v>4203.8407332159068</v>
      </c>
      <c r="N433" s="25">
        <f t="shared" si="61"/>
        <v>5106079.8145018872</v>
      </c>
      <c r="O433" s="25">
        <f t="shared" si="50"/>
        <v>6407.7164850544823</v>
      </c>
      <c r="P433" s="25">
        <f t="shared" si="62"/>
        <v>107919054.78359351</v>
      </c>
      <c r="Q433" s="25">
        <f>O433/((1+'How much will I make'!$C$5/12)^(Calculations!$B$1*12-Calculations!$A433))</f>
        <v>5183.3131046003255</v>
      </c>
      <c r="R433" s="25">
        <f t="shared" si="63"/>
        <v>21527469.928105809</v>
      </c>
      <c r="S433" s="25">
        <f t="shared" si="51"/>
        <v>7893.9150252499167</v>
      </c>
      <c r="T433" s="25">
        <f t="shared" si="64"/>
        <v>579912279.72402692</v>
      </c>
      <c r="U433" s="25">
        <f>S433/((1+'How much will I make'!$C$5/12)^(Calculations!$B$1*12-Calculations!$A433))</f>
        <v>6385.5249046074805</v>
      </c>
      <c r="V433" s="25">
        <f t="shared" si="65"/>
        <v>105013775.18531691</v>
      </c>
      <c r="W433" s="25">
        <f t="shared" si="52"/>
        <v>9716.5615654596659</v>
      </c>
      <c r="X433" s="25">
        <f t="shared" si="66"/>
        <v>3284308310.2519426</v>
      </c>
      <c r="Y433" s="25">
        <f>W433/((1+'How much will I make'!$C$5/12)^(Calculations!$B$1*12-Calculations!$A433))</f>
        <v>7859.8953326622895</v>
      </c>
      <c r="Z433" s="25">
        <f t="shared" si="67"/>
        <v>559679902.23363161</v>
      </c>
      <c r="AA433" s="25">
        <f t="shared" si="53"/>
        <v>11949.968506747773</v>
      </c>
      <c r="AB433" s="25">
        <f t="shared" si="68"/>
        <v>19204605348.467411</v>
      </c>
      <c r="AC433" s="25">
        <f>AA433/((1+'How much will I make'!$C$5/12)^(Calculations!$B$1*12-Calculations!$A433))</f>
        <v>9666.536980070563</v>
      </c>
      <c r="AD433" s="25">
        <f t="shared" si="69"/>
        <v>3144119375.439127</v>
      </c>
      <c r="AE433" s="25">
        <f t="shared" si="54"/>
        <v>14684.456146574907</v>
      </c>
      <c r="AF433" s="25">
        <f t="shared" si="70"/>
        <v>114564538132.81776</v>
      </c>
      <c r="AG433" s="25">
        <f>AE433/((1+'How much will I make'!$C$5/12)^(Calculations!$B$1*12-Calculations!$A433))</f>
        <v>11878.511503435118</v>
      </c>
      <c r="AH433" s="25">
        <f t="shared" si="71"/>
        <v>18238406242.678345</v>
      </c>
    </row>
    <row r="434" spans="1:34" ht="15.75" customHeight="1">
      <c r="A434" s="22">
        <f t="shared" si="55"/>
        <v>430</v>
      </c>
      <c r="B434" s="22">
        <f t="shared" si="85"/>
        <v>2758.0076837961269</v>
      </c>
      <c r="C434" s="25">
        <f t="shared" si="47"/>
        <v>3395.3575523631316</v>
      </c>
      <c r="D434" s="25">
        <f t="shared" si="56"/>
        <v>1510890.261110089</v>
      </c>
      <c r="E434" s="25">
        <f>$C434/((1+'How much will I make'!$C$5/12)^(Calculations!$B$1*12-Calculations!$A434))</f>
        <v>2758.0076837961269</v>
      </c>
      <c r="F434" s="25">
        <f t="shared" si="57"/>
        <v>569501.92094903183</v>
      </c>
      <c r="G434" s="25">
        <f t="shared" si="48"/>
        <v>4176.3961354582143</v>
      </c>
      <c r="H434" s="25">
        <f t="shared" si="58"/>
        <v>5167734.542827121</v>
      </c>
      <c r="I434" s="25">
        <f>G434/((1+'How much will I make'!$C$5/12)^(Calculations!$B$1*12-Calculations!$A434))</f>
        <v>3392.4358346747408</v>
      </c>
      <c r="J434" s="25">
        <f t="shared" si="59"/>
        <v>1503991.1959766303</v>
      </c>
      <c r="K434" s="25">
        <f t="shared" si="49"/>
        <v>5132.7140060356969</v>
      </c>
      <c r="L434" s="25">
        <f t="shared" si="60"/>
        <v>21946657.378747441</v>
      </c>
      <c r="M434" s="25">
        <f>K434/((1+'How much will I make'!$C$5/12)^(Calculations!$B$1*12-Calculations!$A434))</f>
        <v>4169.2412210083694</v>
      </c>
      <c r="N434" s="25">
        <f t="shared" si="61"/>
        <v>5110249.055722896</v>
      </c>
      <c r="O434" s="25">
        <f t="shared" si="50"/>
        <v>6302.6719525126073</v>
      </c>
      <c r="P434" s="25">
        <f t="shared" si="62"/>
        <v>107925357.45554602</v>
      </c>
      <c r="Q434" s="25">
        <f>O434/((1+'How much will I make'!$C$5/12)^(Calculations!$B$1*12-Calculations!$A434))</f>
        <v>5119.5838451175359</v>
      </c>
      <c r="R434" s="25">
        <f t="shared" si="63"/>
        <v>21532589.511950925</v>
      </c>
      <c r="S434" s="25">
        <f t="shared" si="51"/>
        <v>7732.8147186121641</v>
      </c>
      <c r="T434" s="25">
        <f t="shared" si="64"/>
        <v>579920012.53874552</v>
      </c>
      <c r="U434" s="25">
        <f>S434/((1+'How much will I make'!$C$5/12)^(Calculations!$B$1*12-Calculations!$A434))</f>
        <v>6281.271436777155</v>
      </c>
      <c r="V434" s="25">
        <f t="shared" si="65"/>
        <v>105020056.45675369</v>
      </c>
      <c r="W434" s="25">
        <f t="shared" si="52"/>
        <v>9479.5722589850393</v>
      </c>
      <c r="X434" s="25">
        <f t="shared" si="66"/>
        <v>3284317789.8242016</v>
      </c>
      <c r="Y434" s="25">
        <f>W434/((1+'How much will I make'!$C$5/12)^(Calculations!$B$1*12-Calculations!$A434))</f>
        <v>7700.1413624862271</v>
      </c>
      <c r="Z434" s="25">
        <f t="shared" si="67"/>
        <v>559687602.37499404</v>
      </c>
      <c r="AA434" s="25">
        <f t="shared" si="53"/>
        <v>11611.305431657753</v>
      </c>
      <c r="AB434" s="25">
        <f t="shared" si="68"/>
        <v>19204616959.772842</v>
      </c>
      <c r="AC434" s="25">
        <f>AA434/((1+'How much will I make'!$C$5/12)^(Calculations!$B$1*12-Calculations!$A434))</f>
        <v>9431.7223165870655</v>
      </c>
      <c r="AD434" s="25">
        <f t="shared" si="69"/>
        <v>3144128807.1614437</v>
      </c>
      <c r="AE434" s="25">
        <f t="shared" si="54"/>
        <v>14210.764012814427</v>
      </c>
      <c r="AF434" s="25">
        <f t="shared" si="70"/>
        <v>114564552343.58177</v>
      </c>
      <c r="AG434" s="25">
        <f>AE434/((1+'How much will I make'!$C$5/12)^(Calculations!$B$1*12-Calculations!$A434))</f>
        <v>11543.230936805903</v>
      </c>
      <c r="AH434" s="25">
        <f t="shared" si="71"/>
        <v>18238417785.909283</v>
      </c>
    </row>
    <row r="435" spans="1:34" ht="15.75" customHeight="1">
      <c r="A435" s="22">
        <f t="shared" si="55"/>
        <v>431</v>
      </c>
      <c r="B435" s="22">
        <f t="shared" si="85"/>
        <v>2758.0076837961269</v>
      </c>
      <c r="C435" s="25">
        <f t="shared" si="47"/>
        <v>3381.2689318139073</v>
      </c>
      <c r="D435" s="25">
        <f t="shared" si="56"/>
        <v>1514271.530041903</v>
      </c>
      <c r="E435" s="25">
        <f>$C435/((1+'How much will I make'!$C$5/12)^(Calculations!$B$1*12-Calculations!$A435))</f>
        <v>2758.0076837961269</v>
      </c>
      <c r="F435" s="25">
        <f t="shared" si="57"/>
        <v>572259.92863282794</v>
      </c>
      <c r="G435" s="25">
        <f t="shared" si="48"/>
        <v>4141.8804649172371</v>
      </c>
      <c r="H435" s="25">
        <f t="shared" si="58"/>
        <v>5171876.423292038</v>
      </c>
      <c r="I435" s="25">
        <f>G435/((1+'How much will I make'!$C$5/12)^(Calculations!$B$1*12-Calculations!$A435))</f>
        <v>3378.4175047793897</v>
      </c>
      <c r="J435" s="25">
        <f t="shared" si="59"/>
        <v>1507369.6134814096</v>
      </c>
      <c r="K435" s="25">
        <f t="shared" si="49"/>
        <v>5069.3471664550079</v>
      </c>
      <c r="L435" s="25">
        <f t="shared" si="60"/>
        <v>21951726.725913897</v>
      </c>
      <c r="M435" s="25">
        <f>K435/((1+'How much will I make'!$C$5/12)^(Calculations!$B$1*12-Calculations!$A435))</f>
        <v>4134.9264784486286</v>
      </c>
      <c r="N435" s="25">
        <f t="shared" si="61"/>
        <v>5114383.9822013443</v>
      </c>
      <c r="O435" s="25">
        <f t="shared" si="50"/>
        <v>6199.34946148781</v>
      </c>
      <c r="P435" s="25">
        <f t="shared" si="62"/>
        <v>107931556.8050075</v>
      </c>
      <c r="Q435" s="25">
        <f>O435/((1+'How much will I make'!$C$5/12)^(Calculations!$B$1*12-Calculations!$A435))</f>
        <v>5056.638142103795</v>
      </c>
      <c r="R435" s="25">
        <f t="shared" si="63"/>
        <v>21537646.15009303</v>
      </c>
      <c r="S435" s="25">
        <f t="shared" si="51"/>
        <v>7575.0021733343656</v>
      </c>
      <c r="T435" s="25">
        <f t="shared" si="64"/>
        <v>579927587.54091883</v>
      </c>
      <c r="U435" s="25">
        <f>S435/((1+'How much will I make'!$C$5/12)^(Calculations!$B$1*12-Calculations!$A435))</f>
        <v>6178.7200663807935</v>
      </c>
      <c r="V435" s="25">
        <f t="shared" si="65"/>
        <v>105026235.17682007</v>
      </c>
      <c r="W435" s="25">
        <f t="shared" si="52"/>
        <v>9248.363179497599</v>
      </c>
      <c r="X435" s="25">
        <f t="shared" si="66"/>
        <v>3284327038.1873813</v>
      </c>
      <c r="Y435" s="25">
        <f>W435/((1+'How much will I make'!$C$5/12)^(Calculations!$B$1*12-Calculations!$A435))</f>
        <v>7543.6344242243113</v>
      </c>
      <c r="Z435" s="25">
        <f t="shared" si="67"/>
        <v>559695146.00941825</v>
      </c>
      <c r="AA435" s="25">
        <f t="shared" si="53"/>
        <v>11282.2400955379</v>
      </c>
      <c r="AB435" s="25">
        <f t="shared" si="68"/>
        <v>19204628242.012939</v>
      </c>
      <c r="AC435" s="25">
        <f>AA435/((1+'How much will I make'!$C$5/12)^(Calculations!$B$1*12-Calculations!$A435))</f>
        <v>9202.611653026248</v>
      </c>
      <c r="AD435" s="25">
        <f t="shared" si="69"/>
        <v>3144138009.7730966</v>
      </c>
      <c r="AE435" s="25">
        <f t="shared" si="54"/>
        <v>13752.352270465572</v>
      </c>
      <c r="AF435" s="25">
        <f t="shared" si="70"/>
        <v>114564566095.93404</v>
      </c>
      <c r="AG435" s="25">
        <f>AE435/((1+'How much will I make'!$C$5/12)^(Calculations!$B$1*12-Calculations!$A435))</f>
        <v>11217.413934557346</v>
      </c>
      <c r="AH435" s="25">
        <f t="shared" si="71"/>
        <v>18238429003.323215</v>
      </c>
    </row>
    <row r="436" spans="1:34" ht="15.75" customHeight="1">
      <c r="A436" s="22">
        <f t="shared" si="55"/>
        <v>432</v>
      </c>
      <c r="B436" s="22">
        <f t="shared" si="85"/>
        <v>2758.0076837961269</v>
      </c>
      <c r="C436" s="25">
        <f t="shared" si="47"/>
        <v>3367.2387702711112</v>
      </c>
      <c r="D436" s="25">
        <f t="shared" si="56"/>
        <v>1517638.7688121742</v>
      </c>
      <c r="E436" s="25">
        <f>$C436/((1+'How much will I make'!$C$5/12)^(Calculations!$B$1*12-Calculations!$A436))</f>
        <v>2758.0076837961269</v>
      </c>
      <c r="F436" s="25">
        <f t="shared" si="57"/>
        <v>575017.93631662405</v>
      </c>
      <c r="G436" s="25">
        <f t="shared" si="48"/>
        <v>4107.6500478518046</v>
      </c>
      <c r="H436" s="25">
        <f t="shared" si="58"/>
        <v>5175984.0733398898</v>
      </c>
      <c r="I436" s="25">
        <f>G436/((1+'How much will I make'!$C$5/12)^(Calculations!$B$1*12-Calculations!$A436))</f>
        <v>3364.4571018670777</v>
      </c>
      <c r="J436" s="25">
        <f t="shared" si="59"/>
        <v>1510734.0705832767</v>
      </c>
      <c r="K436" s="25">
        <f t="shared" si="49"/>
        <v>5006.7626335358109</v>
      </c>
      <c r="L436" s="25">
        <f t="shared" si="60"/>
        <v>21956733.488547433</v>
      </c>
      <c r="M436" s="25">
        <f>K436/((1+'How much will I make'!$C$5/12)^(Calculations!$B$1*12-Calculations!$A436))</f>
        <v>4100.8941617535784</v>
      </c>
      <c r="N436" s="25">
        <f t="shared" si="61"/>
        <v>5118484.8763630977</v>
      </c>
      <c r="O436" s="25">
        <f t="shared" si="50"/>
        <v>6097.7207817912886</v>
      </c>
      <c r="P436" s="25">
        <f t="shared" si="62"/>
        <v>107937654.52578929</v>
      </c>
      <c r="Q436" s="25">
        <f>O436/((1+'How much will I make'!$C$5/12)^(Calculations!$B$1*12-Calculations!$A436))</f>
        <v>4994.4663616680928</v>
      </c>
      <c r="R436" s="25">
        <f t="shared" si="63"/>
        <v>21542640.616454698</v>
      </c>
      <c r="S436" s="25">
        <f t="shared" si="51"/>
        <v>7420.4102922459097</v>
      </c>
      <c r="T436" s="25">
        <f t="shared" si="64"/>
        <v>579935007.95121109</v>
      </c>
      <c r="U436" s="25">
        <f>S436/((1+'How much will I make'!$C$5/12)^(Calculations!$B$1*12-Calculations!$A436))</f>
        <v>6077.8430040725361</v>
      </c>
      <c r="V436" s="25">
        <f t="shared" si="65"/>
        <v>105032313.01982415</v>
      </c>
      <c r="W436" s="25">
        <f t="shared" si="52"/>
        <v>9022.7933458513162</v>
      </c>
      <c r="X436" s="25">
        <f t="shared" si="66"/>
        <v>3284336060.9807272</v>
      </c>
      <c r="Y436" s="25">
        <f>W436/((1+'How much will I make'!$C$5/12)^(Calculations!$B$1*12-Calculations!$A436))</f>
        <v>7390.3085212929227</v>
      </c>
      <c r="Z436" s="25">
        <f t="shared" si="67"/>
        <v>559702536.31793952</v>
      </c>
      <c r="AA436" s="25">
        <f t="shared" si="53"/>
        <v>10962.500497688648</v>
      </c>
      <c r="AB436" s="25">
        <f t="shared" si="68"/>
        <v>19204639204.513435</v>
      </c>
      <c r="AC436" s="25">
        <f>AA436/((1+'How much will I make'!$C$5/12)^(Calculations!$B$1*12-Calculations!$A436))</f>
        <v>8979.0664306855288</v>
      </c>
      <c r="AD436" s="25">
        <f t="shared" si="69"/>
        <v>3144146988.8395271</v>
      </c>
      <c r="AE436" s="25">
        <f t="shared" si="54"/>
        <v>13308.728003676357</v>
      </c>
      <c r="AF436" s="25">
        <f t="shared" si="70"/>
        <v>114564579404.66203</v>
      </c>
      <c r="AG436" s="25">
        <f>AE436/((1+'How much will I make'!$C$5/12)^(Calculations!$B$1*12-Calculations!$A436))</f>
        <v>10900.793379952902</v>
      </c>
      <c r="AH436" s="25">
        <f t="shared" si="71"/>
        <v>18238439904.116596</v>
      </c>
    </row>
    <row r="437" spans="1:34" ht="15.75" customHeight="1">
      <c r="A437" s="22">
        <f t="shared" si="55"/>
        <v>433</v>
      </c>
      <c r="B437" s="22">
        <f>B436*(1+'How much will I make'!$C$4)</f>
        <v>2895.9080679859335</v>
      </c>
      <c r="C437" s="25">
        <f t="shared" si="47"/>
        <v>3520.930166424565</v>
      </c>
      <c r="D437" s="25">
        <f t="shared" si="56"/>
        <v>1521159.6989785987</v>
      </c>
      <c r="E437" s="25">
        <f>$C437/((1+'How much will I make'!$C$5/12)^(Calculations!$B$1*12-Calculations!$A437))</f>
        <v>2895.9080679859335</v>
      </c>
      <c r="F437" s="25">
        <f t="shared" si="57"/>
        <v>577913.84438460995</v>
      </c>
      <c r="G437" s="25">
        <f t="shared" si="48"/>
        <v>4277.3876531349379</v>
      </c>
      <c r="H437" s="25">
        <f t="shared" si="58"/>
        <v>5180261.4609930245</v>
      </c>
      <c r="I437" s="25">
        <f>G437/((1+'How much will I make'!$C$5/12)^(Calculations!$B$1*12-Calculations!$A437))</f>
        <v>3518.0821058986116</v>
      </c>
      <c r="J437" s="25">
        <f t="shared" si="59"/>
        <v>1514252.1526891752</v>
      </c>
      <c r="K437" s="25">
        <f t="shared" si="49"/>
        <v>5192.1982866297294</v>
      </c>
      <c r="L437" s="25">
        <f t="shared" si="60"/>
        <v>21961925.686834063</v>
      </c>
      <c r="M437" s="25">
        <f>K437/((1+'How much will I make'!$C$5/12)^(Calculations!$B$1*12-Calculations!$A437))</f>
        <v>4270.4990437520282</v>
      </c>
      <c r="N437" s="25">
        <f t="shared" si="61"/>
        <v>5122755.3754068501</v>
      </c>
      <c r="O437" s="25">
        <f t="shared" si="50"/>
        <v>6297.6460533254294</v>
      </c>
      <c r="P437" s="25">
        <f t="shared" si="62"/>
        <v>107943952.17184262</v>
      </c>
      <c r="Q437" s="25">
        <f>O437/((1+'How much will I make'!$C$5/12)^(Calculations!$B$1*12-Calculations!$A437))</f>
        <v>5179.7119377873396</v>
      </c>
      <c r="R437" s="25">
        <f t="shared" si="63"/>
        <v>21547820.328392487</v>
      </c>
      <c r="S437" s="25">
        <f t="shared" si="51"/>
        <v>7632.4220148815084</v>
      </c>
      <c r="T437" s="25">
        <f t="shared" si="64"/>
        <v>579942640.37322593</v>
      </c>
      <c r="U437" s="25">
        <f>S437/((1+'How much will I make'!$C$5/12)^(Calculations!$B$1*12-Calculations!$A437))</f>
        <v>6277.5435599206339</v>
      </c>
      <c r="V437" s="25">
        <f t="shared" si="65"/>
        <v>105038590.56338407</v>
      </c>
      <c r="W437" s="25">
        <f t="shared" si="52"/>
        <v>9242.8614762379366</v>
      </c>
      <c r="X437" s="25">
        <f t="shared" si="66"/>
        <v>3284345303.8422036</v>
      </c>
      <c r="Y437" s="25">
        <f>W437/((1+'How much will I make'!$C$5/12)^(Calculations!$B$1*12-Calculations!$A437))</f>
        <v>7602.1039484275379</v>
      </c>
      <c r="Z437" s="25">
        <f t="shared" si="67"/>
        <v>559710138.42188799</v>
      </c>
      <c r="AA437" s="25">
        <f t="shared" si="53"/>
        <v>11184.413463228908</v>
      </c>
      <c r="AB437" s="25">
        <f t="shared" si="68"/>
        <v>19204650388.926899</v>
      </c>
      <c r="AC437" s="25">
        <f>AA437/((1+'How much will I make'!$C$5/12)^(Calculations!$B$1*12-Calculations!$A437))</f>
        <v>9198.9990294938198</v>
      </c>
      <c r="AD437" s="25">
        <f t="shared" si="69"/>
        <v>3144156187.8385568</v>
      </c>
      <c r="AE437" s="25">
        <f t="shared" si="54"/>
        <v>13523.384906961457</v>
      </c>
      <c r="AF437" s="25">
        <f t="shared" si="70"/>
        <v>114564592928.04694</v>
      </c>
      <c r="AG437" s="25">
        <f>AE437/((1+'How much will I make'!$C$5/12)^(Calculations!$B$1*12-Calculations!$A437))</f>
        <v>11122.765180633392</v>
      </c>
      <c r="AH437" s="25">
        <f t="shared" si="71"/>
        <v>18238451026.881779</v>
      </c>
    </row>
    <row r="438" spans="1:34" ht="15.75" customHeight="1">
      <c r="A438" s="22">
        <f t="shared" si="55"/>
        <v>434</v>
      </c>
      <c r="B438" s="22">
        <f t="shared" ref="B438:B448" si="86">B437</f>
        <v>2895.9080679859335</v>
      </c>
      <c r="C438" s="25">
        <f t="shared" si="47"/>
        <v>3506.320497684213</v>
      </c>
      <c r="D438" s="25">
        <f t="shared" si="56"/>
        <v>1524666.0194762829</v>
      </c>
      <c r="E438" s="25">
        <f>$C438/((1+'How much will I make'!$C$5/12)^(Calculations!$B$1*12-Calculations!$A438))</f>
        <v>2895.9080679859335</v>
      </c>
      <c r="F438" s="25">
        <f t="shared" si="57"/>
        <v>580809.75245259586</v>
      </c>
      <c r="G438" s="25">
        <f t="shared" si="48"/>
        <v>4242.0373419520047</v>
      </c>
      <c r="H438" s="25">
        <f t="shared" si="58"/>
        <v>5184503.4983349768</v>
      </c>
      <c r="I438" s="25">
        <f>G438/((1+'How much will I make'!$C$5/12)^(Calculations!$B$1*12-Calculations!$A438))</f>
        <v>3503.5445765353957</v>
      </c>
      <c r="J438" s="25">
        <f t="shared" si="59"/>
        <v>1517755.6972657107</v>
      </c>
      <c r="K438" s="25">
        <f t="shared" si="49"/>
        <v>5128.0970732145488</v>
      </c>
      <c r="L438" s="25">
        <f t="shared" si="60"/>
        <v>21967053.783907279</v>
      </c>
      <c r="M438" s="25">
        <f>K438/((1+'How much will I make'!$C$5/12)^(Calculations!$B$1*12-Calculations!$A438))</f>
        <v>4235.3509034742356</v>
      </c>
      <c r="N438" s="25">
        <f t="shared" si="61"/>
        <v>5126990.7263103239</v>
      </c>
      <c r="O438" s="25">
        <f t="shared" si="50"/>
        <v>6194.4059540905891</v>
      </c>
      <c r="P438" s="25">
        <f t="shared" si="62"/>
        <v>107950146.57779671</v>
      </c>
      <c r="Q438" s="25">
        <f>O438/((1+'How much will I make'!$C$5/12)^(Calculations!$B$1*12-Calculations!$A438))</f>
        <v>5116.0269549456953</v>
      </c>
      <c r="R438" s="25">
        <f t="shared" si="63"/>
        <v>21552936.355347432</v>
      </c>
      <c r="S438" s="25">
        <f t="shared" si="51"/>
        <v>7476.6583002920916</v>
      </c>
      <c r="T438" s="25">
        <f t="shared" si="64"/>
        <v>579950117.03152621</v>
      </c>
      <c r="U438" s="25">
        <f>S438/((1+'How much will I make'!$C$5/12)^(Calculations!$B$1*12-Calculations!$A438))</f>
        <v>6175.0530528198924</v>
      </c>
      <c r="V438" s="25">
        <f t="shared" si="65"/>
        <v>105044765.61643688</v>
      </c>
      <c r="W438" s="25">
        <f t="shared" si="52"/>
        <v>9017.4258304760333</v>
      </c>
      <c r="X438" s="25">
        <f t="shared" si="66"/>
        <v>3284354321.268034</v>
      </c>
      <c r="Y438" s="25">
        <f>W438/((1+'How much will I make'!$C$5/12)^(Calculations!$B$1*12-Calculations!$A438))</f>
        <v>7447.5896405326703</v>
      </c>
      <c r="Z438" s="25">
        <f t="shared" si="67"/>
        <v>559717586.01152849</v>
      </c>
      <c r="AA438" s="25">
        <f t="shared" si="53"/>
        <v>10867.446280060478</v>
      </c>
      <c r="AB438" s="25">
        <f t="shared" si="68"/>
        <v>19204661256.37318</v>
      </c>
      <c r="AC438" s="25">
        <f>AA438/((1+'How much will I make'!$C$5/12)^(Calculations!$B$1*12-Calculations!$A438))</f>
        <v>8975.5415631903306</v>
      </c>
      <c r="AD438" s="25">
        <f t="shared" si="69"/>
        <v>3144165163.3801198</v>
      </c>
      <c r="AE438" s="25">
        <f t="shared" si="54"/>
        <v>13087.146684156249</v>
      </c>
      <c r="AF438" s="25">
        <f t="shared" si="70"/>
        <v>114564606015.19362</v>
      </c>
      <c r="AG438" s="25">
        <f>AE438/((1+'How much will I make'!$C$5/12)^(Calculations!$B$1*12-Calculations!$A438))</f>
        <v>10808.816163438098</v>
      </c>
      <c r="AH438" s="25">
        <f t="shared" si="71"/>
        <v>18238461835.697941</v>
      </c>
    </row>
    <row r="439" spans="1:34" ht="15.75" customHeight="1">
      <c r="A439" s="22">
        <f t="shared" si="55"/>
        <v>435</v>
      </c>
      <c r="B439" s="22">
        <f t="shared" si="86"/>
        <v>2895.9080679859335</v>
      </c>
      <c r="C439" s="25">
        <f t="shared" si="47"/>
        <v>3491.7714499759795</v>
      </c>
      <c r="D439" s="25">
        <f t="shared" si="56"/>
        <v>1528157.7909262588</v>
      </c>
      <c r="E439" s="25">
        <f>$C439/((1+'How much will I make'!$C$5/12)^(Calculations!$B$1*12-Calculations!$A439))</f>
        <v>2895.9080679859335</v>
      </c>
      <c r="F439" s="25">
        <f t="shared" si="57"/>
        <v>583705.66052058176</v>
      </c>
      <c r="G439" s="25">
        <f t="shared" si="48"/>
        <v>4206.9791821011613</v>
      </c>
      <c r="H439" s="25">
        <f t="shared" si="58"/>
        <v>5188710.4775170777</v>
      </c>
      <c r="I439" s="25">
        <f>G439/((1+'How much will I make'!$C$5/12)^(Calculations!$B$1*12-Calculations!$A439))</f>
        <v>3489.0671196075632</v>
      </c>
      <c r="J439" s="25">
        <f t="shared" si="59"/>
        <v>1521244.7643853182</v>
      </c>
      <c r="K439" s="25">
        <f t="shared" si="49"/>
        <v>5064.7872328044914</v>
      </c>
      <c r="L439" s="25">
        <f t="shared" si="60"/>
        <v>21972118.571140084</v>
      </c>
      <c r="M439" s="25">
        <f>K439/((1+'How much will I make'!$C$5/12)^(Calculations!$B$1*12-Calculations!$A439))</f>
        <v>4200.4920483016076</v>
      </c>
      <c r="N439" s="25">
        <f t="shared" si="61"/>
        <v>5131191.2183586257</v>
      </c>
      <c r="O439" s="25">
        <f t="shared" si="50"/>
        <v>6092.8583154989401</v>
      </c>
      <c r="P439" s="25">
        <f t="shared" si="62"/>
        <v>107956239.43611221</v>
      </c>
      <c r="Q439" s="25">
        <f>O439/((1+'How much will I make'!$C$5/12)^(Calculations!$B$1*12-Calculations!$A439))</f>
        <v>5053.1249841881672</v>
      </c>
      <c r="R439" s="25">
        <f t="shared" si="63"/>
        <v>21557989.480331622</v>
      </c>
      <c r="S439" s="25">
        <f t="shared" si="51"/>
        <v>7324.0734370208265</v>
      </c>
      <c r="T439" s="25">
        <f t="shared" si="64"/>
        <v>579957441.10496318</v>
      </c>
      <c r="U439" s="25">
        <f>S439/((1+'How much will I make'!$C$5/12)^(Calculations!$B$1*12-Calculations!$A439))</f>
        <v>6074.2358601207943</v>
      </c>
      <c r="V439" s="25">
        <f t="shared" si="65"/>
        <v>105050839.85229701</v>
      </c>
      <c r="W439" s="25">
        <f t="shared" si="52"/>
        <v>8797.4886150985712</v>
      </c>
      <c r="X439" s="25">
        <f t="shared" si="66"/>
        <v>3284363118.756649</v>
      </c>
      <c r="Y439" s="25">
        <f>W439/((1+'How much will I make'!$C$5/12)^(Calculations!$B$1*12-Calculations!$A439))</f>
        <v>7296.215867351114</v>
      </c>
      <c r="Z439" s="25">
        <f t="shared" si="67"/>
        <v>559724882.22739589</v>
      </c>
      <c r="AA439" s="25">
        <f t="shared" si="53"/>
        <v>10559.461972528399</v>
      </c>
      <c r="AB439" s="25">
        <f t="shared" si="68"/>
        <v>19204671815.835152</v>
      </c>
      <c r="AC439" s="25">
        <f>AA439/((1+'How much will I make'!$C$5/12)^(Calculations!$B$1*12-Calculations!$A439))</f>
        <v>8757.5122134772046</v>
      </c>
      <c r="AD439" s="25">
        <f t="shared" si="69"/>
        <v>3144173920.8923335</v>
      </c>
      <c r="AE439" s="25">
        <f t="shared" si="54"/>
        <v>12664.980662086695</v>
      </c>
      <c r="AF439" s="25">
        <f t="shared" si="70"/>
        <v>114564618680.17429</v>
      </c>
      <c r="AG439" s="25">
        <f>AE439/((1+'How much will I make'!$C$5/12)^(Calculations!$B$1*12-Calculations!$A439))</f>
        <v>10503.728610437831</v>
      </c>
      <c r="AH439" s="25">
        <f t="shared" si="71"/>
        <v>18238472339.426552</v>
      </c>
    </row>
    <row r="440" spans="1:34" ht="15.75" customHeight="1">
      <c r="A440" s="22">
        <f t="shared" si="55"/>
        <v>436</v>
      </c>
      <c r="B440" s="22">
        <f t="shared" si="86"/>
        <v>2895.9080679859335</v>
      </c>
      <c r="C440" s="25">
        <f t="shared" si="47"/>
        <v>3477.2827717603122</v>
      </c>
      <c r="D440" s="25">
        <f t="shared" si="56"/>
        <v>1531635.0736980191</v>
      </c>
      <c r="E440" s="25">
        <f>$C440/((1+'How much will I make'!$C$5/12)^(Calculations!$B$1*12-Calculations!$A440))</f>
        <v>2895.9080679859335</v>
      </c>
      <c r="F440" s="25">
        <f t="shared" si="57"/>
        <v>586601.56858856766</v>
      </c>
      <c r="G440" s="25">
        <f t="shared" si="48"/>
        <v>4172.2107591085905</v>
      </c>
      <c r="H440" s="25">
        <f t="shared" si="58"/>
        <v>5192882.6882761866</v>
      </c>
      <c r="I440" s="25">
        <f>G440/((1+'How much will I make'!$C$5/12)^(Calculations!$B$1*12-Calculations!$A440))</f>
        <v>3474.6494868819123</v>
      </c>
      <c r="J440" s="25">
        <f t="shared" si="59"/>
        <v>1524719.4138722001</v>
      </c>
      <c r="K440" s="25">
        <f t="shared" si="49"/>
        <v>5002.258995362462</v>
      </c>
      <c r="L440" s="25">
        <f t="shared" si="60"/>
        <v>21977120.830135446</v>
      </c>
      <c r="M440" s="25">
        <f>K440/((1+'How much will I make'!$C$5/12)^(Calculations!$B$1*12-Calculations!$A440))</f>
        <v>4165.9200972867802</v>
      </c>
      <c r="N440" s="25">
        <f t="shared" si="61"/>
        <v>5135357.1384559125</v>
      </c>
      <c r="O440" s="25">
        <f t="shared" si="50"/>
        <v>5992.975392294039</v>
      </c>
      <c r="P440" s="25">
        <f t="shared" si="62"/>
        <v>107962232.41150451</v>
      </c>
      <c r="Q440" s="25">
        <f>O440/((1+'How much will I make'!$C$5/12)^(Calculations!$B$1*12-Calculations!$A440))</f>
        <v>4990.9963983169991</v>
      </c>
      <c r="R440" s="25">
        <f t="shared" si="63"/>
        <v>21562980.476729941</v>
      </c>
      <c r="S440" s="25">
        <f t="shared" si="51"/>
        <v>7174.6025505510115</v>
      </c>
      <c r="T440" s="25">
        <f t="shared" si="64"/>
        <v>579964615.70751369</v>
      </c>
      <c r="U440" s="25">
        <f>S440/((1+'How much will I make'!$C$5/12)^(Calculations!$B$1*12-Calculations!$A440))</f>
        <v>5975.064662404533</v>
      </c>
      <c r="V440" s="25">
        <f t="shared" si="65"/>
        <v>105056814.91695942</v>
      </c>
      <c r="W440" s="25">
        <f t="shared" si="52"/>
        <v>8582.9157220473862</v>
      </c>
      <c r="X440" s="25">
        <f t="shared" si="66"/>
        <v>3284371701.6723709</v>
      </c>
      <c r="Y440" s="25">
        <f>W440/((1+'How much will I make'!$C$5/12)^(Calculations!$B$1*12-Calculations!$A440))</f>
        <v>7147.9187968764963</v>
      </c>
      <c r="Z440" s="25">
        <f t="shared" si="67"/>
        <v>559732030.14619279</v>
      </c>
      <c r="AA440" s="25">
        <f t="shared" si="53"/>
        <v>10260.205965209783</v>
      </c>
      <c r="AB440" s="25">
        <f t="shared" si="68"/>
        <v>19204682076.041119</v>
      </c>
      <c r="AC440" s="25">
        <f>AA440/((1+'How much will I make'!$C$5/12)^(Calculations!$B$1*12-Calculations!$A440))</f>
        <v>8544.7791232712807</v>
      </c>
      <c r="AD440" s="25">
        <f t="shared" si="69"/>
        <v>3144182465.6714568</v>
      </c>
      <c r="AE440" s="25">
        <f t="shared" si="54"/>
        <v>12256.432898793573</v>
      </c>
      <c r="AF440" s="25">
        <f t="shared" si="70"/>
        <v>114564630936.60718</v>
      </c>
      <c r="AG440" s="25">
        <f>AE440/((1+'How much will I make'!$C$5/12)^(Calculations!$B$1*12-Calculations!$A440))</f>
        <v>10207.252399659341</v>
      </c>
      <c r="AH440" s="25">
        <f t="shared" si="71"/>
        <v>18238482546.678951</v>
      </c>
    </row>
    <row r="441" spans="1:34" ht="15.75" customHeight="1">
      <c r="A441" s="22">
        <f t="shared" si="55"/>
        <v>437</v>
      </c>
      <c r="B441" s="22">
        <f t="shared" si="86"/>
        <v>2895.9080679859335</v>
      </c>
      <c r="C441" s="25">
        <f t="shared" si="47"/>
        <v>3462.8542125413896</v>
      </c>
      <c r="D441" s="25">
        <f t="shared" si="56"/>
        <v>1535097.9279105605</v>
      </c>
      <c r="E441" s="25">
        <f>$C441/((1+'How much will I make'!$C$5/12)^(Calculations!$B$1*12-Calculations!$A441))</f>
        <v>2895.9080679859335</v>
      </c>
      <c r="F441" s="25">
        <f t="shared" si="57"/>
        <v>589497.47665655357</v>
      </c>
      <c r="G441" s="25">
        <f t="shared" si="48"/>
        <v>4137.7296784548007</v>
      </c>
      <c r="H441" s="25">
        <f t="shared" si="58"/>
        <v>5197020.4179546414</v>
      </c>
      <c r="I441" s="25">
        <f>G441/((1+'How much will I make'!$C$5/12)^(Calculations!$B$1*12-Calculations!$A441))</f>
        <v>3460.2914311509958</v>
      </c>
      <c r="J441" s="25">
        <f t="shared" si="59"/>
        <v>1528179.7053033512</v>
      </c>
      <c r="K441" s="25">
        <f t="shared" si="49"/>
        <v>4940.5027114690974</v>
      </c>
      <c r="L441" s="25">
        <f t="shared" si="60"/>
        <v>21982061.332846913</v>
      </c>
      <c r="M441" s="25">
        <f>K441/((1+'How much will I make'!$C$5/12)^(Calculations!$B$1*12-Calculations!$A441))</f>
        <v>4131.6326890786577</v>
      </c>
      <c r="N441" s="25">
        <f t="shared" si="61"/>
        <v>5139488.7711449908</v>
      </c>
      <c r="O441" s="25">
        <f t="shared" si="50"/>
        <v>5894.7298940597102</v>
      </c>
      <c r="P441" s="25">
        <f t="shared" si="62"/>
        <v>107968127.14139856</v>
      </c>
      <c r="Q441" s="25">
        <f>O441/((1+'How much will I make'!$C$5/12)^(Calculations!$B$1*12-Calculations!$A441))</f>
        <v>4929.6316885016267</v>
      </c>
      <c r="R441" s="25">
        <f t="shared" si="63"/>
        <v>21567910.108418442</v>
      </c>
      <c r="S441" s="25">
        <f t="shared" si="51"/>
        <v>7028.1820903356866</v>
      </c>
      <c r="T441" s="25">
        <f t="shared" si="64"/>
        <v>579971643.88960397</v>
      </c>
      <c r="U441" s="25">
        <f>S441/((1+'How much will I make'!$C$5/12)^(Calculations!$B$1*12-Calculations!$A441))</f>
        <v>5877.5125862836449</v>
      </c>
      <c r="V441" s="25">
        <f t="shared" si="65"/>
        <v>105062692.4295457</v>
      </c>
      <c r="W441" s="25">
        <f t="shared" si="52"/>
        <v>8373.5763141925745</v>
      </c>
      <c r="X441" s="25">
        <f t="shared" si="66"/>
        <v>3284380075.2486849</v>
      </c>
      <c r="Y441" s="25">
        <f>W441/((1+'How much will I make'!$C$5/12)^(Calculations!$B$1*12-Calculations!$A441))</f>
        <v>7002.6358945009606</v>
      </c>
      <c r="Z441" s="25">
        <f t="shared" si="67"/>
        <v>559739032.78208733</v>
      </c>
      <c r="AA441" s="25">
        <f t="shared" si="53"/>
        <v>9969.4308973698335</v>
      </c>
      <c r="AB441" s="25">
        <f t="shared" si="68"/>
        <v>19204692045.472015</v>
      </c>
      <c r="AC441" s="25">
        <f>AA441/((1+'How much will I make'!$C$5/12)^(Calculations!$B$1*12-Calculations!$A441))</f>
        <v>8337.2136384954647</v>
      </c>
      <c r="AD441" s="25">
        <f t="shared" si="69"/>
        <v>3144190802.8850951</v>
      </c>
      <c r="AE441" s="25">
        <f t="shared" si="54"/>
        <v>11861.06409560668</v>
      </c>
      <c r="AF441" s="25">
        <f t="shared" si="70"/>
        <v>114564642797.67128</v>
      </c>
      <c r="AG441" s="25">
        <f>AE441/((1+'How much will I make'!$C$5/12)^(Calculations!$B$1*12-Calculations!$A441))</f>
        <v>9919.1444690237931</v>
      </c>
      <c r="AH441" s="25">
        <f t="shared" si="71"/>
        <v>18238492465.823421</v>
      </c>
    </row>
    <row r="442" spans="1:34" ht="15.75" customHeight="1">
      <c r="A442" s="22">
        <f t="shared" si="55"/>
        <v>438</v>
      </c>
      <c r="B442" s="22">
        <f t="shared" si="86"/>
        <v>2895.9080679859335</v>
      </c>
      <c r="C442" s="25">
        <f t="shared" si="47"/>
        <v>3448.4855228627953</v>
      </c>
      <c r="D442" s="25">
        <f t="shared" si="56"/>
        <v>1538546.4134334233</v>
      </c>
      <c r="E442" s="25">
        <f>$C442/((1+'How much will I make'!$C$5/12)^(Calculations!$B$1*12-Calculations!$A442))</f>
        <v>2895.9080679859335</v>
      </c>
      <c r="F442" s="25">
        <f t="shared" si="57"/>
        <v>592393.38472453947</v>
      </c>
      <c r="G442" s="25">
        <f t="shared" si="48"/>
        <v>4103.5335654097198</v>
      </c>
      <c r="H442" s="25">
        <f t="shared" si="58"/>
        <v>5201123.9515200509</v>
      </c>
      <c r="I442" s="25">
        <f>G442/((1+'How much will I make'!$C$5/12)^(Calculations!$B$1*12-Calculations!$A442))</f>
        <v>3445.9927062288839</v>
      </c>
      <c r="J442" s="25">
        <f t="shared" si="59"/>
        <v>1531625.6980095801</v>
      </c>
      <c r="K442" s="25">
        <f t="shared" si="49"/>
        <v>4879.5088508336776</v>
      </c>
      <c r="L442" s="25">
        <f t="shared" si="60"/>
        <v>21986940.841697749</v>
      </c>
      <c r="M442" s="25">
        <f>K442/((1+'How much will I make'!$C$5/12)^(Calculations!$B$1*12-Calculations!$A442))</f>
        <v>4097.6274817611384</v>
      </c>
      <c r="N442" s="25">
        <f t="shared" si="61"/>
        <v>5143586.3986267522</v>
      </c>
      <c r="O442" s="25">
        <f t="shared" si="50"/>
        <v>5798.0949777636506</v>
      </c>
      <c r="P442" s="25">
        <f t="shared" si="62"/>
        <v>107973925.23637633</v>
      </c>
      <c r="Q442" s="25">
        <f>O442/((1+'How much will I make'!$C$5/12)^(Calculations!$B$1*12-Calculations!$A442))</f>
        <v>4869.021462823328</v>
      </c>
      <c r="R442" s="25">
        <f t="shared" si="63"/>
        <v>21572779.129881267</v>
      </c>
      <c r="S442" s="25">
        <f t="shared" si="51"/>
        <v>6884.7498027778174</v>
      </c>
      <c r="T442" s="25">
        <f t="shared" si="64"/>
        <v>579978528.6394068</v>
      </c>
      <c r="U442" s="25">
        <f>S442/((1+'How much will I make'!$C$5/12)^(Calculations!$B$1*12-Calculations!$A442))</f>
        <v>5781.5531971198307</v>
      </c>
      <c r="V442" s="25">
        <f t="shared" si="65"/>
        <v>105068473.98274282</v>
      </c>
      <c r="W442" s="25">
        <f t="shared" si="52"/>
        <v>8169.3427455537303</v>
      </c>
      <c r="X442" s="25">
        <f t="shared" si="66"/>
        <v>3284388244.5914307</v>
      </c>
      <c r="Y442" s="25">
        <f>W442/((1+'How much will I make'!$C$5/12)^(Calculations!$B$1*12-Calculations!$A442))</f>
        <v>6860.3058966452481</v>
      </c>
      <c r="Z442" s="25">
        <f t="shared" si="67"/>
        <v>559745893.08798397</v>
      </c>
      <c r="AA442" s="25">
        <f t="shared" si="53"/>
        <v>9686.8964184970046</v>
      </c>
      <c r="AB442" s="25">
        <f t="shared" si="68"/>
        <v>19204701732.368435</v>
      </c>
      <c r="AC442" s="25">
        <f>AA442/((1+'How much will I make'!$C$5/12)^(Calculations!$B$1*12-Calculations!$A442))</f>
        <v>8134.6902302729013</v>
      </c>
      <c r="AD442" s="25">
        <f t="shared" si="69"/>
        <v>3144198937.5753255</v>
      </c>
      <c r="AE442" s="25">
        <f t="shared" si="54"/>
        <v>11478.449124780658</v>
      </c>
      <c r="AF442" s="25">
        <f t="shared" si="70"/>
        <v>114564654276.12041</v>
      </c>
      <c r="AG442" s="25">
        <f>AE442/((1+'How much will I make'!$C$5/12)^(Calculations!$B$1*12-Calculations!$A442))</f>
        <v>9639.1686170755384</v>
      </c>
      <c r="AH442" s="25">
        <f t="shared" si="71"/>
        <v>18238502104.992039</v>
      </c>
    </row>
    <row r="443" spans="1:34" ht="15.75" customHeight="1">
      <c r="A443" s="22">
        <f t="shared" si="55"/>
        <v>439</v>
      </c>
      <c r="B443" s="22">
        <f t="shared" si="86"/>
        <v>2895.9080679859335</v>
      </c>
      <c r="C443" s="25">
        <f t="shared" si="47"/>
        <v>3434.1764543031977</v>
      </c>
      <c r="D443" s="25">
        <f t="shared" si="56"/>
        <v>1541980.5898877264</v>
      </c>
      <c r="E443" s="25">
        <f>$C443/((1+'How much will I make'!$C$5/12)^(Calculations!$B$1*12-Calculations!$A443))</f>
        <v>2895.9080679859335</v>
      </c>
      <c r="F443" s="25">
        <f t="shared" si="57"/>
        <v>595289.29279252538</v>
      </c>
      <c r="G443" s="25">
        <f t="shared" si="48"/>
        <v>4069.6200648691433</v>
      </c>
      <c r="H443" s="25">
        <f t="shared" si="58"/>
        <v>5205193.5715849204</v>
      </c>
      <c r="I443" s="25">
        <f>G443/((1+'How much will I make'!$C$5/12)^(Calculations!$B$1*12-Calculations!$A443))</f>
        <v>3431.753066946947</v>
      </c>
      <c r="J443" s="25">
        <f t="shared" si="59"/>
        <v>1535057.4510765271</v>
      </c>
      <c r="K443" s="25">
        <f t="shared" si="49"/>
        <v>4819.2680008233847</v>
      </c>
      <c r="L443" s="25">
        <f t="shared" si="60"/>
        <v>21991760.109698571</v>
      </c>
      <c r="M443" s="25">
        <f>K443/((1+'How much will I make'!$C$5/12)^(Calculations!$B$1*12-Calculations!$A443))</f>
        <v>4063.902152693146</v>
      </c>
      <c r="N443" s="25">
        <f t="shared" si="61"/>
        <v>5147650.3007794451</v>
      </c>
      <c r="O443" s="25">
        <f t="shared" si="50"/>
        <v>5703.0442404232626</v>
      </c>
      <c r="P443" s="25">
        <f t="shared" si="62"/>
        <v>107979628.28061676</v>
      </c>
      <c r="Q443" s="25">
        <f>O443/((1+'How much will I make'!$C$5/12)^(Calculations!$B$1*12-Calculations!$A443))</f>
        <v>4809.1564448377967</v>
      </c>
      <c r="R443" s="25">
        <f t="shared" si="63"/>
        <v>21577588.286326103</v>
      </c>
      <c r="S443" s="25">
        <f t="shared" si="51"/>
        <v>6744.2447047619435</v>
      </c>
      <c r="T443" s="25">
        <f t="shared" si="64"/>
        <v>579985272.88411152</v>
      </c>
      <c r="U443" s="25">
        <f>S443/((1+'How much will I make'!$C$5/12)^(Calculations!$B$1*12-Calculations!$A443))</f>
        <v>5687.1604918607336</v>
      </c>
      <c r="V443" s="25">
        <f t="shared" si="65"/>
        <v>105074161.14323467</v>
      </c>
      <c r="W443" s="25">
        <f t="shared" si="52"/>
        <v>7970.0904834670537</v>
      </c>
      <c r="X443" s="25">
        <f t="shared" si="66"/>
        <v>3284396214.6819143</v>
      </c>
      <c r="Y443" s="25">
        <f>W443/((1+'How much will I make'!$C$5/12)^(Calculations!$B$1*12-Calculations!$A443))</f>
        <v>6720.8687849248172</v>
      </c>
      <c r="Z443" s="25">
        <f t="shared" si="67"/>
        <v>559752613.95676887</v>
      </c>
      <c r="AA443" s="25">
        <f t="shared" si="53"/>
        <v>9412.368989632716</v>
      </c>
      <c r="AB443" s="25">
        <f t="shared" si="68"/>
        <v>19204711144.737423</v>
      </c>
      <c r="AC443" s="25">
        <f>AA443/((1+'How much will I make'!$C$5/12)^(Calculations!$B$1*12-Calculations!$A443))</f>
        <v>7937.0864190112134</v>
      </c>
      <c r="AD443" s="25">
        <f t="shared" si="69"/>
        <v>3144206874.6617446</v>
      </c>
      <c r="AE443" s="25">
        <f t="shared" si="54"/>
        <v>11108.176572368378</v>
      </c>
      <c r="AF443" s="25">
        <f t="shared" si="70"/>
        <v>114564665384.29698</v>
      </c>
      <c r="AG443" s="25">
        <f>AE443/((1+'How much will I make'!$C$5/12)^(Calculations!$B$1*12-Calculations!$A443))</f>
        <v>9367.0953093355056</v>
      </c>
      <c r="AH443" s="25">
        <f t="shared" si="71"/>
        <v>18238511472.087349</v>
      </c>
    </row>
    <row r="444" spans="1:34" ht="15.75" customHeight="1">
      <c r="A444" s="22">
        <f t="shared" si="55"/>
        <v>440</v>
      </c>
      <c r="B444" s="22">
        <f t="shared" si="86"/>
        <v>2895.9080679859335</v>
      </c>
      <c r="C444" s="25">
        <f t="shared" si="47"/>
        <v>3419.9267594720645</v>
      </c>
      <c r="D444" s="25">
        <f t="shared" si="56"/>
        <v>1545400.5166471985</v>
      </c>
      <c r="E444" s="25">
        <f>$C444/((1+'How much will I make'!$C$5/12)^(Calculations!$B$1*12-Calculations!$A444))</f>
        <v>2895.9080679859335</v>
      </c>
      <c r="F444" s="25">
        <f t="shared" si="57"/>
        <v>598185.20086051128</v>
      </c>
      <c r="G444" s="25">
        <f t="shared" si="48"/>
        <v>4035.9868411925395</v>
      </c>
      <c r="H444" s="25">
        <f t="shared" si="58"/>
        <v>5209229.5584261129</v>
      </c>
      <c r="I444" s="25">
        <f>G444/((1+'How much will I make'!$C$5/12)^(Calculations!$B$1*12-Calculations!$A444))</f>
        <v>3417.5722691496458</v>
      </c>
      <c r="J444" s="25">
        <f t="shared" si="59"/>
        <v>1538475.0233456767</v>
      </c>
      <c r="K444" s="25">
        <f t="shared" si="49"/>
        <v>4759.7708650107506</v>
      </c>
      <c r="L444" s="25">
        <f t="shared" si="60"/>
        <v>21996519.880563583</v>
      </c>
      <c r="M444" s="25">
        <f>K444/((1+'How much will I make'!$C$5/12)^(Calculations!$B$1*12-Calculations!$A444))</f>
        <v>4030.4543983499925</v>
      </c>
      <c r="N444" s="25">
        <f t="shared" si="61"/>
        <v>5151680.755177795</v>
      </c>
      <c r="O444" s="25">
        <f t="shared" si="50"/>
        <v>5609.5517118917332</v>
      </c>
      <c r="P444" s="25">
        <f t="shared" si="62"/>
        <v>107985237.83232865</v>
      </c>
      <c r="Q444" s="25">
        <f>O444/((1+'How much will I make'!$C$5/12)^(Calculations!$B$1*12-Calculations!$A444))</f>
        <v>4750.0274721553642</v>
      </c>
      <c r="R444" s="25">
        <f t="shared" si="63"/>
        <v>21582338.31379826</v>
      </c>
      <c r="S444" s="25">
        <f t="shared" si="51"/>
        <v>6606.6070577259861</v>
      </c>
      <c r="T444" s="25">
        <f t="shared" si="64"/>
        <v>579991879.49116921</v>
      </c>
      <c r="U444" s="25">
        <f>S444/((1+'How much will I make'!$C$5/12)^(Calculations!$B$1*12-Calculations!$A444))</f>
        <v>5594.308891993619</v>
      </c>
      <c r="V444" s="25">
        <f t="shared" si="65"/>
        <v>105079755.45212667</v>
      </c>
      <c r="W444" s="25">
        <f t="shared" si="52"/>
        <v>7775.6980326507846</v>
      </c>
      <c r="X444" s="25">
        <f t="shared" si="66"/>
        <v>3284403990.3799472</v>
      </c>
      <c r="Y444" s="25">
        <f>W444/((1+'How much will I make'!$C$5/12)^(Calculations!$B$1*12-Calculations!$A444))</f>
        <v>6584.26576084098</v>
      </c>
      <c r="Z444" s="25">
        <f t="shared" si="67"/>
        <v>559759198.22252977</v>
      </c>
      <c r="AA444" s="25">
        <f t="shared" si="53"/>
        <v>9145.6216903313853</v>
      </c>
      <c r="AB444" s="25">
        <f t="shared" si="68"/>
        <v>19204720290.359112</v>
      </c>
      <c r="AC444" s="25">
        <f>AA444/((1+'How much will I make'!$C$5/12)^(Calculations!$B$1*12-Calculations!$A444))</f>
        <v>7744.2827003307793</v>
      </c>
      <c r="AD444" s="25">
        <f t="shared" si="69"/>
        <v>3144214618.9444451</v>
      </c>
      <c r="AE444" s="25">
        <f t="shared" si="54"/>
        <v>10749.848295840366</v>
      </c>
      <c r="AF444" s="25">
        <f t="shared" si="70"/>
        <v>114564676134.14528</v>
      </c>
      <c r="AG444" s="25">
        <f>AE444/((1+'How much will I make'!$C$5/12)^(Calculations!$B$1*12-Calculations!$A444))</f>
        <v>9102.7014901203893</v>
      </c>
      <c r="AH444" s="25">
        <f t="shared" si="71"/>
        <v>18238520574.788837</v>
      </c>
    </row>
    <row r="445" spans="1:34" ht="15.75" customHeight="1">
      <c r="A445" s="22">
        <f t="shared" si="55"/>
        <v>441</v>
      </c>
      <c r="B445" s="22">
        <f t="shared" si="86"/>
        <v>2895.9080679859335</v>
      </c>
      <c r="C445" s="25">
        <f t="shared" si="47"/>
        <v>3405.7361920053754</v>
      </c>
      <c r="D445" s="25">
        <f t="shared" si="56"/>
        <v>1548806.2528392039</v>
      </c>
      <c r="E445" s="25">
        <f>$C445/((1+'How much will I make'!$C$5/12)^(Calculations!$B$1*12-Calculations!$A445))</f>
        <v>2895.9080679859335</v>
      </c>
      <c r="F445" s="25">
        <f t="shared" si="57"/>
        <v>601081.10892849718</v>
      </c>
      <c r="G445" s="25">
        <f t="shared" si="48"/>
        <v>4002.6315780421874</v>
      </c>
      <c r="H445" s="25">
        <f t="shared" si="58"/>
        <v>5213232.190004155</v>
      </c>
      <c r="I445" s="25">
        <f>G445/((1+'How much will I make'!$C$5/12)^(Calculations!$B$1*12-Calculations!$A445))</f>
        <v>3403.4500696903488</v>
      </c>
      <c r="J445" s="25">
        <f t="shared" si="59"/>
        <v>1541878.4734153671</v>
      </c>
      <c r="K445" s="25">
        <f t="shared" si="49"/>
        <v>4701.0082617390126</v>
      </c>
      <c r="L445" s="25">
        <f t="shared" si="60"/>
        <v>22001220.888825323</v>
      </c>
      <c r="M445" s="25">
        <f>K445/((1+'How much will I make'!$C$5/12)^(Calculations!$B$1*12-Calculations!$A445))</f>
        <v>3997.2819341660411</v>
      </c>
      <c r="N445" s="25">
        <f t="shared" si="61"/>
        <v>5155678.0371119613</v>
      </c>
      <c r="O445" s="25">
        <f t="shared" si="50"/>
        <v>5517.5918477623609</v>
      </c>
      <c r="P445" s="25">
        <f t="shared" si="62"/>
        <v>107990755.42417641</v>
      </c>
      <c r="Q445" s="25">
        <f>O445/((1+'How much will I make'!$C$5/12)^(Calculations!$B$1*12-Calculations!$A445))</f>
        <v>4691.6254950386992</v>
      </c>
      <c r="R445" s="25">
        <f t="shared" si="63"/>
        <v>21587029.939293299</v>
      </c>
      <c r="S445" s="25">
        <f t="shared" si="51"/>
        <v>6471.7783422621897</v>
      </c>
      <c r="T445" s="25">
        <f t="shared" si="64"/>
        <v>579998351.26951146</v>
      </c>
      <c r="U445" s="25">
        <f>S445/((1+'How much will I make'!$C$5/12)^(Calculations!$B$1*12-Calculations!$A445))</f>
        <v>5502.9732366141307</v>
      </c>
      <c r="V445" s="25">
        <f t="shared" si="65"/>
        <v>105085258.42536329</v>
      </c>
      <c r="W445" s="25">
        <f t="shared" si="52"/>
        <v>7586.0468611227179</v>
      </c>
      <c r="X445" s="25">
        <f t="shared" si="66"/>
        <v>3284411576.4268084</v>
      </c>
      <c r="Y445" s="25">
        <f>W445/((1+'How much will I make'!$C$5/12)^(Calculations!$B$1*12-Calculations!$A445))</f>
        <v>6450.4392209864882</v>
      </c>
      <c r="Z445" s="25">
        <f t="shared" si="67"/>
        <v>559765648.66175079</v>
      </c>
      <c r="AA445" s="25">
        <f t="shared" si="53"/>
        <v>8886.4340310912285</v>
      </c>
      <c r="AB445" s="25">
        <f t="shared" si="68"/>
        <v>19204729176.793144</v>
      </c>
      <c r="AC445" s="25">
        <f>AA445/((1+'How much will I make'!$C$5/12)^(Calculations!$B$1*12-Calculations!$A445))</f>
        <v>7556.1624727923818</v>
      </c>
      <c r="AD445" s="25">
        <f t="shared" si="69"/>
        <v>3144222175.1069179</v>
      </c>
      <c r="AE445" s="25">
        <f t="shared" si="54"/>
        <v>10403.078995974545</v>
      </c>
      <c r="AF445" s="25">
        <f t="shared" si="70"/>
        <v>114564686537.22427</v>
      </c>
      <c r="AG445" s="25">
        <f>AE445/((1+'How much will I make'!$C$5/12)^(Calculations!$B$1*12-Calculations!$A445))</f>
        <v>8845.7703996734399</v>
      </c>
      <c r="AH445" s="25">
        <f t="shared" si="71"/>
        <v>18238529420.559238</v>
      </c>
    </row>
    <row r="446" spans="1:34" ht="15.75" customHeight="1">
      <c r="A446" s="22">
        <f t="shared" si="55"/>
        <v>442</v>
      </c>
      <c r="B446" s="22">
        <f t="shared" si="86"/>
        <v>2895.9080679859335</v>
      </c>
      <c r="C446" s="25">
        <f t="shared" si="47"/>
        <v>3391.6045065613694</v>
      </c>
      <c r="D446" s="25">
        <f t="shared" si="56"/>
        <v>1552197.8573457652</v>
      </c>
      <c r="E446" s="25">
        <f>$C446/((1+'How much will I make'!$C$5/12)^(Calculations!$B$1*12-Calculations!$A446))</f>
        <v>2895.9080679859335</v>
      </c>
      <c r="F446" s="25">
        <f t="shared" si="57"/>
        <v>603977.01699648309</v>
      </c>
      <c r="G446" s="25">
        <f t="shared" si="48"/>
        <v>3969.5519782236579</v>
      </c>
      <c r="H446" s="25">
        <f t="shared" si="58"/>
        <v>5217201.741982379</v>
      </c>
      <c r="I446" s="25">
        <f>G446/((1+'How much will I make'!$C$5/12)^(Calculations!$B$1*12-Calculations!$A446))</f>
        <v>3389.386226427167</v>
      </c>
      <c r="J446" s="25">
        <f t="shared" si="59"/>
        <v>1545267.8596417943</v>
      </c>
      <c r="K446" s="25">
        <f t="shared" si="49"/>
        <v>4642.9711227051976</v>
      </c>
      <c r="L446" s="25">
        <f t="shared" si="60"/>
        <v>22005863.859948028</v>
      </c>
      <c r="M446" s="25">
        <f>K446/((1+'How much will I make'!$C$5/12)^(Calculations!$B$1*12-Calculations!$A446))</f>
        <v>3964.3824943786667</v>
      </c>
      <c r="N446" s="25">
        <f t="shared" si="61"/>
        <v>5159642.4196063401</v>
      </c>
      <c r="O446" s="25">
        <f t="shared" si="50"/>
        <v>5427.1395223892087</v>
      </c>
      <c r="P446" s="25">
        <f t="shared" si="62"/>
        <v>107996182.5636988</v>
      </c>
      <c r="Q446" s="25">
        <f>O446/((1+'How much will I make'!$C$5/12)^(Calculations!$B$1*12-Calculations!$A446))</f>
        <v>4633.9415750177332</v>
      </c>
      <c r="R446" s="25">
        <f t="shared" si="63"/>
        <v>21591663.880868316</v>
      </c>
      <c r="S446" s="25">
        <f t="shared" si="51"/>
        <v>6339.7012332364329</v>
      </c>
      <c r="T446" s="25">
        <f t="shared" si="64"/>
        <v>580004690.97074473</v>
      </c>
      <c r="U446" s="25">
        <f>S446/((1+'How much will I make'!$C$5/12)^(Calculations!$B$1*12-Calculations!$A446))</f>
        <v>5413.1287756081883</v>
      </c>
      <c r="V446" s="25">
        <f t="shared" si="65"/>
        <v>105090671.5541389</v>
      </c>
      <c r="W446" s="25">
        <f t="shared" si="52"/>
        <v>7401.0213279246018</v>
      </c>
      <c r="X446" s="25">
        <f t="shared" si="66"/>
        <v>3284418977.4481363</v>
      </c>
      <c r="Y446" s="25">
        <f>W446/((1+'How much will I make'!$C$5/12)^(Calculations!$B$1*12-Calculations!$A446))</f>
        <v>6319.332732755056</v>
      </c>
      <c r="Z446" s="25">
        <f t="shared" si="67"/>
        <v>559771967.99448359</v>
      </c>
      <c r="AA446" s="25">
        <f t="shared" si="53"/>
        <v>8634.5917711007878</v>
      </c>
      <c r="AB446" s="25">
        <f t="shared" si="68"/>
        <v>19204737811.384914</v>
      </c>
      <c r="AC446" s="25">
        <f>AA446/((1+'How much will I make'!$C$5/12)^(Calculations!$B$1*12-Calculations!$A446))</f>
        <v>7372.6119673804214</v>
      </c>
      <c r="AD446" s="25">
        <f t="shared" si="69"/>
        <v>3144229547.7188854</v>
      </c>
      <c r="AE446" s="25">
        <f t="shared" si="54"/>
        <v>10067.495802556012</v>
      </c>
      <c r="AF446" s="25">
        <f t="shared" si="70"/>
        <v>114564696604.72008</v>
      </c>
      <c r="AG446" s="25">
        <f>AE446/((1+'How much will I make'!$C$5/12)^(Calculations!$B$1*12-Calculations!$A446))</f>
        <v>8596.0913964568517</v>
      </c>
      <c r="AH446" s="25">
        <f t="shared" si="71"/>
        <v>18238538016.650635</v>
      </c>
    </row>
    <row r="447" spans="1:34" ht="15.75" customHeight="1">
      <c r="A447" s="22">
        <f t="shared" si="55"/>
        <v>443</v>
      </c>
      <c r="B447" s="22">
        <f t="shared" si="86"/>
        <v>2895.9080679859335</v>
      </c>
      <c r="C447" s="25">
        <f t="shared" si="47"/>
        <v>3377.5314588163014</v>
      </c>
      <c r="D447" s="25">
        <f t="shared" si="56"/>
        <v>1555575.3888045815</v>
      </c>
      <c r="E447" s="25">
        <f>$C447/((1+'How much will I make'!$C$5/12)^(Calculations!$B$1*12-Calculations!$A447))</f>
        <v>2895.9080679859335</v>
      </c>
      <c r="F447" s="25">
        <f t="shared" si="57"/>
        <v>606872.92506446899</v>
      </c>
      <c r="G447" s="25">
        <f t="shared" si="48"/>
        <v>3936.7457635275941</v>
      </c>
      <c r="H447" s="25">
        <f t="shared" si="58"/>
        <v>5221138.4877459062</v>
      </c>
      <c r="I447" s="25">
        <f>G447/((1+'How much will I make'!$C$5/12)^(Calculations!$B$1*12-Calculations!$A447))</f>
        <v>3375.3804982187899</v>
      </c>
      <c r="J447" s="25">
        <f t="shared" si="59"/>
        <v>1548643.2401400132</v>
      </c>
      <c r="K447" s="25">
        <f t="shared" si="49"/>
        <v>4585.6504915606893</v>
      </c>
      <c r="L447" s="25">
        <f t="shared" si="60"/>
        <v>22010449.51043959</v>
      </c>
      <c r="M447" s="25">
        <f>K447/((1+'How much will I make'!$C$5/12)^(Calculations!$B$1*12-Calculations!$A447))</f>
        <v>3931.7538318734933</v>
      </c>
      <c r="N447" s="25">
        <f t="shared" si="61"/>
        <v>5163574.1734382138</v>
      </c>
      <c r="O447" s="25">
        <f t="shared" si="50"/>
        <v>5338.1700220221728</v>
      </c>
      <c r="P447" s="25">
        <f t="shared" si="62"/>
        <v>108001520.73372082</v>
      </c>
      <c r="Q447" s="25">
        <f>O447/((1+'How much will I make'!$C$5/12)^(Calculations!$B$1*12-Calculations!$A447))</f>
        <v>4576.9668835216144</v>
      </c>
      <c r="R447" s="25">
        <f t="shared" si="63"/>
        <v>21596240.847751837</v>
      </c>
      <c r="S447" s="25">
        <f t="shared" si="51"/>
        <v>6210.3195754152821</v>
      </c>
      <c r="T447" s="25">
        <f t="shared" si="64"/>
        <v>580010901.29032016</v>
      </c>
      <c r="U447" s="25">
        <f>S447/((1+'How much will I make'!$C$5/12)^(Calculations!$B$1*12-Calculations!$A447))</f>
        <v>5324.7511629451983</v>
      </c>
      <c r="V447" s="25">
        <f t="shared" si="65"/>
        <v>105095996.30530185</v>
      </c>
      <c r="W447" s="25">
        <f t="shared" si="52"/>
        <v>7220.5086126093693</v>
      </c>
      <c r="X447" s="25">
        <f t="shared" si="66"/>
        <v>3284426197.956749</v>
      </c>
      <c r="Y447" s="25">
        <f>W447/((1+'How much will I make'!$C$5/12)^(Calculations!$B$1*12-Calculations!$A447))</f>
        <v>6190.8910105445893</v>
      </c>
      <c r="Z447" s="25">
        <f t="shared" si="67"/>
        <v>559778158.88549411</v>
      </c>
      <c r="AA447" s="25">
        <f t="shared" si="53"/>
        <v>8389.8867411505635</v>
      </c>
      <c r="AB447" s="25">
        <f t="shared" si="68"/>
        <v>19204746201.271656</v>
      </c>
      <c r="AC447" s="25">
        <f>AA447/((1+'How much will I make'!$C$5/12)^(Calculations!$B$1*12-Calculations!$A447))</f>
        <v>7193.5201786991165</v>
      </c>
      <c r="AD447" s="25">
        <f t="shared" si="69"/>
        <v>3144236741.2390642</v>
      </c>
      <c r="AE447" s="25">
        <f t="shared" si="54"/>
        <v>9742.7378734412996</v>
      </c>
      <c r="AF447" s="25">
        <f t="shared" si="70"/>
        <v>114564706347.45795</v>
      </c>
      <c r="AG447" s="25">
        <f>AE447/((1+'How much will I make'!$C$5/12)^(Calculations!$B$1*12-Calculations!$A447))</f>
        <v>8353.4597844600848</v>
      </c>
      <c r="AH447" s="25">
        <f t="shared" si="71"/>
        <v>18238546370.11042</v>
      </c>
    </row>
    <row r="448" spans="1:34" ht="15.75" customHeight="1">
      <c r="A448" s="22">
        <f t="shared" si="55"/>
        <v>444</v>
      </c>
      <c r="B448" s="22">
        <f t="shared" si="86"/>
        <v>2895.9080679859335</v>
      </c>
      <c r="C448" s="25">
        <f t="shared" si="47"/>
        <v>3363.5168054602173</v>
      </c>
      <c r="D448" s="25">
        <f t="shared" si="56"/>
        <v>1558938.9056100417</v>
      </c>
      <c r="E448" s="25">
        <f>$C448/((1+'How much will I make'!$C$5/12)^(Calculations!$B$1*12-Calculations!$A448))</f>
        <v>2895.9080679859335</v>
      </c>
      <c r="F448" s="25">
        <f t="shared" si="57"/>
        <v>609768.83313245489</v>
      </c>
      <c r="G448" s="25">
        <f t="shared" si="48"/>
        <v>3904.2106745728211</v>
      </c>
      <c r="H448" s="25">
        <f t="shared" si="58"/>
        <v>5225042.698420479</v>
      </c>
      <c r="I448" s="25">
        <f>G448/((1+'How much will I make'!$C$5/12)^(Calculations!$B$1*12-Calculations!$A448))</f>
        <v>3361.4326449203654</v>
      </c>
      <c r="J448" s="25">
        <f t="shared" si="59"/>
        <v>1552004.6727849336</v>
      </c>
      <c r="K448" s="25">
        <f t="shared" si="49"/>
        <v>4529.0375225290763</v>
      </c>
      <c r="L448" s="25">
        <f t="shared" si="60"/>
        <v>22014978.547962118</v>
      </c>
      <c r="M448" s="25">
        <f>K448/((1+'How much will I make'!$C$5/12)^(Calculations!$B$1*12-Calculations!$A448))</f>
        <v>3899.3937180309135</v>
      </c>
      <c r="N448" s="25">
        <f t="shared" si="61"/>
        <v>5167473.567156245</v>
      </c>
      <c r="O448" s="25">
        <f t="shared" si="50"/>
        <v>5250.6590380545958</v>
      </c>
      <c r="P448" s="25">
        <f t="shared" si="62"/>
        <v>108006771.39275888</v>
      </c>
      <c r="Q448" s="25">
        <f>O448/((1+'How much will I make'!$C$5/12)^(Calculations!$B$1*12-Calculations!$A448))</f>
        <v>4520.6927005274956</v>
      </c>
      <c r="R448" s="25">
        <f t="shared" si="63"/>
        <v>21600761.540452365</v>
      </c>
      <c r="S448" s="25">
        <f t="shared" si="51"/>
        <v>6083.5783595904813</v>
      </c>
      <c r="T448" s="25">
        <f t="shared" si="64"/>
        <v>580016984.86867976</v>
      </c>
      <c r="U448" s="25">
        <f>S448/((1+'How much will I make'!$C$5/12)^(Calculations!$B$1*12-Calculations!$A448))</f>
        <v>5237.8164500807879</v>
      </c>
      <c r="V448" s="25">
        <f t="shared" si="65"/>
        <v>105101234.12175192</v>
      </c>
      <c r="W448" s="25">
        <f t="shared" si="52"/>
        <v>7044.3986464481659</v>
      </c>
      <c r="X448" s="25">
        <f t="shared" si="66"/>
        <v>3284433242.3553953</v>
      </c>
      <c r="Y448" s="25">
        <f>W448/((1+'How much will I make'!$C$5/12)^(Calculations!$B$1*12-Calculations!$A448))</f>
        <v>6065.0598924440901</v>
      </c>
      <c r="Z448" s="25">
        <f t="shared" si="67"/>
        <v>559784223.94538653</v>
      </c>
      <c r="AA448" s="25">
        <f t="shared" si="53"/>
        <v>8152.1166715633026</v>
      </c>
      <c r="AB448" s="25">
        <f t="shared" si="68"/>
        <v>19204754353.388329</v>
      </c>
      <c r="AC448" s="25">
        <f>AA448/((1+'How much will I make'!$C$5/12)^(Calculations!$B$1*12-Calculations!$A448))</f>
        <v>7018.7787978400302</v>
      </c>
      <c r="AD448" s="25">
        <f t="shared" si="69"/>
        <v>3144243760.0178618</v>
      </c>
      <c r="AE448" s="25">
        <f t="shared" si="54"/>
        <v>9428.4560065560963</v>
      </c>
      <c r="AF448" s="25">
        <f t="shared" si="70"/>
        <v>114564715775.91396</v>
      </c>
      <c r="AG448" s="25">
        <f>AE448/((1+'How much will I make'!$C$5/12)^(Calculations!$B$1*12-Calculations!$A448))</f>
        <v>8117.6766453825821</v>
      </c>
      <c r="AH448" s="25">
        <f t="shared" si="71"/>
        <v>18238554487.787067</v>
      </c>
    </row>
    <row r="449" spans="1:34" ht="15.75" customHeight="1">
      <c r="A449" s="22">
        <f t="shared" si="55"/>
        <v>445</v>
      </c>
      <c r="B449" s="22">
        <f>B448*(1+'How much will I make'!$C$4)</f>
        <v>3040.7034713852304</v>
      </c>
      <c r="C449" s="25">
        <f t="shared" si="47"/>
        <v>3517.0383194023857</v>
      </c>
      <c r="D449" s="25">
        <f t="shared" si="56"/>
        <v>1562455.9439294441</v>
      </c>
      <c r="E449" s="25">
        <f>$C449/((1+'How much will I make'!$C$5/12)^(Calculations!$B$1*12-Calculations!$A449))</f>
        <v>3040.7034713852304</v>
      </c>
      <c r="F449" s="25">
        <f t="shared" si="57"/>
        <v>612809.53660384007</v>
      </c>
      <c r="G449" s="25">
        <f t="shared" si="48"/>
        <v>4065.5416941832686</v>
      </c>
      <c r="H449" s="25">
        <f t="shared" si="58"/>
        <v>5229108.2401146619</v>
      </c>
      <c r="I449" s="25">
        <f>G449/((1+'How much will I make'!$C$5/12)^(Calculations!$B$1*12-Calculations!$A449))</f>
        <v>3514.9195487483407</v>
      </c>
      <c r="J449" s="25">
        <f t="shared" si="59"/>
        <v>1555519.5923336819</v>
      </c>
      <c r="K449" s="25">
        <f t="shared" si="49"/>
        <v>4696.7796529931165</v>
      </c>
      <c r="L449" s="25">
        <f t="shared" si="60"/>
        <v>22019675.327615112</v>
      </c>
      <c r="M449" s="25">
        <f>K449/((1+'How much will I make'!$C$5/12)^(Calculations!$B$1*12-Calculations!$A449))</f>
        <v>4060.6649397025617</v>
      </c>
      <c r="N449" s="25">
        <f t="shared" si="61"/>
        <v>5171534.2320959475</v>
      </c>
      <c r="O449" s="25">
        <f t="shared" si="50"/>
        <v>5422.8117934006486</v>
      </c>
      <c r="P449" s="25">
        <f t="shared" si="62"/>
        <v>108012194.20455228</v>
      </c>
      <c r="Q449" s="25">
        <f>O449/((1+'How much will I make'!$C$5/12)^(Calculations!$B$1*12-Calculations!$A449))</f>
        <v>4688.3659338872239</v>
      </c>
      <c r="R449" s="25">
        <f t="shared" si="63"/>
        <v>21605449.906386252</v>
      </c>
      <c r="S449" s="25">
        <f t="shared" si="51"/>
        <v>6257.3948841502097</v>
      </c>
      <c r="T449" s="25">
        <f t="shared" si="64"/>
        <v>580023242.26356387</v>
      </c>
      <c r="U449" s="25">
        <f>S449/((1+'How much will I make'!$C$5/12)^(Calculations!$B$1*12-Calculations!$A449))</f>
        <v>5409.9161334405844</v>
      </c>
      <c r="V449" s="25">
        <f t="shared" si="65"/>
        <v>105106644.03788535</v>
      </c>
      <c r="W449" s="25">
        <f t="shared" si="52"/>
        <v>7216.2132475810486</v>
      </c>
      <c r="X449" s="25">
        <f t="shared" si="66"/>
        <v>3284440458.5686431</v>
      </c>
      <c r="Y449" s="25">
        <f>W449/((1+'How much will I make'!$C$5/12)^(Calculations!$B$1*12-Calculations!$A449))</f>
        <v>6238.8756332641333</v>
      </c>
      <c r="Z449" s="25">
        <f t="shared" si="67"/>
        <v>559790462.82101977</v>
      </c>
      <c r="AA449" s="25">
        <f t="shared" si="53"/>
        <v>8317.1392762508203</v>
      </c>
      <c r="AB449" s="25">
        <f t="shared" si="68"/>
        <v>19204762670.527603</v>
      </c>
      <c r="AC449" s="25">
        <f>AA449/((1+'How much will I make'!$C$5/12)^(Calculations!$B$1*12-Calculations!$A449))</f>
        <v>7190.6962542243718</v>
      </c>
      <c r="AD449" s="25">
        <f t="shared" si="69"/>
        <v>3144250950.7141161</v>
      </c>
      <c r="AE449" s="25">
        <f t="shared" si="54"/>
        <v>9580.52787762958</v>
      </c>
      <c r="AF449" s="25">
        <f t="shared" si="70"/>
        <v>114564725356.44183</v>
      </c>
      <c r="AG449" s="25">
        <f>AE449/((1+'How much will I make'!$C$5/12)^(Calculations!$B$1*12-Calculations!$A449))</f>
        <v>8282.9761093308935</v>
      </c>
      <c r="AH449" s="25">
        <f t="shared" si="71"/>
        <v>18238562770.763176</v>
      </c>
    </row>
    <row r="450" spans="1:34" ht="15.75" customHeight="1">
      <c r="A450" s="22">
        <f t="shared" si="55"/>
        <v>446</v>
      </c>
      <c r="B450" s="22">
        <f t="shared" ref="B450:B460" si="87">B449</f>
        <v>3040.7034713852304</v>
      </c>
      <c r="C450" s="25">
        <f t="shared" si="47"/>
        <v>3502.4447994048646</v>
      </c>
      <c r="D450" s="25">
        <f t="shared" si="56"/>
        <v>1565958.3887288489</v>
      </c>
      <c r="E450" s="25">
        <f>$C450/((1+'How much will I make'!$C$5/12)^(Calculations!$B$1*12-Calculations!$A450))</f>
        <v>3040.7034713852304</v>
      </c>
      <c r="F450" s="25">
        <f t="shared" si="57"/>
        <v>615850.24007522524</v>
      </c>
      <c r="G450" s="25">
        <f t="shared" si="48"/>
        <v>4031.9421760495234</v>
      </c>
      <c r="H450" s="25">
        <f t="shared" si="58"/>
        <v>5233140.1822907114</v>
      </c>
      <c r="I450" s="25">
        <f>G450/((1+'How much will I make'!$C$5/12)^(Calculations!$B$1*12-Calculations!$A450))</f>
        <v>3500.395087803101</v>
      </c>
      <c r="J450" s="25">
        <f t="shared" si="59"/>
        <v>1559019.9874214849</v>
      </c>
      <c r="K450" s="25">
        <f t="shared" si="49"/>
        <v>4638.7947190055474</v>
      </c>
      <c r="L450" s="25">
        <f t="shared" si="60"/>
        <v>22024314.122334119</v>
      </c>
      <c r="M450" s="25">
        <f>K450/((1+'How much will I make'!$C$5/12)^(Calculations!$B$1*12-Calculations!$A450))</f>
        <v>4027.2438290877267</v>
      </c>
      <c r="N450" s="25">
        <f t="shared" si="61"/>
        <v>5175561.4759250348</v>
      </c>
      <c r="O450" s="25">
        <f t="shared" si="50"/>
        <v>5333.9132394104745</v>
      </c>
      <c r="P450" s="25">
        <f t="shared" si="62"/>
        <v>108017528.11779168</v>
      </c>
      <c r="Q450" s="25">
        <f>O450/((1+'How much will I make'!$C$5/12)^(Calculations!$B$1*12-Calculations!$A450))</f>
        <v>4630.7220904377928</v>
      </c>
      <c r="R450" s="25">
        <f t="shared" si="63"/>
        <v>21610080.628476691</v>
      </c>
      <c r="S450" s="25">
        <f t="shared" si="51"/>
        <v>6129.6929477389822</v>
      </c>
      <c r="T450" s="25">
        <f t="shared" si="64"/>
        <v>580029371.95651162</v>
      </c>
      <c r="U450" s="25">
        <f>S450/((1+'How much will I make'!$C$5/12)^(Calculations!$B$1*12-Calculations!$A450))</f>
        <v>5321.5909720782911</v>
      </c>
      <c r="V450" s="25">
        <f t="shared" si="65"/>
        <v>105111965.62885743</v>
      </c>
      <c r="W450" s="25">
        <f t="shared" si="52"/>
        <v>7040.2080464205355</v>
      </c>
      <c r="X450" s="25">
        <f t="shared" si="66"/>
        <v>3284447498.7766895</v>
      </c>
      <c r="Y450" s="25">
        <f>W450/((1+'How much will I make'!$C$5/12)^(Calculations!$B$1*12-Calculations!$A450))</f>
        <v>6112.0692179538883</v>
      </c>
      <c r="Z450" s="25">
        <f t="shared" si="67"/>
        <v>559796574.89023769</v>
      </c>
      <c r="AA450" s="25">
        <f t="shared" si="53"/>
        <v>8081.4308757092995</v>
      </c>
      <c r="AB450" s="25">
        <f t="shared" si="68"/>
        <v>19204770751.958477</v>
      </c>
      <c r="AC450" s="25">
        <f>AA450/((1+'How much will I make'!$C$5/12)^(Calculations!$B$1*12-Calculations!$A450))</f>
        <v>7016.0234707209465</v>
      </c>
      <c r="AD450" s="25">
        <f t="shared" si="69"/>
        <v>3144257966.737587</v>
      </c>
      <c r="AE450" s="25">
        <f t="shared" si="54"/>
        <v>9271.4785912544321</v>
      </c>
      <c r="AF450" s="25">
        <f t="shared" si="70"/>
        <v>114564734627.92043</v>
      </c>
      <c r="AG450" s="25">
        <f>AE450/((1+'How much will I make'!$C$5/12)^(Calculations!$B$1*12-Calculations!$A450))</f>
        <v>8049.1824288255875</v>
      </c>
      <c r="AH450" s="25">
        <f t="shared" si="71"/>
        <v>18238570819.945606</v>
      </c>
    </row>
    <row r="451" spans="1:34" ht="15.75" customHeight="1">
      <c r="A451" s="22">
        <f t="shared" si="55"/>
        <v>447</v>
      </c>
      <c r="B451" s="22">
        <f t="shared" si="87"/>
        <v>3040.7034713852304</v>
      </c>
      <c r="C451" s="25">
        <f t="shared" si="47"/>
        <v>3487.9118334322307</v>
      </c>
      <c r="D451" s="25">
        <f t="shared" si="56"/>
        <v>1569446.3005622812</v>
      </c>
      <c r="E451" s="25">
        <f>$C451/((1+'How much will I make'!$C$5/12)^(Calculations!$B$1*12-Calculations!$A451))</f>
        <v>3040.7034713852304</v>
      </c>
      <c r="F451" s="25">
        <f t="shared" si="57"/>
        <v>618890.94354661042</v>
      </c>
      <c r="G451" s="25">
        <f t="shared" si="48"/>
        <v>3998.6203398838247</v>
      </c>
      <c r="H451" s="25">
        <f t="shared" si="58"/>
        <v>5237138.8026305949</v>
      </c>
      <c r="I451" s="25">
        <f>G451/((1+'How much will I make'!$C$5/12)^(Calculations!$B$1*12-Calculations!$A451))</f>
        <v>3485.9306452915175</v>
      </c>
      <c r="J451" s="25">
        <f t="shared" si="59"/>
        <v>1562505.9180667764</v>
      </c>
      <c r="K451" s="25">
        <f t="shared" si="49"/>
        <v>4581.5256484005404</v>
      </c>
      <c r="L451" s="25">
        <f t="shared" si="60"/>
        <v>22028895.647982519</v>
      </c>
      <c r="M451" s="25">
        <f>K451/((1+'How much will I make'!$C$5/12)^(Calculations!$B$1*12-Calculations!$A451))</f>
        <v>3994.0977893421482</v>
      </c>
      <c r="N451" s="25">
        <f t="shared" si="61"/>
        <v>5179555.5737143774</v>
      </c>
      <c r="O451" s="25">
        <f t="shared" si="50"/>
        <v>5246.4720387644011</v>
      </c>
      <c r="P451" s="25">
        <f t="shared" si="62"/>
        <v>108022774.58983044</v>
      </c>
      <c r="Q451" s="25">
        <f>O451/((1+'How much will I make'!$C$5/12)^(Calculations!$B$1*12-Calculations!$A451))</f>
        <v>4573.7869827684744</v>
      </c>
      <c r="R451" s="25">
        <f t="shared" si="63"/>
        <v>21614654.415459458</v>
      </c>
      <c r="S451" s="25">
        <f t="shared" si="51"/>
        <v>6004.5971732953294</v>
      </c>
      <c r="T451" s="25">
        <f t="shared" si="64"/>
        <v>580035376.55368495</v>
      </c>
      <c r="U451" s="25">
        <f>S451/((1+'How much will I make'!$C$5/12)^(Calculations!$B$1*12-Calculations!$A451))</f>
        <v>5234.7078541668079</v>
      </c>
      <c r="V451" s="25">
        <f t="shared" si="65"/>
        <v>105117200.3367116</v>
      </c>
      <c r="W451" s="25">
        <f t="shared" si="52"/>
        <v>6868.4956550444249</v>
      </c>
      <c r="X451" s="25">
        <f t="shared" si="66"/>
        <v>3284454367.2723446</v>
      </c>
      <c r="Y451" s="25">
        <f>W451/((1+'How much will I make'!$C$5/12)^(Calculations!$B$1*12-Calculations!$A451))</f>
        <v>5987.8401688084832</v>
      </c>
      <c r="Z451" s="25">
        <f t="shared" si="67"/>
        <v>559802562.73040652</v>
      </c>
      <c r="AA451" s="25">
        <f t="shared" si="53"/>
        <v>7852.402470324826</v>
      </c>
      <c r="AB451" s="25">
        <f t="shared" si="68"/>
        <v>19204778604.360947</v>
      </c>
      <c r="AC451" s="25">
        <f>AA451/((1+'How much will I make'!$C$5/12)^(Calculations!$B$1*12-Calculations!$A451))</f>
        <v>6845.5937507844055</v>
      </c>
      <c r="AD451" s="25">
        <f t="shared" si="69"/>
        <v>3144264812.3313379</v>
      </c>
      <c r="AE451" s="25">
        <f t="shared" si="54"/>
        <v>8972.398636697837</v>
      </c>
      <c r="AF451" s="25">
        <f t="shared" si="70"/>
        <v>114564743600.31906</v>
      </c>
      <c r="AG451" s="25">
        <f>AE451/((1+'How much will I make'!$C$5/12)^(Calculations!$B$1*12-Calculations!$A451))</f>
        <v>7821.987763495832</v>
      </c>
      <c r="AH451" s="25">
        <f t="shared" si="71"/>
        <v>18238578641.933369</v>
      </c>
    </row>
    <row r="452" spans="1:34" ht="15.75" customHeight="1">
      <c r="A452" s="22">
        <f t="shared" si="55"/>
        <v>448</v>
      </c>
      <c r="B452" s="22">
        <f t="shared" si="87"/>
        <v>3040.7034713852304</v>
      </c>
      <c r="C452" s="25">
        <f t="shared" si="47"/>
        <v>3473.4391702229682</v>
      </c>
      <c r="D452" s="25">
        <f t="shared" si="56"/>
        <v>1572919.7397325041</v>
      </c>
      <c r="E452" s="25">
        <f>$C452/((1+'How much will I make'!$C$5/12)^(Calculations!$B$1*12-Calculations!$A452))</f>
        <v>3040.7034713852304</v>
      </c>
      <c r="F452" s="25">
        <f t="shared" si="57"/>
        <v>621931.64701799559</v>
      </c>
      <c r="G452" s="25">
        <f t="shared" si="48"/>
        <v>3965.5738907938758</v>
      </c>
      <c r="H452" s="25">
        <f t="shared" si="58"/>
        <v>5241104.376521389</v>
      </c>
      <c r="I452" s="25">
        <f>G452/((1+'How much will I make'!$C$5/12)^(Calculations!$B$1*12-Calculations!$A452))</f>
        <v>3471.5259732035361</v>
      </c>
      <c r="J452" s="25">
        <f t="shared" si="59"/>
        <v>1565977.4440399799</v>
      </c>
      <c r="K452" s="25">
        <f t="shared" si="49"/>
        <v>4524.9636033585584</v>
      </c>
      <c r="L452" s="25">
        <f t="shared" si="60"/>
        <v>22033420.611585878</v>
      </c>
      <c r="M452" s="25">
        <f>K452/((1+'How much will I make'!$C$5/12)^(Calculations!$B$1*12-Calculations!$A452))</f>
        <v>3961.2245565080566</v>
      </c>
      <c r="N452" s="25">
        <f t="shared" si="61"/>
        <v>5183516.7982708858</v>
      </c>
      <c r="O452" s="25">
        <f t="shared" si="50"/>
        <v>5160.4643004240015</v>
      </c>
      <c r="P452" s="25">
        <f t="shared" si="62"/>
        <v>108027935.05413087</v>
      </c>
      <c r="Q452" s="25">
        <f>O452/((1+'How much will I make'!$C$5/12)^(Calculations!$B$1*12-Calculations!$A452))</f>
        <v>4517.5518969147652</v>
      </c>
      <c r="R452" s="25">
        <f t="shared" si="63"/>
        <v>21619171.967356373</v>
      </c>
      <c r="S452" s="25">
        <f t="shared" si="51"/>
        <v>5882.0543738403239</v>
      </c>
      <c r="T452" s="25">
        <f t="shared" si="64"/>
        <v>580041258.60805881</v>
      </c>
      <c r="U452" s="25">
        <f>S452/((1+'How much will I make'!$C$5/12)^(Calculations!$B$1*12-Calculations!$A452))</f>
        <v>5149.2432361395968</v>
      </c>
      <c r="V452" s="25">
        <f t="shared" si="65"/>
        <v>105122349.57994774</v>
      </c>
      <c r="W452" s="25">
        <f t="shared" si="52"/>
        <v>6700.9713707750489</v>
      </c>
      <c r="X452" s="25">
        <f t="shared" si="66"/>
        <v>3284461068.2437153</v>
      </c>
      <c r="Y452" s="25">
        <f>W452/((1+'How much will I make'!$C$5/12)^(Calculations!$B$1*12-Calculations!$A452))</f>
        <v>5866.1361003367665</v>
      </c>
      <c r="Z452" s="25">
        <f t="shared" si="67"/>
        <v>559808428.86650681</v>
      </c>
      <c r="AA452" s="25">
        <f t="shared" si="53"/>
        <v>7629.8647484937592</v>
      </c>
      <c r="AB452" s="25">
        <f t="shared" si="68"/>
        <v>19204786234.225697</v>
      </c>
      <c r="AC452" s="25">
        <f>AA452/((1+'How much will I make'!$C$5/12)^(Calculations!$B$1*12-Calculations!$A452))</f>
        <v>6679.3040240447053</v>
      </c>
      <c r="AD452" s="25">
        <f t="shared" si="69"/>
        <v>3144271491.6353621</v>
      </c>
      <c r="AE452" s="25">
        <f t="shared" si="54"/>
        <v>8682.9664226108089</v>
      </c>
      <c r="AF452" s="25">
        <f t="shared" si="70"/>
        <v>114564752283.28548</v>
      </c>
      <c r="AG452" s="25">
        <f>AE452/((1+'How much will I make'!$C$5/12)^(Calculations!$B$1*12-Calculations!$A452))</f>
        <v>7601.2058508165137</v>
      </c>
      <c r="AH452" s="25">
        <f t="shared" si="71"/>
        <v>18238586243.139221</v>
      </c>
    </row>
    <row r="453" spans="1:34" ht="15.75" customHeight="1">
      <c r="A453" s="22">
        <f t="shared" si="55"/>
        <v>449</v>
      </c>
      <c r="B453" s="22">
        <f t="shared" si="87"/>
        <v>3040.7034713852304</v>
      </c>
      <c r="C453" s="25">
        <f t="shared" si="47"/>
        <v>3459.0265595581432</v>
      </c>
      <c r="D453" s="25">
        <f t="shared" si="56"/>
        <v>1576378.7662920624</v>
      </c>
      <c r="E453" s="25">
        <f>$C453/((1+'How much will I make'!$C$5/12)^(Calculations!$B$1*12-Calculations!$A453))</f>
        <v>3040.7034713852304</v>
      </c>
      <c r="F453" s="25">
        <f t="shared" si="57"/>
        <v>624972.35048938077</v>
      </c>
      <c r="G453" s="25">
        <f t="shared" si="48"/>
        <v>3932.8005528534304</v>
      </c>
      <c r="H453" s="25">
        <f t="shared" si="58"/>
        <v>5245037.1770742424</v>
      </c>
      <c r="I453" s="25">
        <f>G453/((1+'How much will I make'!$C$5/12)^(Calculations!$B$1*12-Calculations!$A453))</f>
        <v>3457.1808245539337</v>
      </c>
      <c r="J453" s="25">
        <f t="shared" si="59"/>
        <v>1569434.6248645338</v>
      </c>
      <c r="K453" s="25">
        <f t="shared" si="49"/>
        <v>4469.0998551689463</v>
      </c>
      <c r="L453" s="25">
        <f t="shared" si="60"/>
        <v>22037889.711441047</v>
      </c>
      <c r="M453" s="25">
        <f>K453/((1+'How much will I make'!$C$5/12)^(Calculations!$B$1*12-Calculations!$A453))</f>
        <v>3928.6218852610755</v>
      </c>
      <c r="N453" s="25">
        <f t="shared" si="61"/>
        <v>5187445.4201561473</v>
      </c>
      <c r="O453" s="25">
        <f t="shared" si="50"/>
        <v>5075.8665250072145</v>
      </c>
      <c r="P453" s="25">
        <f t="shared" si="62"/>
        <v>108033010.92065588</v>
      </c>
      <c r="Q453" s="25">
        <f>O453/((1+'How much will I make'!$C$5/12)^(Calculations!$B$1*12-Calculations!$A453))</f>
        <v>4462.0082260510571</v>
      </c>
      <c r="R453" s="25">
        <f t="shared" si="63"/>
        <v>21623633.975582425</v>
      </c>
      <c r="S453" s="25">
        <f t="shared" si="51"/>
        <v>5762.0124478435837</v>
      </c>
      <c r="T453" s="25">
        <f t="shared" si="64"/>
        <v>580047020.62050664</v>
      </c>
      <c r="U453" s="25">
        <f>S453/((1+'How much will I make'!$C$5/12)^(Calculations!$B$1*12-Calculations!$A453))</f>
        <v>5065.1739588148685</v>
      </c>
      <c r="V453" s="25">
        <f t="shared" si="65"/>
        <v>105127414.75390655</v>
      </c>
      <c r="W453" s="25">
        <f t="shared" si="52"/>
        <v>6537.5330446585858</v>
      </c>
      <c r="X453" s="25">
        <f t="shared" si="66"/>
        <v>3284467605.7767601</v>
      </c>
      <c r="Y453" s="25">
        <f>W453/((1+'How much will I make'!$C$5/12)^(Calculations!$B$1*12-Calculations!$A453))</f>
        <v>5746.9056917933367</v>
      </c>
      <c r="Z453" s="25">
        <f t="shared" si="67"/>
        <v>559814175.77219856</v>
      </c>
      <c r="AA453" s="25">
        <f t="shared" si="53"/>
        <v>7413.6337637186343</v>
      </c>
      <c r="AB453" s="25">
        <f t="shared" si="68"/>
        <v>19204793647.859459</v>
      </c>
      <c r="AC453" s="25">
        <f>AA453/((1+'How much will I make'!$C$5/12)^(Calculations!$B$1*12-Calculations!$A453))</f>
        <v>6517.0537238654815</v>
      </c>
      <c r="AD453" s="25">
        <f t="shared" si="69"/>
        <v>3144278008.689086</v>
      </c>
      <c r="AE453" s="25">
        <f t="shared" si="54"/>
        <v>8402.8707315588472</v>
      </c>
      <c r="AF453" s="25">
        <f t="shared" si="70"/>
        <v>114564760686.1562</v>
      </c>
      <c r="AG453" s="25">
        <f>AE453/((1+'How much will I make'!$C$5/12)^(Calculations!$B$1*12-Calculations!$A453))</f>
        <v>7386.6556856724974</v>
      </c>
      <c r="AH453" s="25">
        <f t="shared" si="71"/>
        <v>18238593629.794907</v>
      </c>
    </row>
    <row r="454" spans="1:34" ht="15.75" customHeight="1">
      <c r="A454" s="22">
        <f t="shared" si="55"/>
        <v>450</v>
      </c>
      <c r="B454" s="22">
        <f t="shared" si="87"/>
        <v>3040.7034713852304</v>
      </c>
      <c r="C454" s="25">
        <f t="shared" si="47"/>
        <v>3444.6737522570706</v>
      </c>
      <c r="D454" s="25">
        <f t="shared" si="56"/>
        <v>1579823.4400443195</v>
      </c>
      <c r="E454" s="25">
        <f>$C454/((1+'How much will I make'!$C$5/12)^(Calculations!$B$1*12-Calculations!$A454))</f>
        <v>3040.7034713852304</v>
      </c>
      <c r="F454" s="25">
        <f t="shared" si="57"/>
        <v>628013.05396076594</v>
      </c>
      <c r="G454" s="25">
        <f t="shared" si="48"/>
        <v>3900.2980689455517</v>
      </c>
      <c r="H454" s="25">
        <f t="shared" si="58"/>
        <v>5248937.4751431877</v>
      </c>
      <c r="I454" s="25">
        <f>G454/((1+'How much will I make'!$C$5/12)^(Calculations!$B$1*12-Calculations!$A454))</f>
        <v>3442.8949533780938</v>
      </c>
      <c r="J454" s="25">
        <f t="shared" si="59"/>
        <v>1572877.5198179118</v>
      </c>
      <c r="K454" s="25">
        <f t="shared" si="49"/>
        <v>4413.9257828829104</v>
      </c>
      <c r="L454" s="25">
        <f t="shared" si="60"/>
        <v>22042303.637223929</v>
      </c>
      <c r="M454" s="25">
        <f>K454/((1+'How much will I make'!$C$5/12)^(Calculations!$B$1*12-Calculations!$A454))</f>
        <v>3896.2875487568717</v>
      </c>
      <c r="N454" s="25">
        <f t="shared" si="61"/>
        <v>5191341.7077049045</v>
      </c>
      <c r="O454" s="25">
        <f t="shared" si="50"/>
        <v>4992.6555983677536</v>
      </c>
      <c r="P454" s="25">
        <f t="shared" si="62"/>
        <v>108038003.57625425</v>
      </c>
      <c r="Q454" s="25">
        <f>O454/((1+'How much will I make'!$C$5/12)^(Calculations!$B$1*12-Calculations!$A454))</f>
        <v>4407.1474691733838</v>
      </c>
      <c r="R454" s="25">
        <f t="shared" si="63"/>
        <v>21628041.123051599</v>
      </c>
      <c r="S454" s="25">
        <f t="shared" si="51"/>
        <v>5644.4203570712662</v>
      </c>
      <c r="T454" s="25">
        <f t="shared" si="64"/>
        <v>580052665.04086375</v>
      </c>
      <c r="U454" s="25">
        <f>S454/((1+'How much will I make'!$C$5/12)^(Calculations!$B$1*12-Calculations!$A454))</f>
        <v>4982.4772411199338</v>
      </c>
      <c r="V454" s="25">
        <f t="shared" si="65"/>
        <v>105132397.23114766</v>
      </c>
      <c r="W454" s="25">
        <f t="shared" si="52"/>
        <v>6378.081019179107</v>
      </c>
      <c r="X454" s="25">
        <f t="shared" si="66"/>
        <v>3284473983.8577795</v>
      </c>
      <c r="Y454" s="25">
        <f>W454/((1+'How much will I make'!$C$5/12)^(Calculations!$B$1*12-Calculations!$A454))</f>
        <v>5630.0986655373763</v>
      </c>
      <c r="Z454" s="25">
        <f t="shared" si="67"/>
        <v>559819805.87086415</v>
      </c>
      <c r="AA454" s="25">
        <f t="shared" si="53"/>
        <v>7203.5307825606178</v>
      </c>
      <c r="AB454" s="25">
        <f t="shared" si="68"/>
        <v>19204800851.39024</v>
      </c>
      <c r="AC454" s="25">
        <f>AA454/((1+'How much will I make'!$C$5/12)^(Calculations!$B$1*12-Calculations!$A454))</f>
        <v>6358.7447265246237</v>
      </c>
      <c r="AD454" s="25">
        <f t="shared" si="69"/>
        <v>3144284367.4338126</v>
      </c>
      <c r="AE454" s="25">
        <f t="shared" si="54"/>
        <v>8131.8103853795274</v>
      </c>
      <c r="AF454" s="25">
        <f t="shared" si="70"/>
        <v>114564768817.96658</v>
      </c>
      <c r="AG454" s="25">
        <f>AE454/((1+'How much will I make'!$C$5/12)^(Calculations!$B$1*12-Calculations!$A454))</f>
        <v>7178.1613719640009</v>
      </c>
      <c r="AH454" s="25">
        <f t="shared" si="71"/>
        <v>18238600807.95628</v>
      </c>
    </row>
    <row r="455" spans="1:34" ht="15.75" customHeight="1">
      <c r="A455" s="22">
        <f t="shared" si="55"/>
        <v>451</v>
      </c>
      <c r="B455" s="22">
        <f t="shared" si="87"/>
        <v>3040.7034713852304</v>
      </c>
      <c r="C455" s="25">
        <f t="shared" si="47"/>
        <v>3430.3805001730166</v>
      </c>
      <c r="D455" s="25">
        <f t="shared" si="56"/>
        <v>1583253.8205444925</v>
      </c>
      <c r="E455" s="25">
        <f>$C455/((1+'How much will I make'!$C$5/12)^(Calculations!$B$1*12-Calculations!$A455))</f>
        <v>3040.7034713852304</v>
      </c>
      <c r="F455" s="25">
        <f t="shared" si="57"/>
        <v>631053.75743215112</v>
      </c>
      <c r="G455" s="25">
        <f t="shared" si="48"/>
        <v>3868.064200607158</v>
      </c>
      <c r="H455" s="25">
        <f t="shared" si="58"/>
        <v>5252805.5393437948</v>
      </c>
      <c r="I455" s="25">
        <f>G455/((1+'How much will I make'!$C$5/12)^(Calculations!$B$1*12-Calculations!$A455))</f>
        <v>3428.66811472777</v>
      </c>
      <c r="J455" s="25">
        <f t="shared" si="59"/>
        <v>1576306.1879326396</v>
      </c>
      <c r="K455" s="25">
        <f t="shared" si="49"/>
        <v>4359.4328719831201</v>
      </c>
      <c r="L455" s="25">
        <f t="shared" si="60"/>
        <v>22046663.070095912</v>
      </c>
      <c r="M455" s="25">
        <f>K455/((1+'How much will I make'!$C$5/12)^(Calculations!$B$1*12-Calculations!$A455))</f>
        <v>3864.2193384790357</v>
      </c>
      <c r="N455" s="25">
        <f t="shared" si="61"/>
        <v>5195205.9270433839</v>
      </c>
      <c r="O455" s="25">
        <f t="shared" si="50"/>
        <v>4910.808785279758</v>
      </c>
      <c r="P455" s="25">
        <f t="shared" si="62"/>
        <v>108042914.38503952</v>
      </c>
      <c r="Q455" s="25">
        <f>O455/((1+'How much will I make'!$C$5/12)^(Calculations!$B$1*12-Calculations!$A455))</f>
        <v>4352.9612297983012</v>
      </c>
      <c r="R455" s="25">
        <f t="shared" si="63"/>
        <v>21632394.084281396</v>
      </c>
      <c r="S455" s="25">
        <f t="shared" si="51"/>
        <v>5529.2281048861396</v>
      </c>
      <c r="T455" s="25">
        <f t="shared" si="64"/>
        <v>580058194.26896858</v>
      </c>
      <c r="U455" s="25">
        <f>S455/((1+'How much will I make'!$C$5/12)^(Calculations!$B$1*12-Calculations!$A455))</f>
        <v>4901.1306739179772</v>
      </c>
      <c r="V455" s="25">
        <f t="shared" si="65"/>
        <v>105137298.36182158</v>
      </c>
      <c r="W455" s="25">
        <f t="shared" si="52"/>
        <v>6222.5180674918129</v>
      </c>
      <c r="X455" s="25">
        <f t="shared" si="66"/>
        <v>3284480206.3758469</v>
      </c>
      <c r="Y455" s="25">
        <f>W455/((1+'How much will I make'!$C$5/12)^(Calculations!$B$1*12-Calculations!$A455))</f>
        <v>5515.6657658313325</v>
      </c>
      <c r="Z455" s="25">
        <f t="shared" si="67"/>
        <v>559825321.53663003</v>
      </c>
      <c r="AA455" s="25">
        <f t="shared" si="53"/>
        <v>6999.3821369010047</v>
      </c>
      <c r="AB455" s="25">
        <f t="shared" si="68"/>
        <v>19204807850.772377</v>
      </c>
      <c r="AC455" s="25">
        <f>AA455/((1+'How much will I make'!$C$5/12)^(Calculations!$B$1*12-Calculations!$A455))</f>
        <v>6204.2812918722029</v>
      </c>
      <c r="AD455" s="25">
        <f t="shared" si="69"/>
        <v>3144290571.7151046</v>
      </c>
      <c r="AE455" s="25">
        <f t="shared" si="54"/>
        <v>7869.4939213350262</v>
      </c>
      <c r="AF455" s="25">
        <f t="shared" si="70"/>
        <v>114564776687.46051</v>
      </c>
      <c r="AG455" s="25">
        <f>AE455/((1+'How much will I make'!$C$5/12)^(Calculations!$B$1*12-Calculations!$A455))</f>
        <v>6975.5519784005</v>
      </c>
      <c r="AH455" s="25">
        <f t="shared" si="71"/>
        <v>18238607783.508259</v>
      </c>
    </row>
    <row r="456" spans="1:34" ht="15.75" customHeight="1">
      <c r="A456" s="22">
        <f t="shared" si="55"/>
        <v>452</v>
      </c>
      <c r="B456" s="22">
        <f t="shared" si="87"/>
        <v>3040.7034713852304</v>
      </c>
      <c r="C456" s="25">
        <f t="shared" si="47"/>
        <v>3416.1465561888963</v>
      </c>
      <c r="D456" s="25">
        <f t="shared" si="56"/>
        <v>1586669.9671006813</v>
      </c>
      <c r="E456" s="25">
        <f>$C456/((1+'How much will I make'!$C$5/12)^(Calculations!$B$1*12-Calculations!$A456))</f>
        <v>3040.7034713852304</v>
      </c>
      <c r="F456" s="25">
        <f t="shared" si="57"/>
        <v>634094.4609035363</v>
      </c>
      <c r="G456" s="25">
        <f t="shared" si="48"/>
        <v>3836.0967278748685</v>
      </c>
      <c r="H456" s="25">
        <f t="shared" si="58"/>
        <v>5256641.6360716699</v>
      </c>
      <c r="I456" s="25">
        <f>G456/((1+'How much will I make'!$C$5/12)^(Calculations!$B$1*12-Calculations!$A456))</f>
        <v>3414.5000646669123</v>
      </c>
      <c r="J456" s="25">
        <f t="shared" si="59"/>
        <v>1579720.6879973065</v>
      </c>
      <c r="K456" s="25">
        <f t="shared" si="49"/>
        <v>4305.6127130697496</v>
      </c>
      <c r="L456" s="25">
        <f t="shared" si="60"/>
        <v>22050968.68280898</v>
      </c>
      <c r="M456" s="25">
        <f>K456/((1+'How much will I make'!$C$5/12)^(Calculations!$B$1*12-Calculations!$A456))</f>
        <v>3832.4150640882631</v>
      </c>
      <c r="N456" s="25">
        <f t="shared" si="61"/>
        <v>5199038.342107472</v>
      </c>
      <c r="O456" s="25">
        <f t="shared" si="50"/>
        <v>4830.3037232259912</v>
      </c>
      <c r="P456" s="25">
        <f t="shared" si="62"/>
        <v>108047744.68876275</v>
      </c>
      <c r="Q456" s="25">
        <f>O456/((1+'How much will I make'!$C$5/12)^(Calculations!$B$1*12-Calculations!$A456))</f>
        <v>4299.4412146778304</v>
      </c>
      <c r="R456" s="25">
        <f t="shared" si="63"/>
        <v>21636693.525496073</v>
      </c>
      <c r="S456" s="25">
        <f t="shared" si="51"/>
        <v>5416.3867149905036</v>
      </c>
      <c r="T456" s="25">
        <f t="shared" si="64"/>
        <v>580063610.65568352</v>
      </c>
      <c r="U456" s="25">
        <f>S456/((1+'How much will I make'!$C$5/12)^(Calculations!$B$1*12-Calculations!$A456))</f>
        <v>4821.1122139356421</v>
      </c>
      <c r="V456" s="25">
        <f t="shared" si="65"/>
        <v>105142119.47403552</v>
      </c>
      <c r="W456" s="25">
        <f t="shared" si="52"/>
        <v>6070.7493341383533</v>
      </c>
      <c r="X456" s="25">
        <f t="shared" si="66"/>
        <v>3284486277.1251812</v>
      </c>
      <c r="Y456" s="25">
        <f>W456/((1+'How much will I make'!$C$5/12)^(Calculations!$B$1*12-Calculations!$A456))</f>
        <v>5403.5587380705319</v>
      </c>
      <c r="Z456" s="25">
        <f t="shared" si="67"/>
        <v>559830725.09536815</v>
      </c>
      <c r="AA456" s="25">
        <f t="shared" si="53"/>
        <v>6801.0190803896403</v>
      </c>
      <c r="AB456" s="25">
        <f t="shared" si="68"/>
        <v>19204814651.791458</v>
      </c>
      <c r="AC456" s="25">
        <f>AA456/((1+'How much will I make'!$C$5/12)^(Calculations!$B$1*12-Calculations!$A456))</f>
        <v>6053.5700054299632</v>
      </c>
      <c r="AD456" s="25">
        <f t="shared" si="69"/>
        <v>3144296625.28511</v>
      </c>
      <c r="AE456" s="25">
        <f t="shared" si="54"/>
        <v>7615.6392787113164</v>
      </c>
      <c r="AF456" s="25">
        <f t="shared" si="70"/>
        <v>114564784303.09979</v>
      </c>
      <c r="AG456" s="25">
        <f>AE456/((1+'How much will I make'!$C$5/12)^(Calculations!$B$1*12-Calculations!$A456))</f>
        <v>6778.6613983650022</v>
      </c>
      <c r="AH456" s="25">
        <f t="shared" si="71"/>
        <v>18238614562.169659</v>
      </c>
    </row>
    <row r="457" spans="1:34" ht="15.75" customHeight="1">
      <c r="A457" s="22">
        <f t="shared" si="55"/>
        <v>453</v>
      </c>
      <c r="B457" s="22">
        <f t="shared" si="87"/>
        <v>3040.7034713852304</v>
      </c>
      <c r="C457" s="25">
        <f t="shared" si="47"/>
        <v>3401.9716742130086</v>
      </c>
      <c r="D457" s="25">
        <f t="shared" si="56"/>
        <v>1590071.9387748942</v>
      </c>
      <c r="E457" s="25">
        <f>$C457/((1+'How much will I make'!$C$5/12)^(Calculations!$B$1*12-Calculations!$A457))</f>
        <v>3040.7034713852304</v>
      </c>
      <c r="F457" s="25">
        <f t="shared" si="57"/>
        <v>637135.16437492147</v>
      </c>
      <c r="G457" s="25">
        <f t="shared" si="48"/>
        <v>3804.3934491321006</v>
      </c>
      <c r="H457" s="25">
        <f t="shared" si="58"/>
        <v>5260446.0295208022</v>
      </c>
      <c r="I457" s="25">
        <f>G457/((1+'How much will I make'!$C$5/12)^(Calculations!$B$1*12-Calculations!$A457))</f>
        <v>3400.3905602674622</v>
      </c>
      <c r="J457" s="25">
        <f t="shared" si="59"/>
        <v>1583121.078557574</v>
      </c>
      <c r="K457" s="25">
        <f t="shared" si="49"/>
        <v>4252.4570005627147</v>
      </c>
      <c r="L457" s="25">
        <f t="shared" si="60"/>
        <v>22055221.139809541</v>
      </c>
      <c r="M457" s="25">
        <f>K457/((1+'How much will I make'!$C$5/12)^(Calculations!$B$1*12-Calculations!$A457))</f>
        <v>3800.8725532727212</v>
      </c>
      <c r="N457" s="25">
        <f t="shared" si="61"/>
        <v>5202839.2146607451</v>
      </c>
      <c r="O457" s="25">
        <f t="shared" si="50"/>
        <v>4751.118416287859</v>
      </c>
      <c r="P457" s="25">
        <f t="shared" si="62"/>
        <v>108052495.80717905</v>
      </c>
      <c r="Q457" s="25">
        <f>O457/((1+'How much will I make'!$C$5/12)^(Calculations!$B$1*12-Calculations!$A457))</f>
        <v>4246.5792325301509</v>
      </c>
      <c r="R457" s="25">
        <f t="shared" si="63"/>
        <v>21640940.104728602</v>
      </c>
      <c r="S457" s="25">
        <f t="shared" si="51"/>
        <v>5305.8482106029433</v>
      </c>
      <c r="T457" s="25">
        <f t="shared" si="64"/>
        <v>580068916.50389409</v>
      </c>
      <c r="U457" s="25">
        <f>S457/((1+'How much will I make'!$C$5/12)^(Calculations!$B$1*12-Calculations!$A457))</f>
        <v>4742.4001777897547</v>
      </c>
      <c r="V457" s="25">
        <f t="shared" si="65"/>
        <v>105146861.87421331</v>
      </c>
      <c r="W457" s="25">
        <f t="shared" si="52"/>
        <v>5922.6822772081505</v>
      </c>
      <c r="X457" s="25">
        <f t="shared" si="66"/>
        <v>3284492199.8074584</v>
      </c>
      <c r="Y457" s="25">
        <f>W457/((1+'How much will I make'!$C$5/12)^(Calculations!$B$1*12-Calculations!$A457))</f>
        <v>5293.7303084349533</v>
      </c>
      <c r="Z457" s="25">
        <f t="shared" si="67"/>
        <v>559836018.82567656</v>
      </c>
      <c r="AA457" s="25">
        <f t="shared" si="53"/>
        <v>6608.2776489615962</v>
      </c>
      <c r="AB457" s="25">
        <f t="shared" si="68"/>
        <v>19204821260.069107</v>
      </c>
      <c r="AC457" s="25">
        <f>AA457/((1+'How much will I make'!$C$5/12)^(Calculations!$B$1*12-Calculations!$A457))</f>
        <v>5906.5197218972544</v>
      </c>
      <c r="AD457" s="25">
        <f t="shared" si="69"/>
        <v>3144302531.804832</v>
      </c>
      <c r="AE457" s="25">
        <f t="shared" si="54"/>
        <v>7369.9734955270769</v>
      </c>
      <c r="AF457" s="25">
        <f t="shared" si="70"/>
        <v>114564791673.07329</v>
      </c>
      <c r="AG457" s="25">
        <f>AE457/((1+'How much will I make'!$C$5/12)^(Calculations!$B$1*12-Calculations!$A457))</f>
        <v>6587.3282137337301</v>
      </c>
      <c r="AH457" s="25">
        <f t="shared" si="71"/>
        <v>18238621149.497871</v>
      </c>
    </row>
    <row r="458" spans="1:34" ht="15.75" customHeight="1">
      <c r="A458" s="22">
        <f t="shared" si="55"/>
        <v>454</v>
      </c>
      <c r="B458" s="22">
        <f t="shared" si="87"/>
        <v>3040.7034713852304</v>
      </c>
      <c r="C458" s="25">
        <f t="shared" si="47"/>
        <v>3387.855609174781</v>
      </c>
      <c r="D458" s="25">
        <f t="shared" si="56"/>
        <v>1593459.794384069</v>
      </c>
      <c r="E458" s="25">
        <f>$C458/((1+'How much will I make'!$C$5/12)^(Calculations!$B$1*12-Calculations!$A458))</f>
        <v>3040.7034713852304</v>
      </c>
      <c r="F458" s="25">
        <f t="shared" si="57"/>
        <v>640175.86784630665</v>
      </c>
      <c r="G458" s="25">
        <f t="shared" si="48"/>
        <v>3772.9521809574553</v>
      </c>
      <c r="H458" s="25">
        <f t="shared" si="58"/>
        <v>5264218.9817017596</v>
      </c>
      <c r="I458" s="25">
        <f>G458/((1+'How much will I make'!$C$5/12)^(Calculations!$B$1*12-Calculations!$A458))</f>
        <v>3386.3393596051992</v>
      </c>
      <c r="J458" s="25">
        <f t="shared" si="59"/>
        <v>1586507.4179171792</v>
      </c>
      <c r="K458" s="25">
        <f t="shared" si="49"/>
        <v>4199.9575314199665</v>
      </c>
      <c r="L458" s="25">
        <f t="shared" si="60"/>
        <v>22059421.09734096</v>
      </c>
      <c r="M458" s="25">
        <f>K458/((1+'How much will I make'!$C$5/12)^(Calculations!$B$1*12-Calculations!$A458))</f>
        <v>3769.5896515996951</v>
      </c>
      <c r="N458" s="25">
        <f t="shared" si="61"/>
        <v>5206608.8043123446</v>
      </c>
      <c r="O458" s="25">
        <f t="shared" si="50"/>
        <v>4673.2312291356002</v>
      </c>
      <c r="P458" s="25">
        <f t="shared" si="62"/>
        <v>108057169.03840819</v>
      </c>
      <c r="Q458" s="25">
        <f>O458/((1+'How much will I make'!$C$5/12)^(Calculations!$B$1*12-Calculations!$A458))</f>
        <v>4194.3671927859277</v>
      </c>
      <c r="R458" s="25">
        <f t="shared" si="63"/>
        <v>21645134.471921388</v>
      </c>
      <c r="S458" s="25">
        <f t="shared" si="51"/>
        <v>5197.5655940600263</v>
      </c>
      <c r="T458" s="25">
        <f t="shared" si="64"/>
        <v>580074114.06948817</v>
      </c>
      <c r="U458" s="25">
        <f>S458/((1+'How much will I make'!$C$5/12)^(Calculations!$B$1*12-Calculations!$A458))</f>
        <v>4664.9732361115539</v>
      </c>
      <c r="V458" s="25">
        <f t="shared" si="65"/>
        <v>105151526.84744942</v>
      </c>
      <c r="W458" s="25">
        <f t="shared" si="52"/>
        <v>5778.2266119103906</v>
      </c>
      <c r="X458" s="25">
        <f t="shared" si="66"/>
        <v>3284497978.0340705</v>
      </c>
      <c r="Y458" s="25">
        <f>W458/((1+'How much will I make'!$C$5/12)^(Calculations!$B$1*12-Calculations!$A458))</f>
        <v>5186.1341639545672</v>
      </c>
      <c r="Z458" s="25">
        <f t="shared" si="67"/>
        <v>559841204.95984054</v>
      </c>
      <c r="AA458" s="25">
        <f t="shared" si="53"/>
        <v>6420.9985253068153</v>
      </c>
      <c r="AB458" s="25">
        <f t="shared" si="68"/>
        <v>19204827681.067631</v>
      </c>
      <c r="AC458" s="25">
        <f>AA458/((1+'How much will I make'!$C$5/12)^(Calculations!$B$1*12-Calculations!$A458))</f>
        <v>5763.0415100293039</v>
      </c>
      <c r="AD458" s="25">
        <f t="shared" si="69"/>
        <v>3144308294.8463421</v>
      </c>
      <c r="AE458" s="25">
        <f t="shared" si="54"/>
        <v>7132.2324150262039</v>
      </c>
      <c r="AF458" s="25">
        <f t="shared" si="70"/>
        <v>114564798805.30571</v>
      </c>
      <c r="AG458" s="25">
        <f>AE458/((1+'How much will I make'!$C$5/12)^(Calculations!$B$1*12-Calculations!$A458))</f>
        <v>6401.3955625396311</v>
      </c>
      <c r="AH458" s="25">
        <f t="shared" si="71"/>
        <v>18238627550.893433</v>
      </c>
    </row>
    <row r="459" spans="1:34" ht="15.75" customHeight="1">
      <c r="A459" s="22">
        <f t="shared" si="55"/>
        <v>455</v>
      </c>
      <c r="B459" s="22">
        <f t="shared" si="87"/>
        <v>3040.7034713852304</v>
      </c>
      <c r="C459" s="25">
        <f t="shared" si="47"/>
        <v>3373.798117020528</v>
      </c>
      <c r="D459" s="25">
        <f t="shared" si="56"/>
        <v>1596833.5925010897</v>
      </c>
      <c r="E459" s="25">
        <f>$C459/((1+'How much will I make'!$C$5/12)^(Calculations!$B$1*12-Calculations!$A459))</f>
        <v>3040.7034713852304</v>
      </c>
      <c r="F459" s="25">
        <f t="shared" si="57"/>
        <v>643216.57131769182</v>
      </c>
      <c r="G459" s="25">
        <f t="shared" si="48"/>
        <v>3741.7707579743355</v>
      </c>
      <c r="H459" s="25">
        <f t="shared" si="58"/>
        <v>5267960.7524597337</v>
      </c>
      <c r="I459" s="25">
        <f>G459/((1+'How much will I make'!$C$5/12)^(Calculations!$B$1*12-Calculations!$A459))</f>
        <v>3372.3462217555916</v>
      </c>
      <c r="J459" s="25">
        <f t="shared" si="59"/>
        <v>1589879.7641389347</v>
      </c>
      <c r="K459" s="25">
        <f t="shared" si="49"/>
        <v>4148.1062038715709</v>
      </c>
      <c r="L459" s="25">
        <f t="shared" si="60"/>
        <v>22063569.203544833</v>
      </c>
      <c r="M459" s="25">
        <f>K459/((1+'How much will I make'!$C$5/12)^(Calculations!$B$1*12-Calculations!$A459))</f>
        <v>3738.5642223684217</v>
      </c>
      <c r="N459" s="25">
        <f t="shared" si="61"/>
        <v>5210347.3685347131</v>
      </c>
      <c r="O459" s="25">
        <f t="shared" si="50"/>
        <v>4596.6208811169836</v>
      </c>
      <c r="P459" s="25">
        <f t="shared" si="62"/>
        <v>108061765.6592893</v>
      </c>
      <c r="Q459" s="25">
        <f>O459/((1+'How much will I make'!$C$5/12)^(Calculations!$B$1*12-Calculations!$A459))</f>
        <v>4142.7971043500365</v>
      </c>
      <c r="R459" s="25">
        <f t="shared" si="63"/>
        <v>21649277.269025739</v>
      </c>
      <c r="S459" s="25">
        <f t="shared" si="51"/>
        <v>5091.4928268343128</v>
      </c>
      <c r="T459" s="25">
        <f t="shared" si="64"/>
        <v>580079205.56231499</v>
      </c>
      <c r="U459" s="25">
        <f>S459/((1+'How much will I make'!$C$5/12)^(Calculations!$B$1*12-Calculations!$A459))</f>
        <v>4588.8104077668786</v>
      </c>
      <c r="V459" s="25">
        <f t="shared" si="65"/>
        <v>105156115.65785719</v>
      </c>
      <c r="W459" s="25">
        <f t="shared" si="52"/>
        <v>5637.2942555223326</v>
      </c>
      <c r="X459" s="25">
        <f t="shared" si="66"/>
        <v>3284503615.3283262</v>
      </c>
      <c r="Y459" s="25">
        <f>W459/((1+'How much will I make'!$C$5/12)^(Calculations!$B$1*12-Calculations!$A459))</f>
        <v>5080.7249329798824</v>
      </c>
      <c r="Z459" s="25">
        <f t="shared" si="67"/>
        <v>559846285.68477356</v>
      </c>
      <c r="AA459" s="25">
        <f t="shared" si="53"/>
        <v>6239.0269071807115</v>
      </c>
      <c r="AB459" s="25">
        <f t="shared" si="68"/>
        <v>19204833920.09454</v>
      </c>
      <c r="AC459" s="25">
        <f>AA459/((1+'How much will I make'!$C$5/12)^(Calculations!$B$1*12-Calculations!$A459))</f>
        <v>5623.0485988545051</v>
      </c>
      <c r="AD459" s="25">
        <f t="shared" si="69"/>
        <v>3144313917.8949409</v>
      </c>
      <c r="AE459" s="25">
        <f t="shared" si="54"/>
        <v>6902.1604016382616</v>
      </c>
      <c r="AF459" s="25">
        <f t="shared" si="70"/>
        <v>114564805707.46611</v>
      </c>
      <c r="AG459" s="25">
        <f>AE459/((1+'How much will I make'!$C$5/12)^(Calculations!$B$1*12-Calculations!$A459))</f>
        <v>6220.7110103711757</v>
      </c>
      <c r="AH459" s="25">
        <f t="shared" si="71"/>
        <v>18238633771.604443</v>
      </c>
    </row>
    <row r="460" spans="1:34" ht="15.75" customHeight="1">
      <c r="A460" s="22">
        <f t="shared" si="55"/>
        <v>456</v>
      </c>
      <c r="B460" s="22">
        <f t="shared" si="87"/>
        <v>3040.7034713852304</v>
      </c>
      <c r="C460" s="25">
        <f t="shared" si="47"/>
        <v>3359.7989547092398</v>
      </c>
      <c r="D460" s="25">
        <f t="shared" si="56"/>
        <v>1600193.3914557989</v>
      </c>
      <c r="E460" s="25">
        <f>$C460/((1+'How much will I make'!$C$5/12)^(Calculations!$B$1*12-Calculations!$A460))</f>
        <v>3040.7034713852304</v>
      </c>
      <c r="F460" s="25">
        <f t="shared" si="57"/>
        <v>646257.274789077</v>
      </c>
      <c r="G460" s="25">
        <f t="shared" si="48"/>
        <v>3710.8470327018208</v>
      </c>
      <c r="H460" s="25">
        <f t="shared" si="58"/>
        <v>5271671.5994924353</v>
      </c>
      <c r="I460" s="25">
        <f>G460/((1+'How much will I make'!$C$5/12)^(Calculations!$B$1*12-Calculations!$A460))</f>
        <v>3358.4109067896593</v>
      </c>
      <c r="J460" s="25">
        <f t="shared" si="59"/>
        <v>1593238.1750457243</v>
      </c>
      <c r="K460" s="25">
        <f t="shared" si="49"/>
        <v>4096.8950161694529</v>
      </c>
      <c r="L460" s="25">
        <f t="shared" si="60"/>
        <v>22067666.098561004</v>
      </c>
      <c r="M460" s="25">
        <f>K460/((1+'How much will I make'!$C$5/12)^(Calculations!$B$1*12-Calculations!$A460))</f>
        <v>3707.7941464641544</v>
      </c>
      <c r="N460" s="25">
        <f t="shared" si="61"/>
        <v>5214055.1626811773</v>
      </c>
      <c r="O460" s="25">
        <f t="shared" si="50"/>
        <v>4521.2664404429352</v>
      </c>
      <c r="P460" s="25">
        <f t="shared" si="62"/>
        <v>108066286.92572974</v>
      </c>
      <c r="Q460" s="25">
        <f>O460/((1+'How much will I make'!$C$5/12)^(Calculations!$B$1*12-Calculations!$A460))</f>
        <v>4091.8610743785193</v>
      </c>
      <c r="R460" s="25">
        <f t="shared" si="63"/>
        <v>21653369.130100116</v>
      </c>
      <c r="S460" s="25">
        <f t="shared" si="51"/>
        <v>4987.5848099601435</v>
      </c>
      <c r="T460" s="25">
        <f t="shared" si="64"/>
        <v>580084193.14712501</v>
      </c>
      <c r="U460" s="25">
        <f>S460/((1+'How much will I make'!$C$5/12)^(Calculations!$B$1*12-Calculations!$A460))</f>
        <v>4513.8910541706837</v>
      </c>
      <c r="V460" s="25">
        <f t="shared" si="65"/>
        <v>105160629.54891136</v>
      </c>
      <c r="W460" s="25">
        <f t="shared" si="52"/>
        <v>5499.7992736803253</v>
      </c>
      <c r="X460" s="25">
        <f t="shared" si="66"/>
        <v>3284509115.1275997</v>
      </c>
      <c r="Y460" s="25">
        <f>W460/((1+'How much will I make'!$C$5/12)^(Calculations!$B$1*12-Calculations!$A460))</f>
        <v>4977.4581660493968</v>
      </c>
      <c r="Z460" s="25">
        <f t="shared" si="67"/>
        <v>559851263.14293957</v>
      </c>
      <c r="AA460" s="25">
        <f t="shared" si="53"/>
        <v>6062.2123794468453</v>
      </c>
      <c r="AB460" s="25">
        <f t="shared" si="68"/>
        <v>19204839982.306919</v>
      </c>
      <c r="AC460" s="25">
        <f>AA460/((1+'How much will I make'!$C$5/12)^(Calculations!$B$1*12-Calculations!$A460))</f>
        <v>5486.4563251981199</v>
      </c>
      <c r="AD460" s="25">
        <f t="shared" si="69"/>
        <v>3144319404.3512659</v>
      </c>
      <c r="AE460" s="25">
        <f t="shared" si="54"/>
        <v>6679.5100661015431</v>
      </c>
      <c r="AF460" s="25">
        <f t="shared" si="70"/>
        <v>114564812386.97618</v>
      </c>
      <c r="AG460" s="25">
        <f>AE460/((1+'How much will I make'!$C$5/12)^(Calculations!$B$1*12-Calculations!$A460))</f>
        <v>6045.1264254010202</v>
      </c>
      <c r="AH460" s="25">
        <f t="shared" si="71"/>
        <v>18238639816.730869</v>
      </c>
    </row>
    <row r="461" spans="1:34" ht="15.75" customHeight="1">
      <c r="A461" s="22">
        <f t="shared" si="55"/>
        <v>457</v>
      </c>
      <c r="B461" s="22">
        <f>B460*(1+'How much will I make'!$C$4)</f>
        <v>3192.738644954492</v>
      </c>
      <c r="C461" s="25">
        <f t="shared" si="47"/>
        <v>3513.150774218791</v>
      </c>
      <c r="D461" s="25">
        <f t="shared" si="56"/>
        <v>1603706.5422300177</v>
      </c>
      <c r="E461" s="25">
        <f>$C461/((1+'How much will I make'!$C$5/12)^(Calculations!$B$1*12-Calculations!$A461))</f>
        <v>3192.738644954492</v>
      </c>
      <c r="F461" s="25">
        <f t="shared" si="57"/>
        <v>649450.01343403151</v>
      </c>
      <c r="G461" s="25">
        <f t="shared" si="48"/>
        <v>3864.1878191771029</v>
      </c>
      <c r="H461" s="25">
        <f t="shared" si="58"/>
        <v>5275535.7873116126</v>
      </c>
      <c r="I461" s="25">
        <f>G461/((1+'How much will I make'!$C$5/12)^(Calculations!$B$1*12-Calculations!$A461))</f>
        <v>3511.7598345583606</v>
      </c>
      <c r="J461" s="25">
        <f t="shared" si="59"/>
        <v>1596749.9348802827</v>
      </c>
      <c r="K461" s="25">
        <f t="shared" si="49"/>
        <v>4248.631868620173</v>
      </c>
      <c r="L461" s="25">
        <f t="shared" si="60"/>
        <v>22071914.730429623</v>
      </c>
      <c r="M461" s="25">
        <f>K461/((1+'How much will I make'!$C$5/12)^(Calculations!$B$1*12-Calculations!$A461))</f>
        <v>3861.1411883240908</v>
      </c>
      <c r="N461" s="25">
        <f t="shared" si="61"/>
        <v>5217916.3038695017</v>
      </c>
      <c r="O461" s="25">
        <f t="shared" si="50"/>
        <v>4669.5046843918835</v>
      </c>
      <c r="P461" s="25">
        <f t="shared" si="62"/>
        <v>108070956.43041413</v>
      </c>
      <c r="Q461" s="25">
        <f>O461/((1+'How much will I make'!$C$5/12)^(Calculations!$B$1*12-Calculations!$A461))</f>
        <v>4243.6288724241149</v>
      </c>
      <c r="R461" s="25">
        <f t="shared" si="63"/>
        <v>21657612.75897254</v>
      </c>
      <c r="S461" s="25">
        <f t="shared" si="51"/>
        <v>5130.0872331018618</v>
      </c>
      <c r="T461" s="25">
        <f t="shared" si="64"/>
        <v>580089323.23435807</v>
      </c>
      <c r="U461" s="25">
        <f>S461/((1+'How much will I make'!$C$5/12)^(Calculations!$B$1*12-Calculations!$A461))</f>
        <v>4662.2046173791487</v>
      </c>
      <c r="V461" s="25">
        <f t="shared" si="65"/>
        <v>105165291.75352874</v>
      </c>
      <c r="W461" s="25">
        <f t="shared" si="52"/>
        <v>5633.9407193798461</v>
      </c>
      <c r="X461" s="25">
        <f t="shared" si="66"/>
        <v>3284514749.0683193</v>
      </c>
      <c r="Y461" s="25">
        <f>W461/((1+'How much will I make'!$C$5/12)^(Calculations!$B$1*12-Calculations!$A461))</f>
        <v>5120.1048330032518</v>
      </c>
      <c r="Z461" s="25">
        <f t="shared" si="67"/>
        <v>559856383.24777257</v>
      </c>
      <c r="AA461" s="25">
        <f t="shared" si="53"/>
        <v>6184.9292292332202</v>
      </c>
      <c r="AB461" s="25">
        <f t="shared" si="68"/>
        <v>19204846167.236149</v>
      </c>
      <c r="AC461" s="25">
        <f>AA461/((1+'How much will I make'!$C$5/12)^(Calculations!$B$1*12-Calculations!$A461))</f>
        <v>5620.8411866047945</v>
      </c>
      <c r="AD461" s="25">
        <f t="shared" si="69"/>
        <v>3144325025.1924524</v>
      </c>
      <c r="AE461" s="25">
        <f t="shared" si="54"/>
        <v>6787.2440994257604</v>
      </c>
      <c r="AF461" s="25">
        <f t="shared" si="70"/>
        <v>114564819174.22028</v>
      </c>
      <c r="AG461" s="25">
        <f>AE461/((1+'How much will I make'!$C$5/12)^(Calculations!$B$1*12-Calculations!$A461))</f>
        <v>6168.2227497892245</v>
      </c>
      <c r="AH461" s="25">
        <f t="shared" si="71"/>
        <v>18238645984.953621</v>
      </c>
    </row>
    <row r="462" spans="1:34" ht="15.75" customHeight="1">
      <c r="A462" s="22">
        <f t="shared" si="55"/>
        <v>458</v>
      </c>
      <c r="B462" s="22">
        <f t="shared" ref="B462:B472" si="88">B461</f>
        <v>3192.738644954492</v>
      </c>
      <c r="C462" s="25">
        <f t="shared" si="47"/>
        <v>3498.5733851141476</v>
      </c>
      <c r="D462" s="25">
        <f t="shared" si="56"/>
        <v>1607205.1156151318</v>
      </c>
      <c r="E462" s="25">
        <f>$C462/((1+'How much will I make'!$C$5/12)^(Calculations!$B$1*12-Calculations!$A462))</f>
        <v>3192.738644954492</v>
      </c>
      <c r="F462" s="25">
        <f t="shared" si="57"/>
        <v>652642.75207898603</v>
      </c>
      <c r="G462" s="25">
        <f t="shared" si="48"/>
        <v>3832.2523826549786</v>
      </c>
      <c r="H462" s="25">
        <f t="shared" si="58"/>
        <v>5279368.0396942673</v>
      </c>
      <c r="I462" s="25">
        <f>G462/((1+'How much will I make'!$C$5/12)^(Calculations!$B$1*12-Calculations!$A462))</f>
        <v>3497.2484302833277</v>
      </c>
      <c r="J462" s="25">
        <f t="shared" si="59"/>
        <v>1600247.183310566</v>
      </c>
      <c r="K462" s="25">
        <f t="shared" si="49"/>
        <v>4196.1796233285668</v>
      </c>
      <c r="L462" s="25">
        <f t="shared" si="60"/>
        <v>22076110.910052951</v>
      </c>
      <c r="M462" s="25">
        <f>K462/((1+'How much will I make'!$C$5/12)^(Calculations!$B$1*12-Calculations!$A462))</f>
        <v>3829.3622485024957</v>
      </c>
      <c r="N462" s="25">
        <f t="shared" si="61"/>
        <v>5221745.6661180044</v>
      </c>
      <c r="O462" s="25">
        <f t="shared" si="50"/>
        <v>4592.9554272707064</v>
      </c>
      <c r="P462" s="25">
        <f t="shared" si="62"/>
        <v>108075549.3858414</v>
      </c>
      <c r="Q462" s="25">
        <f>O462/((1+'How much will I make'!$C$5/12)^(Calculations!$B$1*12-Calculations!$A462))</f>
        <v>4191.4531075992309</v>
      </c>
      <c r="R462" s="25">
        <f t="shared" si="63"/>
        <v>21661804.21208014</v>
      </c>
      <c r="S462" s="25">
        <f t="shared" si="51"/>
        <v>5025.3915752834573</v>
      </c>
      <c r="T462" s="25">
        <f t="shared" si="64"/>
        <v>580094348.62593341</v>
      </c>
      <c r="U462" s="25">
        <f>S462/((1+'How much will I make'!$C$5/12)^(Calculations!$B$1*12-Calculations!$A462))</f>
        <v>4586.0869909729608</v>
      </c>
      <c r="V462" s="25">
        <f t="shared" si="65"/>
        <v>105169877.84051971</v>
      </c>
      <c r="W462" s="25">
        <f t="shared" si="52"/>
        <v>5496.5275311022888</v>
      </c>
      <c r="X462" s="25">
        <f t="shared" si="66"/>
        <v>3284520245.5958505</v>
      </c>
      <c r="Y462" s="25">
        <f>W462/((1+'How much will I make'!$C$5/12)^(Calculations!$B$1*12-Calculations!$A462))</f>
        <v>5016.0376616007479</v>
      </c>
      <c r="Z462" s="25">
        <f t="shared" si="67"/>
        <v>559861399.28543413</v>
      </c>
      <c r="AA462" s="25">
        <f t="shared" si="53"/>
        <v>6009.6478340727645</v>
      </c>
      <c r="AB462" s="25">
        <f t="shared" si="68"/>
        <v>19204852176.883984</v>
      </c>
      <c r="AC462" s="25">
        <f>AA462/((1+'How much will I make'!$C$5/12)^(Calculations!$B$1*12-Calculations!$A462))</f>
        <v>5484.3025342986075</v>
      </c>
      <c r="AD462" s="25">
        <f t="shared" si="69"/>
        <v>3144330509.4949865</v>
      </c>
      <c r="AE462" s="25">
        <f t="shared" si="54"/>
        <v>6568.3007413797677</v>
      </c>
      <c r="AF462" s="25">
        <f t="shared" si="70"/>
        <v>114564825742.52101</v>
      </c>
      <c r="AG462" s="25">
        <f>AE462/((1+'How much will I make'!$C$5/12)^(Calculations!$B$1*12-Calculations!$A462))</f>
        <v>5994.1196883032399</v>
      </c>
      <c r="AH462" s="25">
        <f t="shared" si="71"/>
        <v>18238651979.073311</v>
      </c>
    </row>
    <row r="463" spans="1:34" ht="15.75" customHeight="1">
      <c r="A463" s="22">
        <f t="shared" si="55"/>
        <v>459</v>
      </c>
      <c r="B463" s="22">
        <f t="shared" si="88"/>
        <v>3192.738644954492</v>
      </c>
      <c r="C463" s="25">
        <f t="shared" si="47"/>
        <v>3484.0564831012261</v>
      </c>
      <c r="D463" s="25">
        <f t="shared" si="56"/>
        <v>1610689.1720982331</v>
      </c>
      <c r="E463" s="25">
        <f>$C463/((1+'How much will I make'!$C$5/12)^(Calculations!$B$1*12-Calculations!$A463))</f>
        <v>3192.738644954492</v>
      </c>
      <c r="F463" s="25">
        <f t="shared" si="57"/>
        <v>655835.49072394054</v>
      </c>
      <c r="G463" s="25">
        <f t="shared" si="48"/>
        <v>3800.5808753603087</v>
      </c>
      <c r="H463" s="25">
        <f t="shared" si="58"/>
        <v>5283168.6205696277</v>
      </c>
      <c r="I463" s="25">
        <f>G463/((1+'How much will I make'!$C$5/12)^(Calculations!$B$1*12-Calculations!$A463))</f>
        <v>3482.7969904887673</v>
      </c>
      <c r="J463" s="25">
        <f t="shared" si="59"/>
        <v>1603729.9803010547</v>
      </c>
      <c r="K463" s="25">
        <f t="shared" si="49"/>
        <v>4144.3749366208067</v>
      </c>
      <c r="L463" s="25">
        <f t="shared" si="60"/>
        <v>22080255.284989573</v>
      </c>
      <c r="M463" s="25">
        <f>K463/((1+'How much will I make'!$C$5/12)^(Calculations!$B$1*12-Calculations!$A463))</f>
        <v>3797.844863741158</v>
      </c>
      <c r="N463" s="25">
        <f t="shared" si="61"/>
        <v>5225543.5109817451</v>
      </c>
      <c r="O463" s="25">
        <f t="shared" si="50"/>
        <v>4517.661076003973</v>
      </c>
      <c r="P463" s="25">
        <f t="shared" si="62"/>
        <v>108080067.04691741</v>
      </c>
      <c r="Q463" s="25">
        <f>O463/((1+'How much will I make'!$C$5/12)^(Calculations!$B$1*12-Calculations!$A463))</f>
        <v>4139.9188480795674</v>
      </c>
      <c r="R463" s="25">
        <f t="shared" si="63"/>
        <v>21665944.130928218</v>
      </c>
      <c r="S463" s="25">
        <f t="shared" si="51"/>
        <v>4922.8325635429792</v>
      </c>
      <c r="T463" s="25">
        <f t="shared" si="64"/>
        <v>580099271.45849693</v>
      </c>
      <c r="U463" s="25">
        <f>S463/((1+'How much will I make'!$C$5/12)^(Calculations!$B$1*12-Calculations!$A463))</f>
        <v>4511.2121013244223</v>
      </c>
      <c r="V463" s="25">
        <f t="shared" si="65"/>
        <v>105174389.05262104</v>
      </c>
      <c r="W463" s="25">
        <f t="shared" si="52"/>
        <v>5362.465884002233</v>
      </c>
      <c r="X463" s="25">
        <f t="shared" si="66"/>
        <v>3284525608.0617347</v>
      </c>
      <c r="Y463" s="25">
        <f>W463/((1+'How much will I make'!$C$5/12)^(Calculations!$B$1*12-Calculations!$A463))</f>
        <v>4914.0856766088627</v>
      </c>
      <c r="Z463" s="25">
        <f t="shared" si="67"/>
        <v>559866313.37111068</v>
      </c>
      <c r="AA463" s="25">
        <f t="shared" si="53"/>
        <v>5839.3339278439817</v>
      </c>
      <c r="AB463" s="25">
        <f t="shared" si="68"/>
        <v>19204858016.217911</v>
      </c>
      <c r="AC463" s="25">
        <f>AA463/((1+'How much will I make'!$C$5/12)^(Calculations!$B$1*12-Calculations!$A463))</f>
        <v>5351.0806103885188</v>
      </c>
      <c r="AD463" s="25">
        <f t="shared" si="69"/>
        <v>3144335860.5755968</v>
      </c>
      <c r="AE463" s="25">
        <f t="shared" si="54"/>
        <v>6356.4200723030008</v>
      </c>
      <c r="AF463" s="25">
        <f t="shared" si="70"/>
        <v>114564832098.94109</v>
      </c>
      <c r="AG463" s="25">
        <f>AE463/((1+'How much will I make'!$C$5/12)^(Calculations!$B$1*12-Calculations!$A463))</f>
        <v>5824.9308261333899</v>
      </c>
      <c r="AH463" s="25">
        <f t="shared" si="71"/>
        <v>18238657804.004135</v>
      </c>
    </row>
    <row r="464" spans="1:34" ht="15.75" customHeight="1">
      <c r="A464" s="22">
        <f t="shared" si="55"/>
        <v>460</v>
      </c>
      <c r="B464" s="22">
        <f t="shared" si="88"/>
        <v>3192.738644954492</v>
      </c>
      <c r="C464" s="25">
        <f t="shared" si="47"/>
        <v>3469.5998171962419</v>
      </c>
      <c r="D464" s="25">
        <f t="shared" si="56"/>
        <v>1614158.7719154293</v>
      </c>
      <c r="E464" s="25">
        <f>$C464/((1+'How much will I make'!$C$5/12)^(Calculations!$B$1*12-Calculations!$A464))</f>
        <v>3192.738644954492</v>
      </c>
      <c r="F464" s="25">
        <f t="shared" si="57"/>
        <v>659028.22936889506</v>
      </c>
      <c r="G464" s="25">
        <f t="shared" si="48"/>
        <v>3769.1711160598106</v>
      </c>
      <c r="H464" s="25">
        <f t="shared" si="58"/>
        <v>5286937.7916856874</v>
      </c>
      <c r="I464" s="25">
        <f>G464/((1+'How much will I make'!$C$5/12)^(Calculations!$B$1*12-Calculations!$A464))</f>
        <v>3468.4052673875744</v>
      </c>
      <c r="J464" s="25">
        <f t="shared" si="59"/>
        <v>1607198.3855684423</v>
      </c>
      <c r="K464" s="25">
        <f t="shared" si="49"/>
        <v>4093.2098139464761</v>
      </c>
      <c r="L464" s="25">
        <f t="shared" si="60"/>
        <v>22084348.494803518</v>
      </c>
      <c r="M464" s="25">
        <f>K464/((1+'How much will I make'!$C$5/12)^(Calculations!$B$1*12-Calculations!$A464))</f>
        <v>3766.5868813235352</v>
      </c>
      <c r="N464" s="25">
        <f t="shared" si="61"/>
        <v>5229310.0978630688</v>
      </c>
      <c r="O464" s="25">
        <f t="shared" si="50"/>
        <v>4443.6010583645639</v>
      </c>
      <c r="P464" s="25">
        <f t="shared" si="62"/>
        <v>108084510.64797577</v>
      </c>
      <c r="Q464" s="25">
        <f>O464/((1+'How much will I make'!$C$5/12)^(Calculations!$B$1*12-Calculations!$A464))</f>
        <v>4089.0182065048189</v>
      </c>
      <c r="R464" s="25">
        <f t="shared" si="63"/>
        <v>21670033.149134722</v>
      </c>
      <c r="S464" s="25">
        <f t="shared" si="51"/>
        <v>4822.3665928584287</v>
      </c>
      <c r="T464" s="25">
        <f t="shared" si="64"/>
        <v>580104093.82508981</v>
      </c>
      <c r="U464" s="25">
        <f>S464/((1+'How much will I make'!$C$5/12)^(Calculations!$B$1*12-Calculations!$A464))</f>
        <v>4437.5596588538201</v>
      </c>
      <c r="V464" s="25">
        <f t="shared" si="65"/>
        <v>105178826.61227989</v>
      </c>
      <c r="W464" s="25">
        <f t="shared" si="52"/>
        <v>5231.6740331729106</v>
      </c>
      <c r="X464" s="25">
        <f t="shared" si="66"/>
        <v>3284530839.7357678</v>
      </c>
      <c r="Y464" s="25">
        <f>W464/((1+'How much will I make'!$C$5/12)^(Calculations!$B$1*12-Calculations!$A464))</f>
        <v>4814.205886433886</v>
      </c>
      <c r="Z464" s="25">
        <f t="shared" si="67"/>
        <v>559871127.57699716</v>
      </c>
      <c r="AA464" s="25">
        <f t="shared" si="53"/>
        <v>5673.8467315083235</v>
      </c>
      <c r="AB464" s="25">
        <f t="shared" si="68"/>
        <v>19204863690.064644</v>
      </c>
      <c r="AC464" s="25">
        <f>AA464/((1+'How much will I make'!$C$5/12)^(Calculations!$B$1*12-Calculations!$A464))</f>
        <v>5221.0948465734145</v>
      </c>
      <c r="AD464" s="25">
        <f t="shared" si="69"/>
        <v>3144341081.6704435</v>
      </c>
      <c r="AE464" s="25">
        <f t="shared" si="54"/>
        <v>6151.374263519032</v>
      </c>
      <c r="AF464" s="25">
        <f t="shared" si="70"/>
        <v>114564838250.31535</v>
      </c>
      <c r="AG464" s="25">
        <f>AE464/((1+'How much will I make'!$C$5/12)^(Calculations!$B$1*12-Calculations!$A464))</f>
        <v>5660.5174560409141</v>
      </c>
      <c r="AH464" s="25">
        <f t="shared" si="71"/>
        <v>18238663464.521591</v>
      </c>
    </row>
    <row r="465" spans="1:34" ht="15.75" customHeight="1">
      <c r="A465" s="22">
        <f t="shared" si="55"/>
        <v>461</v>
      </c>
      <c r="B465" s="22">
        <f t="shared" si="88"/>
        <v>3192.738644954492</v>
      </c>
      <c r="C465" s="25">
        <f t="shared" si="47"/>
        <v>3455.2031374568382</v>
      </c>
      <c r="D465" s="25">
        <f t="shared" si="56"/>
        <v>1617613.9750528862</v>
      </c>
      <c r="E465" s="25">
        <f>$C465/((1+'How much will I make'!$C$5/12)^(Calculations!$B$1*12-Calculations!$A465))</f>
        <v>3192.738644954492</v>
      </c>
      <c r="F465" s="25">
        <f t="shared" si="57"/>
        <v>662220.96801384958</v>
      </c>
      <c r="G465" s="25">
        <f t="shared" si="48"/>
        <v>3738.0209415469203</v>
      </c>
      <c r="H465" s="25">
        <f t="shared" si="58"/>
        <v>5290675.8126272345</v>
      </c>
      <c r="I465" s="25">
        <f>G465/((1+'How much will I make'!$C$5/12)^(Calculations!$B$1*12-Calculations!$A465))</f>
        <v>3454.0730142165521</v>
      </c>
      <c r="J465" s="25">
        <f t="shared" si="59"/>
        <v>1610652.4585826588</v>
      </c>
      <c r="K465" s="25">
        <f t="shared" si="49"/>
        <v>4042.6763594533095</v>
      </c>
      <c r="L465" s="25">
        <f t="shared" si="60"/>
        <v>22088391.17116297</v>
      </c>
      <c r="M465" s="25">
        <f>K465/((1+'How much will I make'!$C$5/12)^(Calculations!$B$1*12-Calculations!$A465))</f>
        <v>3735.5861662509137</v>
      </c>
      <c r="N465" s="25">
        <f t="shared" si="61"/>
        <v>5233045.6840293193</v>
      </c>
      <c r="O465" s="25">
        <f t="shared" si="50"/>
        <v>4370.75513937498</v>
      </c>
      <c r="P465" s="25">
        <f t="shared" si="62"/>
        <v>108088881.40311515</v>
      </c>
      <c r="Q465" s="25">
        <f>O465/((1+'How much will I make'!$C$5/12)^(Calculations!$B$1*12-Calculations!$A465))</f>
        <v>4038.7433924904149</v>
      </c>
      <c r="R465" s="25">
        <f t="shared" si="63"/>
        <v>21674071.892527211</v>
      </c>
      <c r="S465" s="25">
        <f t="shared" si="51"/>
        <v>4723.9509481062169</v>
      </c>
      <c r="T465" s="25">
        <f t="shared" si="64"/>
        <v>580108817.77603793</v>
      </c>
      <c r="U465" s="25">
        <f>S465/((1+'How much will I make'!$C$5/12)^(Calculations!$B$1*12-Calculations!$A465))</f>
        <v>4365.1097052398809</v>
      </c>
      <c r="V465" s="25">
        <f t="shared" si="65"/>
        <v>105183191.72198513</v>
      </c>
      <c r="W465" s="25">
        <f t="shared" si="52"/>
        <v>5104.0722274857671</v>
      </c>
      <c r="X465" s="25">
        <f t="shared" si="66"/>
        <v>3284535943.8079953</v>
      </c>
      <c r="Y465" s="25">
        <f>W465/((1+'How much will I make'!$C$5/12)^(Calculations!$B$1*12-Calculations!$A465))</f>
        <v>4716.3561732949865</v>
      </c>
      <c r="Z465" s="25">
        <f t="shared" si="67"/>
        <v>559875843.93317044</v>
      </c>
      <c r="AA465" s="25">
        <f t="shared" si="53"/>
        <v>5513.0494557165912</v>
      </c>
      <c r="AB465" s="25">
        <f t="shared" si="68"/>
        <v>19204869203.114101</v>
      </c>
      <c r="AC465" s="25">
        <f>AA465/((1+'How much will I make'!$C$5/12)^(Calculations!$B$1*12-Calculations!$A465))</f>
        <v>5094.2666316768955</v>
      </c>
      <c r="AD465" s="25">
        <f t="shared" si="69"/>
        <v>3144346175.9370751</v>
      </c>
      <c r="AE465" s="25">
        <f t="shared" si="54"/>
        <v>5952.9428356635781</v>
      </c>
      <c r="AF465" s="25">
        <f t="shared" si="70"/>
        <v>114564844203.25819</v>
      </c>
      <c r="AG465" s="25">
        <f>AE465/((1+'How much will I make'!$C$5/12)^(Calculations!$B$1*12-Calculations!$A465))</f>
        <v>5500.744785910726</v>
      </c>
      <c r="AH465" s="25">
        <f t="shared" si="71"/>
        <v>18238668965.266376</v>
      </c>
    </row>
    <row r="466" spans="1:34" ht="15.75" customHeight="1">
      <c r="A466" s="22">
        <f t="shared" si="55"/>
        <v>462</v>
      </c>
      <c r="B466" s="22">
        <f t="shared" si="88"/>
        <v>3192.738644954492</v>
      </c>
      <c r="C466" s="25">
        <f t="shared" si="47"/>
        <v>3440.8661949777638</v>
      </c>
      <c r="D466" s="25">
        <f t="shared" si="56"/>
        <v>1621054.8412478638</v>
      </c>
      <c r="E466" s="25">
        <f>$C466/((1+'How much will I make'!$C$5/12)^(Calculations!$B$1*12-Calculations!$A466))</f>
        <v>3192.738644954492</v>
      </c>
      <c r="F466" s="25">
        <f t="shared" si="57"/>
        <v>665413.70665880409</v>
      </c>
      <c r="G466" s="25">
        <f t="shared" si="48"/>
        <v>3707.1282064928141</v>
      </c>
      <c r="H466" s="25">
        <f t="shared" si="58"/>
        <v>5294382.9408337269</v>
      </c>
      <c r="I466" s="25">
        <f>G466/((1+'How much will I make'!$C$5/12)^(Calculations!$B$1*12-Calculations!$A466))</f>
        <v>3439.7999852321873</v>
      </c>
      <c r="J466" s="25">
        <f t="shared" si="59"/>
        <v>1614092.2585678911</v>
      </c>
      <c r="K466" s="25">
        <f t="shared" si="49"/>
        <v>3992.7667747687015</v>
      </c>
      <c r="L466" s="25">
        <f t="shared" si="60"/>
        <v>22092383.93793774</v>
      </c>
      <c r="M466" s="25">
        <f>K466/((1+'How much will I make'!$C$5/12)^(Calculations!$B$1*12-Calculations!$A466))</f>
        <v>3704.8406010965859</v>
      </c>
      <c r="N466" s="25">
        <f t="shared" si="61"/>
        <v>5236750.5246304162</v>
      </c>
      <c r="O466" s="25">
        <f t="shared" si="50"/>
        <v>4299.1034157786698</v>
      </c>
      <c r="P466" s="25">
        <f t="shared" si="62"/>
        <v>108093180.50653093</v>
      </c>
      <c r="Q466" s="25">
        <f>O466/((1+'How much will I make'!$C$5/12)^(Calculations!$B$1*12-Calculations!$A466))</f>
        <v>3989.0867114352063</v>
      </c>
      <c r="R466" s="25">
        <f t="shared" si="63"/>
        <v>21678060.979238648</v>
      </c>
      <c r="S466" s="25">
        <f t="shared" si="51"/>
        <v>4627.5437858999676</v>
      </c>
      <c r="T466" s="25">
        <f t="shared" si="64"/>
        <v>580113445.31982386</v>
      </c>
      <c r="U466" s="25">
        <f>S466/((1+'How much will I make'!$C$5/12)^(Calculations!$B$1*12-Calculations!$A466))</f>
        <v>4293.842608011475</v>
      </c>
      <c r="V466" s="25">
        <f t="shared" si="65"/>
        <v>105187485.56459314</v>
      </c>
      <c r="W466" s="25">
        <f t="shared" si="52"/>
        <v>4979.5826609617243</v>
      </c>
      <c r="X466" s="25">
        <f t="shared" si="66"/>
        <v>3284540923.3906565</v>
      </c>
      <c r="Y466" s="25">
        <f>W466/((1+'How much will I make'!$C$5/12)^(Calculations!$B$1*12-Calculations!$A466))</f>
        <v>4620.4952754637879</v>
      </c>
      <c r="Z466" s="25">
        <f t="shared" si="67"/>
        <v>559880464.42844594</v>
      </c>
      <c r="AA466" s="25">
        <f t="shared" si="53"/>
        <v>5356.8091877408169</v>
      </c>
      <c r="AB466" s="25">
        <f t="shared" si="68"/>
        <v>19204874559.92329</v>
      </c>
      <c r="AC466" s="25">
        <f>AA466/((1+'How much will I make'!$C$5/12)^(Calculations!$B$1*12-Calculations!$A466))</f>
        <v>4970.5192641057974</v>
      </c>
      <c r="AD466" s="25">
        <f t="shared" si="69"/>
        <v>3144351146.4563394</v>
      </c>
      <c r="AE466" s="25">
        <f t="shared" si="54"/>
        <v>5760.9124216099144</v>
      </c>
      <c r="AF466" s="25">
        <f t="shared" si="70"/>
        <v>114564849964.17061</v>
      </c>
      <c r="AG466" s="25">
        <f>AE466/((1+'How much will I make'!$C$5/12)^(Calculations!$B$1*12-Calculations!$A466))</f>
        <v>5345.4818282438919</v>
      </c>
      <c r="AH466" s="25">
        <f t="shared" si="71"/>
        <v>18238674310.748203</v>
      </c>
    </row>
    <row r="467" spans="1:34" ht="15.75" customHeight="1">
      <c r="A467" s="22">
        <f t="shared" si="55"/>
        <v>463</v>
      </c>
      <c r="B467" s="22">
        <f t="shared" si="88"/>
        <v>3192.738644954492</v>
      </c>
      <c r="C467" s="25">
        <f t="shared" si="47"/>
        <v>3426.58874188657</v>
      </c>
      <c r="D467" s="25">
        <f t="shared" si="56"/>
        <v>1624481.4299897505</v>
      </c>
      <c r="E467" s="25">
        <f>$C467/((1+'How much will I make'!$C$5/12)^(Calculations!$B$1*12-Calculations!$A467))</f>
        <v>3192.738644954492</v>
      </c>
      <c r="F467" s="25">
        <f t="shared" si="57"/>
        <v>668606.44530375861</v>
      </c>
      <c r="G467" s="25">
        <f t="shared" si="48"/>
        <v>3676.4907832986578</v>
      </c>
      <c r="H467" s="25">
        <f t="shared" si="58"/>
        <v>5298059.4316170253</v>
      </c>
      <c r="I467" s="25">
        <f>G467/((1+'How much will I make'!$C$5/12)^(Calculations!$B$1*12-Calculations!$A467))</f>
        <v>3425.5859357064332</v>
      </c>
      <c r="J467" s="25">
        <f t="shared" si="59"/>
        <v>1617517.8445035976</v>
      </c>
      <c r="K467" s="25">
        <f t="shared" si="49"/>
        <v>3943.4733577962479</v>
      </c>
      <c r="L467" s="25">
        <f t="shared" si="60"/>
        <v>22096327.411295537</v>
      </c>
      <c r="M467" s="25">
        <f>K467/((1+'How much will I make'!$C$5/12)^(Calculations!$B$1*12-Calculations!$A467))</f>
        <v>3674.3480858612224</v>
      </c>
      <c r="N467" s="25">
        <f t="shared" si="61"/>
        <v>5240424.8727162778</v>
      </c>
      <c r="O467" s="25">
        <f t="shared" si="50"/>
        <v>4228.6263106019705</v>
      </c>
      <c r="P467" s="25">
        <f t="shared" si="62"/>
        <v>108097409.13284153</v>
      </c>
      <c r="Q467" s="25">
        <f>O467/((1+'How much will I make'!$C$5/12)^(Calculations!$B$1*12-Calculations!$A467))</f>
        <v>3940.0405633437895</v>
      </c>
      <c r="R467" s="25">
        <f t="shared" si="63"/>
        <v>21682001.019801993</v>
      </c>
      <c r="S467" s="25">
        <f t="shared" si="51"/>
        <v>4533.1041167999692</v>
      </c>
      <c r="T467" s="25">
        <f t="shared" si="64"/>
        <v>580117978.42394066</v>
      </c>
      <c r="U467" s="25">
        <f>S467/((1+'How much will I make'!$C$5/12)^(Calculations!$B$1*12-Calculations!$A467))</f>
        <v>4223.7390552276147</v>
      </c>
      <c r="V467" s="25">
        <f t="shared" si="65"/>
        <v>105191709.30364837</v>
      </c>
      <c r="W467" s="25">
        <f t="shared" si="52"/>
        <v>4858.1294253285114</v>
      </c>
      <c r="X467" s="25">
        <f t="shared" si="66"/>
        <v>3284545781.520082</v>
      </c>
      <c r="Y467" s="25">
        <f>W467/((1+'How much will I make'!$C$5/12)^(Calculations!$B$1*12-Calculations!$A467))</f>
        <v>4526.58276986493</v>
      </c>
      <c r="Z467" s="25">
        <f t="shared" si="67"/>
        <v>559884991.01121581</v>
      </c>
      <c r="AA467" s="25">
        <f t="shared" si="53"/>
        <v>5204.9967816105109</v>
      </c>
      <c r="AB467" s="25">
        <f t="shared" si="68"/>
        <v>19204879764.920071</v>
      </c>
      <c r="AC467" s="25">
        <f>AA467/((1+'How much will I make'!$C$5/12)^(Calculations!$B$1*12-Calculations!$A467))</f>
        <v>4849.7779054635512</v>
      </c>
      <c r="AD467" s="25">
        <f t="shared" si="69"/>
        <v>3144355996.2342448</v>
      </c>
      <c r="AE467" s="25">
        <f t="shared" si="54"/>
        <v>5575.0765370418521</v>
      </c>
      <c r="AF467" s="25">
        <f t="shared" si="70"/>
        <v>114564855539.24715</v>
      </c>
      <c r="AG467" s="25">
        <f>AE467/((1+'How much will I make'!$C$5/12)^(Calculations!$B$1*12-Calculations!$A467))</f>
        <v>5194.6012927692645</v>
      </c>
      <c r="AH467" s="25">
        <f t="shared" si="71"/>
        <v>18238679505.349495</v>
      </c>
    </row>
    <row r="468" spans="1:34" ht="15.75" customHeight="1">
      <c r="A468" s="22">
        <f t="shared" si="55"/>
        <v>464</v>
      </c>
      <c r="B468" s="22">
        <f t="shared" si="88"/>
        <v>3192.738644954492</v>
      </c>
      <c r="C468" s="25">
        <f t="shared" si="47"/>
        <v>3412.3705313393225</v>
      </c>
      <c r="D468" s="25">
        <f t="shared" si="56"/>
        <v>1627893.8005210899</v>
      </c>
      <c r="E468" s="25">
        <f>$C468/((1+'How much will I make'!$C$5/12)^(Calculations!$B$1*12-Calculations!$A468))</f>
        <v>3192.738644954492</v>
      </c>
      <c r="F468" s="25">
        <f t="shared" si="57"/>
        <v>671799.18394871312</v>
      </c>
      <c r="G468" s="25">
        <f t="shared" si="48"/>
        <v>3646.1065619490828</v>
      </c>
      <c r="H468" s="25">
        <f t="shared" si="58"/>
        <v>5301705.5381789748</v>
      </c>
      <c r="I468" s="25">
        <f>G468/((1+'How much will I make'!$C$5/12)^(Calculations!$B$1*12-Calculations!$A468))</f>
        <v>3411.4306219225232</v>
      </c>
      <c r="J468" s="25">
        <f t="shared" si="59"/>
        <v>1620929.2751255201</v>
      </c>
      <c r="K468" s="25">
        <f t="shared" si="49"/>
        <v>3894.7885015271586</v>
      </c>
      <c r="L468" s="25">
        <f t="shared" si="60"/>
        <v>22100222.199797064</v>
      </c>
      <c r="M468" s="25">
        <f>K468/((1+'How much will I make'!$C$5/12)^(Calculations!$B$1*12-Calculations!$A468))</f>
        <v>3644.1065378294434</v>
      </c>
      <c r="N468" s="25">
        <f t="shared" si="61"/>
        <v>5244068.979254107</v>
      </c>
      <c r="O468" s="25">
        <f t="shared" si="50"/>
        <v>4159.3045678052176</v>
      </c>
      <c r="P468" s="25">
        <f t="shared" si="62"/>
        <v>108101568.43740933</v>
      </c>
      <c r="Q468" s="25">
        <f>O468/((1+'How much will I make'!$C$5/12)^(Calculations!$B$1*12-Calculations!$A468))</f>
        <v>3891.5974416633339</v>
      </c>
      <c r="R468" s="25">
        <f t="shared" si="63"/>
        <v>21685892.617243655</v>
      </c>
      <c r="S468" s="25">
        <f t="shared" si="51"/>
        <v>4440.5917878856844</v>
      </c>
      <c r="T468" s="25">
        <f t="shared" si="64"/>
        <v>580122419.01572859</v>
      </c>
      <c r="U468" s="25">
        <f>S468/((1+'How much will I make'!$C$5/12)^(Calculations!$B$1*12-Calculations!$A468))</f>
        <v>4154.7800502443079</v>
      </c>
      <c r="V468" s="25">
        <f t="shared" si="65"/>
        <v>105195864.08369862</v>
      </c>
      <c r="W468" s="25">
        <f t="shared" si="52"/>
        <v>4739.638463735133</v>
      </c>
      <c r="X468" s="25">
        <f t="shared" si="66"/>
        <v>3284550521.1585455</v>
      </c>
      <c r="Y468" s="25">
        <f>W468/((1+'How much will I make'!$C$5/12)^(Calculations!$B$1*12-Calculations!$A468))</f>
        <v>4434.5790550302772</v>
      </c>
      <c r="Z468" s="25">
        <f t="shared" si="67"/>
        <v>559889425.59027088</v>
      </c>
      <c r="AA468" s="25">
        <f t="shared" si="53"/>
        <v>5057.4867513624404</v>
      </c>
      <c r="AB468" s="25">
        <f t="shared" si="68"/>
        <v>19204884822.406822</v>
      </c>
      <c r="AC468" s="25">
        <f>AA468/((1+'How much will I make'!$C$5/12)^(Calculations!$B$1*12-Calculations!$A468))</f>
        <v>4731.9695352903482</v>
      </c>
      <c r="AD468" s="25">
        <f t="shared" si="69"/>
        <v>3144360728.2037802</v>
      </c>
      <c r="AE468" s="25">
        <f t="shared" si="54"/>
        <v>5395.2353584275988</v>
      </c>
      <c r="AF468" s="25">
        <f t="shared" si="70"/>
        <v>114564860934.4825</v>
      </c>
      <c r="AG468" s="25">
        <f>AE468/((1+'How much will I make'!$C$5/12)^(Calculations!$B$1*12-Calculations!$A468))</f>
        <v>5047.9794820862617</v>
      </c>
      <c r="AH468" s="25">
        <f t="shared" si="71"/>
        <v>18238684553.328976</v>
      </c>
    </row>
    <row r="469" spans="1:34" ht="15.75" customHeight="1">
      <c r="A469" s="22">
        <f t="shared" si="55"/>
        <v>465</v>
      </c>
      <c r="B469" s="22">
        <f t="shared" si="88"/>
        <v>3192.738644954492</v>
      </c>
      <c r="C469" s="25">
        <f t="shared" si="47"/>
        <v>3398.2113175163386</v>
      </c>
      <c r="D469" s="25">
        <f t="shared" si="56"/>
        <v>1631292.0118386063</v>
      </c>
      <c r="E469" s="25">
        <f>$C469/((1+'How much will I make'!$C$5/12)^(Calculations!$B$1*12-Calculations!$A469))</f>
        <v>3192.738644954492</v>
      </c>
      <c r="F469" s="25">
        <f t="shared" si="57"/>
        <v>674991.92259366764</v>
      </c>
      <c r="G469" s="25">
        <f t="shared" si="48"/>
        <v>3615.973449866859</v>
      </c>
      <c r="H469" s="25">
        <f t="shared" si="58"/>
        <v>5305321.511628842</v>
      </c>
      <c r="I469" s="25">
        <f>G469/((1+'How much will I make'!$C$5/12)^(Calculations!$B$1*12-Calculations!$A469))</f>
        <v>3397.3338011707765</v>
      </c>
      <c r="J469" s="25">
        <f t="shared" si="59"/>
        <v>1624326.6089266909</v>
      </c>
      <c r="K469" s="25">
        <f t="shared" si="49"/>
        <v>3846.704692866329</v>
      </c>
      <c r="L469" s="25">
        <f t="shared" si="60"/>
        <v>22104068.904489931</v>
      </c>
      <c r="M469" s="25">
        <f>K469/((1+'How much will I make'!$C$5/12)^(Calculations!$B$1*12-Calculations!$A469))</f>
        <v>3614.1138914275534</v>
      </c>
      <c r="N469" s="25">
        <f t="shared" si="61"/>
        <v>5247683.0931455344</v>
      </c>
      <c r="O469" s="25">
        <f t="shared" si="50"/>
        <v>4091.1192470215251</v>
      </c>
      <c r="P469" s="25">
        <f t="shared" si="62"/>
        <v>108105659.55665635</v>
      </c>
      <c r="Q469" s="25">
        <f>O469/((1+'How much will I make'!$C$5/12)^(Calculations!$B$1*12-Calculations!$A469))</f>
        <v>3843.7499321346854</v>
      </c>
      <c r="R469" s="25">
        <f t="shared" si="63"/>
        <v>21689736.367175791</v>
      </c>
      <c r="S469" s="25">
        <f t="shared" si="51"/>
        <v>4349.9674656839361</v>
      </c>
      <c r="T469" s="25">
        <f t="shared" si="64"/>
        <v>580126768.98319423</v>
      </c>
      <c r="U469" s="25">
        <f>S469/((1+'How much will I make'!$C$5/12)^(Calculations!$B$1*12-Calculations!$A469))</f>
        <v>4086.9469065668491</v>
      </c>
      <c r="V469" s="25">
        <f t="shared" si="65"/>
        <v>105199951.03060518</v>
      </c>
      <c r="W469" s="25">
        <f t="shared" si="52"/>
        <v>4624.0375255952522</v>
      </c>
      <c r="X469" s="25">
        <f t="shared" si="66"/>
        <v>3284555145.1960711</v>
      </c>
      <c r="Y469" s="25">
        <f>W469/((1+'How much will I make'!$C$5/12)^(Calculations!$B$1*12-Calculations!$A469))</f>
        <v>4344.4453343995801</v>
      </c>
      <c r="Z469" s="25">
        <f t="shared" si="67"/>
        <v>559893770.03560531</v>
      </c>
      <c r="AA469" s="25">
        <f t="shared" si="53"/>
        <v>4914.1571673157332</v>
      </c>
      <c r="AB469" s="25">
        <f t="shared" si="68"/>
        <v>19204889736.563988</v>
      </c>
      <c r="AC469" s="25">
        <f>AA469/((1+'How much will I make'!$C$5/12)^(Calculations!$B$1*12-Calculations!$A469))</f>
        <v>4617.0229069027291</v>
      </c>
      <c r="AD469" s="25">
        <f t="shared" si="69"/>
        <v>3144365345.226687</v>
      </c>
      <c r="AE469" s="25">
        <f t="shared" si="54"/>
        <v>5221.1955081557389</v>
      </c>
      <c r="AF469" s="25">
        <f t="shared" si="70"/>
        <v>114564866155.67801</v>
      </c>
      <c r="AG469" s="25">
        <f>AE469/((1+'How much will I make'!$C$5/12)^(Calculations!$B$1*12-Calculations!$A469))</f>
        <v>4905.4961902531786</v>
      </c>
      <c r="AH469" s="25">
        <f t="shared" si="71"/>
        <v>18238689458.825165</v>
      </c>
    </row>
    <row r="470" spans="1:34" ht="15.75" customHeight="1">
      <c r="A470" s="22">
        <f t="shared" si="55"/>
        <v>466</v>
      </c>
      <c r="B470" s="22">
        <f t="shared" si="88"/>
        <v>3192.738644954492</v>
      </c>
      <c r="C470" s="25">
        <f t="shared" si="47"/>
        <v>3384.1108556179292</v>
      </c>
      <c r="D470" s="25">
        <f t="shared" si="56"/>
        <v>1634676.1226942244</v>
      </c>
      <c r="E470" s="25">
        <f>$C470/((1+'How much will I make'!$C$5/12)^(Calculations!$B$1*12-Calculations!$A470))</f>
        <v>3192.738644954492</v>
      </c>
      <c r="F470" s="25">
        <f t="shared" si="57"/>
        <v>678184.66123862215</v>
      </c>
      <c r="G470" s="25">
        <f t="shared" si="48"/>
        <v>3586.0893717687859</v>
      </c>
      <c r="H470" s="25">
        <f t="shared" si="58"/>
        <v>5308907.6010006107</v>
      </c>
      <c r="I470" s="25">
        <f>G470/((1+'How much will I make'!$C$5/12)^(Calculations!$B$1*12-Calculations!$A470))</f>
        <v>3383.2952317444524</v>
      </c>
      <c r="J470" s="25">
        <f t="shared" si="59"/>
        <v>1627709.9041584353</v>
      </c>
      <c r="K470" s="25">
        <f t="shared" si="49"/>
        <v>3799.2145114729183</v>
      </c>
      <c r="L470" s="25">
        <f t="shared" si="60"/>
        <v>22107868.119001403</v>
      </c>
      <c r="M470" s="25">
        <f>K470/((1+'How much will I make'!$C$5/12)^(Calculations!$B$1*12-Calculations!$A470))</f>
        <v>3584.3680980824729</v>
      </c>
      <c r="N470" s="25">
        <f t="shared" si="61"/>
        <v>5251267.4612436164</v>
      </c>
      <c r="O470" s="25">
        <f t="shared" si="50"/>
        <v>4024.0517183818292</v>
      </c>
      <c r="P470" s="25">
        <f t="shared" si="62"/>
        <v>108109683.60837473</v>
      </c>
      <c r="Q470" s="25">
        <f>O470/((1+'How much will I make'!$C$5/12)^(Calculations!$B$1*12-Calculations!$A470))</f>
        <v>3796.4907116576219</v>
      </c>
      <c r="R470" s="25">
        <f t="shared" si="63"/>
        <v>21693532.857887451</v>
      </c>
      <c r="S470" s="25">
        <f t="shared" si="51"/>
        <v>4261.1926194454891</v>
      </c>
      <c r="T470" s="25">
        <f t="shared" si="64"/>
        <v>580131030.17581367</v>
      </c>
      <c r="U470" s="25">
        <f>S470/((1+'How much will I make'!$C$5/12)^(Calculations!$B$1*12-Calculations!$A470))</f>
        <v>4020.2212427861677</v>
      </c>
      <c r="V470" s="25">
        <f t="shared" si="65"/>
        <v>105203971.25184797</v>
      </c>
      <c r="W470" s="25">
        <f t="shared" si="52"/>
        <v>4511.2561225319532</v>
      </c>
      <c r="X470" s="25">
        <f t="shared" si="66"/>
        <v>3284559656.4521937</v>
      </c>
      <c r="Y470" s="25">
        <f>W470/((1+'How much will I make'!$C$5/12)^(Calculations!$B$1*12-Calculations!$A470))</f>
        <v>4256.1435999605656</v>
      </c>
      <c r="Z470" s="25">
        <f t="shared" si="67"/>
        <v>559898026.1792053</v>
      </c>
      <c r="AA470" s="25">
        <f t="shared" si="53"/>
        <v>4774.8895552865424</v>
      </c>
      <c r="AB470" s="25">
        <f t="shared" si="68"/>
        <v>19204894511.453545</v>
      </c>
      <c r="AC470" s="25">
        <f>AA470/((1+'How much will I make'!$C$5/12)^(Calculations!$B$1*12-Calculations!$A470))</f>
        <v>4504.8685043059031</v>
      </c>
      <c r="AD470" s="25">
        <f t="shared" si="69"/>
        <v>3144369850.0951915</v>
      </c>
      <c r="AE470" s="25">
        <f t="shared" si="54"/>
        <v>5052.7698466023285</v>
      </c>
      <c r="AF470" s="25">
        <f t="shared" si="70"/>
        <v>114564871208.44786</v>
      </c>
      <c r="AG470" s="25">
        <f>AE470/((1+'How much will I make'!$C$5/12)^(Calculations!$B$1*12-Calculations!$A470))</f>
        <v>4767.0346042379706</v>
      </c>
      <c r="AH470" s="25">
        <f t="shared" si="71"/>
        <v>18238694225.859768</v>
      </c>
    </row>
    <row r="471" spans="1:34" ht="15.75" customHeight="1">
      <c r="A471" s="22">
        <f t="shared" si="55"/>
        <v>467</v>
      </c>
      <c r="B471" s="22">
        <f t="shared" si="88"/>
        <v>3192.738644954492</v>
      </c>
      <c r="C471" s="25">
        <f t="shared" si="47"/>
        <v>3370.0689018601784</v>
      </c>
      <c r="D471" s="25">
        <f t="shared" si="56"/>
        <v>1638046.1915960845</v>
      </c>
      <c r="E471" s="25">
        <f>$C471/((1+'How much will I make'!$C$5/12)^(Calculations!$B$1*12-Calculations!$A471))</f>
        <v>3192.738644954492</v>
      </c>
      <c r="F471" s="25">
        <f t="shared" si="57"/>
        <v>681377.39988357667</v>
      </c>
      <c r="G471" s="25">
        <f t="shared" si="48"/>
        <v>3556.4522695227624</v>
      </c>
      <c r="H471" s="25">
        <f t="shared" si="58"/>
        <v>5312464.0532701332</v>
      </c>
      <c r="I471" s="25">
        <f>G471/((1+'How much will I make'!$C$5/12)^(Calculations!$B$1*12-Calculations!$A471))</f>
        <v>3369.3146729355908</v>
      </c>
      <c r="J471" s="25">
        <f t="shared" si="59"/>
        <v>1631079.2188313708</v>
      </c>
      <c r="K471" s="25">
        <f t="shared" si="49"/>
        <v>3752.310628615227</v>
      </c>
      <c r="L471" s="25">
        <f t="shared" si="60"/>
        <v>22111620.429630019</v>
      </c>
      <c r="M471" s="25">
        <f>K471/((1+'How much will I make'!$C$5/12)^(Calculations!$B$1*12-Calculations!$A471))</f>
        <v>3554.8671260817932</v>
      </c>
      <c r="N471" s="25">
        <f t="shared" si="61"/>
        <v>5254822.3283696985</v>
      </c>
      <c r="O471" s="25">
        <f t="shared" si="50"/>
        <v>3958.0836574247501</v>
      </c>
      <c r="P471" s="25">
        <f t="shared" si="62"/>
        <v>108113641.69203216</v>
      </c>
      <c r="Q471" s="25">
        <f>O471/((1+'How much will I make'!$C$5/12)^(Calculations!$B$1*12-Calculations!$A471))</f>
        <v>3749.8125471700282</v>
      </c>
      <c r="R471" s="25">
        <f t="shared" si="63"/>
        <v>21697282.67043462</v>
      </c>
      <c r="S471" s="25">
        <f t="shared" si="51"/>
        <v>4174.2295047629295</v>
      </c>
      <c r="T471" s="25">
        <f t="shared" si="64"/>
        <v>580135204.40531838</v>
      </c>
      <c r="U471" s="25">
        <f>S471/((1+'How much will I make'!$C$5/12)^(Calculations!$B$1*12-Calculations!$A471))</f>
        <v>3954.5849775978236</v>
      </c>
      <c r="V471" s="25">
        <f t="shared" si="65"/>
        <v>105207925.83682556</v>
      </c>
      <c r="W471" s="25">
        <f t="shared" si="52"/>
        <v>4401.225485397028</v>
      </c>
      <c r="X471" s="25">
        <f t="shared" si="66"/>
        <v>3284564057.6776791</v>
      </c>
      <c r="Y471" s="25">
        <f>W471/((1+'How much will I make'!$C$5/12)^(Calculations!$B$1*12-Calculations!$A471))</f>
        <v>4169.6366162215309</v>
      </c>
      <c r="Z471" s="25">
        <f t="shared" si="67"/>
        <v>559902195.81582153</v>
      </c>
      <c r="AA471" s="25">
        <f t="shared" si="53"/>
        <v>4639.5687986589883</v>
      </c>
      <c r="AB471" s="25">
        <f t="shared" si="68"/>
        <v>19204899151.022343</v>
      </c>
      <c r="AC471" s="25">
        <f>AA471/((1+'How much will I make'!$C$5/12)^(Calculations!$B$1*12-Calculations!$A471))</f>
        <v>4395.4385001527235</v>
      </c>
      <c r="AD471" s="25">
        <f t="shared" si="69"/>
        <v>3144374245.5336914</v>
      </c>
      <c r="AE471" s="25">
        <f t="shared" si="54"/>
        <v>4889.7772709054789</v>
      </c>
      <c r="AF471" s="25">
        <f t="shared" si="70"/>
        <v>114564876098.22513</v>
      </c>
      <c r="AG471" s="25">
        <f>AE471/((1+'How much will I make'!$C$5/12)^(Calculations!$B$1*12-Calculations!$A471))</f>
        <v>4632.4812081506079</v>
      </c>
      <c r="AH471" s="25">
        <f t="shared" si="71"/>
        <v>18238698858.340977</v>
      </c>
    </row>
    <row r="472" spans="1:34" ht="15.75" customHeight="1">
      <c r="A472" s="22">
        <f t="shared" si="55"/>
        <v>468</v>
      </c>
      <c r="B472" s="22">
        <f t="shared" si="88"/>
        <v>3192.738644954492</v>
      </c>
      <c r="C472" s="25">
        <f t="shared" si="47"/>
        <v>3356.0852134707175</v>
      </c>
      <c r="D472" s="25">
        <f t="shared" si="56"/>
        <v>1641402.2768095552</v>
      </c>
      <c r="E472" s="25">
        <f>$C472/((1+'How much will I make'!$C$5/12)^(Calculations!$B$1*12-Calculations!$A472))</f>
        <v>3192.738644954492</v>
      </c>
      <c r="F472" s="25">
        <f t="shared" si="57"/>
        <v>684570.13852853118</v>
      </c>
      <c r="G472" s="25">
        <f t="shared" si="48"/>
        <v>3527.0601020060462</v>
      </c>
      <c r="H472" s="25">
        <f t="shared" si="58"/>
        <v>5315991.1133721396</v>
      </c>
      <c r="I472" s="25">
        <f>G472/((1+'How much will I make'!$C$5/12)^(Calculations!$B$1*12-Calculations!$A472))</f>
        <v>3355.3918850308983</v>
      </c>
      <c r="J472" s="25">
        <f t="shared" si="59"/>
        <v>1634434.6107164016</v>
      </c>
      <c r="K472" s="25">
        <f t="shared" si="49"/>
        <v>3705.985806039731</v>
      </c>
      <c r="L472" s="25">
        <f t="shared" si="60"/>
        <v>22115326.415436059</v>
      </c>
      <c r="M472" s="25">
        <f>K472/((1+'How much will I make'!$C$5/12)^(Calculations!$B$1*12-Calculations!$A472))</f>
        <v>3525.6089604350295</v>
      </c>
      <c r="N472" s="25">
        <f t="shared" si="61"/>
        <v>5258347.9373301333</v>
      </c>
      <c r="O472" s="25">
        <f t="shared" si="50"/>
        <v>3893.1970400899177</v>
      </c>
      <c r="P472" s="25">
        <f t="shared" si="62"/>
        <v>108117534.88907225</v>
      </c>
      <c r="Q472" s="25">
        <f>O472/((1+'How much will I make'!$C$5/12)^(Calculations!$B$1*12-Calculations!$A472))</f>
        <v>3703.7082945408879</v>
      </c>
      <c r="R472" s="25">
        <f t="shared" si="63"/>
        <v>21700986.378729161</v>
      </c>
      <c r="S472" s="25">
        <f t="shared" si="51"/>
        <v>4089.0411475228689</v>
      </c>
      <c r="T472" s="25">
        <f t="shared" si="64"/>
        <v>580139293.44646585</v>
      </c>
      <c r="U472" s="25">
        <f>S472/((1+'How much will I make'!$C$5/12)^(Calculations!$B$1*12-Calculations!$A472))</f>
        <v>3890.0203249023475</v>
      </c>
      <c r="V472" s="25">
        <f t="shared" si="65"/>
        <v>105211815.85715047</v>
      </c>
      <c r="W472" s="25">
        <f t="shared" si="52"/>
        <v>4293.8785223385639</v>
      </c>
      <c r="X472" s="25">
        <f t="shared" si="66"/>
        <v>3284568351.5562015</v>
      </c>
      <c r="Y472" s="25">
        <f>W472/((1+'How much will I make'!$C$5/12)^(Calculations!$B$1*12-Calculations!$A472))</f>
        <v>4084.8879045097101</v>
      </c>
      <c r="Z472" s="25">
        <f t="shared" si="67"/>
        <v>559906280.70372605</v>
      </c>
      <c r="AA472" s="25">
        <f t="shared" si="53"/>
        <v>4508.0830432314069</v>
      </c>
      <c r="AB472" s="25">
        <f t="shared" si="68"/>
        <v>19204903659.105385</v>
      </c>
      <c r="AC472" s="25">
        <f>AA472/((1+'How much will I make'!$C$5/12)^(Calculations!$B$1*12-Calculations!$A472))</f>
        <v>4288.6667147239132</v>
      </c>
      <c r="AD472" s="25">
        <f t="shared" si="69"/>
        <v>3144378534.2004061</v>
      </c>
      <c r="AE472" s="25">
        <f t="shared" si="54"/>
        <v>4732.042520231108</v>
      </c>
      <c r="AF472" s="25">
        <f t="shared" si="70"/>
        <v>114564880830.26765</v>
      </c>
      <c r="AG472" s="25">
        <f>AE472/((1+'How much will I make'!$C$5/12)^(Calculations!$B$1*12-Calculations!$A472))</f>
        <v>4501.7256901786141</v>
      </c>
      <c r="AH472" s="25">
        <f t="shared" si="71"/>
        <v>18238703360.066666</v>
      </c>
    </row>
    <row r="473" spans="1:34" ht="15.75" customHeight="1">
      <c r="A473" s="22">
        <f t="shared" si="55"/>
        <v>469</v>
      </c>
      <c r="B473" s="22">
        <f>B472*(1+'How much will I make'!$C$4)</f>
        <v>3352.3755772022168</v>
      </c>
      <c r="C473" s="25">
        <f t="shared" si="47"/>
        <v>3509.2675261187587</v>
      </c>
      <c r="D473" s="25">
        <f t="shared" si="56"/>
        <v>1644911.544335674</v>
      </c>
      <c r="E473" s="25">
        <f>$C473/((1+'How much will I make'!$C$5/12)^(Calculations!$B$1*12-Calculations!$A473))</f>
        <v>3352.3755772022168</v>
      </c>
      <c r="F473" s="25">
        <f t="shared" si="57"/>
        <v>687922.51410573337</v>
      </c>
      <c r="G473" s="25">
        <f t="shared" si="48"/>
        <v>3672.8063872129078</v>
      </c>
      <c r="H473" s="25">
        <f t="shared" si="58"/>
        <v>5319663.9197593527</v>
      </c>
      <c r="I473" s="25">
        <f>G473/((1+'How much will I make'!$C$5/12)^(Calculations!$B$1*12-Calculations!$A473))</f>
        <v>3508.602960773012</v>
      </c>
      <c r="J473" s="25">
        <f t="shared" si="59"/>
        <v>1637943.2136771746</v>
      </c>
      <c r="K473" s="25">
        <f t="shared" si="49"/>
        <v>3843.2445395967579</v>
      </c>
      <c r="L473" s="25">
        <f t="shared" si="60"/>
        <v>22119169.659975655</v>
      </c>
      <c r="M473" s="25">
        <f>K473/((1+'How much will I make'!$C$5/12)^(Calculations!$B$1*12-Calculations!$A473))</f>
        <v>3671.4211828727748</v>
      </c>
      <c r="N473" s="25">
        <f t="shared" si="61"/>
        <v>5262019.358513006</v>
      </c>
      <c r="O473" s="25">
        <f t="shared" si="50"/>
        <v>4020.8428446830299</v>
      </c>
      <c r="P473" s="25">
        <f t="shared" si="62"/>
        <v>108121555.73191693</v>
      </c>
      <c r="Q473" s="25">
        <f>O473/((1+'How much will I make'!$C$5/12)^(Calculations!$B$1*12-Calculations!$A473))</f>
        <v>3841.0794423507041</v>
      </c>
      <c r="R473" s="25">
        <f t="shared" si="63"/>
        <v>21704827.458171513</v>
      </c>
      <c r="S473" s="25">
        <f t="shared" si="51"/>
        <v>4205.870894594952</v>
      </c>
      <c r="T473" s="25">
        <f t="shared" si="64"/>
        <v>580143499.3173604</v>
      </c>
      <c r="U473" s="25">
        <f>S473/((1+'How much will I make'!$C$5/12)^(Calculations!$B$1*12-Calculations!$A473))</f>
        <v>4017.8352784348549</v>
      </c>
      <c r="V473" s="25">
        <f t="shared" si="65"/>
        <v>105215833.6924289</v>
      </c>
      <c r="W473" s="25">
        <f t="shared" si="52"/>
        <v>4398.6072667858471</v>
      </c>
      <c r="X473" s="25">
        <f t="shared" si="66"/>
        <v>3284572750.1634684</v>
      </c>
      <c r="Y473" s="25">
        <f>W473/((1+'How much will I make'!$C$5/12)^(Calculations!$B$1*12-Calculations!$A473))</f>
        <v>4201.954813968222</v>
      </c>
      <c r="Z473" s="25">
        <f t="shared" si="67"/>
        <v>559910482.65854001</v>
      </c>
      <c r="AA473" s="25">
        <f t="shared" si="53"/>
        <v>4599.3397849972262</v>
      </c>
      <c r="AB473" s="25">
        <f t="shared" si="68"/>
        <v>19204908258.445171</v>
      </c>
      <c r="AC473" s="25">
        <f>AA473/((1+'How much will I make'!$C$5/12)^(Calculations!$B$1*12-Calculations!$A473))</f>
        <v>4393.7130046999455</v>
      </c>
      <c r="AD473" s="25">
        <f t="shared" si="69"/>
        <v>3144382927.9134107</v>
      </c>
      <c r="AE473" s="25">
        <f t="shared" si="54"/>
        <v>4808.3657866864478</v>
      </c>
      <c r="AF473" s="25">
        <f t="shared" si="70"/>
        <v>114564885638.63344</v>
      </c>
      <c r="AG473" s="25">
        <f>AE473/((1+'How much will I make'!$C$5/12)^(Calculations!$B$1*12-Calculations!$A473))</f>
        <v>4593.3938947568477</v>
      </c>
      <c r="AH473" s="25">
        <f t="shared" si="71"/>
        <v>18238707953.46056</v>
      </c>
    </row>
    <row r="474" spans="1:34" ht="15.75" customHeight="1">
      <c r="A474" s="22">
        <f t="shared" si="55"/>
        <v>470</v>
      </c>
      <c r="B474" s="22">
        <f t="shared" ref="B474:B484" si="89">B473</f>
        <v>3352.3755772022168</v>
      </c>
      <c r="C474" s="25">
        <f t="shared" si="47"/>
        <v>3494.7062500767724</v>
      </c>
      <c r="D474" s="25">
        <f t="shared" si="56"/>
        <v>1648406.2505857509</v>
      </c>
      <c r="E474" s="25">
        <f>$C474/((1+'How much will I make'!$C$5/12)^(Calculations!$B$1*12-Calculations!$A474))</f>
        <v>3352.3755772022168</v>
      </c>
      <c r="F474" s="25">
        <f t="shared" si="57"/>
        <v>691274.88968293555</v>
      </c>
      <c r="G474" s="25">
        <f t="shared" si="48"/>
        <v>3642.4526154177602</v>
      </c>
      <c r="H474" s="25">
        <f t="shared" si="58"/>
        <v>5323306.3723747702</v>
      </c>
      <c r="I474" s="25">
        <f>G474/((1+'How much will I make'!$C$5/12)^(Calculations!$B$1*12-Calculations!$A474))</f>
        <v>3494.104601430975</v>
      </c>
      <c r="J474" s="25">
        <f t="shared" si="59"/>
        <v>1641437.3182786056</v>
      </c>
      <c r="K474" s="25">
        <f t="shared" si="49"/>
        <v>3795.7970761449469</v>
      </c>
      <c r="L474" s="25">
        <f t="shared" si="60"/>
        <v>22122965.457051799</v>
      </c>
      <c r="M474" s="25">
        <f>K474/((1+'How much will I make'!$C$5/12)^(Calculations!$B$1*12-Calculations!$A474))</f>
        <v>3641.2037245775264</v>
      </c>
      <c r="N474" s="25">
        <f t="shared" si="61"/>
        <v>5265660.5622375831</v>
      </c>
      <c r="O474" s="25">
        <f t="shared" si="50"/>
        <v>3954.9273882128168</v>
      </c>
      <c r="P474" s="25">
        <f t="shared" si="62"/>
        <v>108125510.65930514</v>
      </c>
      <c r="Q474" s="25">
        <f>O474/((1+'How much will I make'!$C$5/12)^(Calculations!$B$1*12-Calculations!$A474))</f>
        <v>3793.8530557644249</v>
      </c>
      <c r="R474" s="25">
        <f t="shared" si="63"/>
        <v>21708621.311227277</v>
      </c>
      <c r="S474" s="25">
        <f t="shared" si="51"/>
        <v>4120.03679470526</v>
      </c>
      <c r="T474" s="25">
        <f t="shared" si="64"/>
        <v>580147619.35415506</v>
      </c>
      <c r="U474" s="25">
        <f>S474/((1+'How much will I make'!$C$5/12)^(Calculations!$B$1*12-Calculations!$A474))</f>
        <v>3952.2379677665313</v>
      </c>
      <c r="V474" s="25">
        <f t="shared" si="65"/>
        <v>105219785.93039666</v>
      </c>
      <c r="W474" s="25">
        <f t="shared" si="52"/>
        <v>4291.3241627178995</v>
      </c>
      <c r="X474" s="25">
        <f t="shared" si="66"/>
        <v>3284577041.4876308</v>
      </c>
      <c r="Y474" s="25">
        <f>W474/((1+'How much will I make'!$C$5/12)^(Calculations!$B$1*12-Calculations!$A474))</f>
        <v>4116.5492283184603</v>
      </c>
      <c r="Z474" s="25">
        <f t="shared" si="67"/>
        <v>559914599.20776832</v>
      </c>
      <c r="AA474" s="25">
        <f t="shared" si="53"/>
        <v>4468.9941230742279</v>
      </c>
      <c r="AB474" s="25">
        <f t="shared" si="68"/>
        <v>19204912727.439293</v>
      </c>
      <c r="AC474" s="25">
        <f>AA474/((1+'How much will I make'!$C$5/12)^(Calculations!$B$1*12-Calculations!$A474))</f>
        <v>4286.9831341404324</v>
      </c>
      <c r="AD474" s="25">
        <f t="shared" si="69"/>
        <v>3144387214.8965449</v>
      </c>
      <c r="AE474" s="25">
        <f t="shared" si="54"/>
        <v>4653.2572129223681</v>
      </c>
      <c r="AF474" s="25">
        <f t="shared" si="70"/>
        <v>114564890291.89066</v>
      </c>
      <c r="AG474" s="25">
        <f>AE474/((1+'How much will I make'!$C$5/12)^(Calculations!$B$1*12-Calculations!$A474))</f>
        <v>4463.7416477274191</v>
      </c>
      <c r="AH474" s="25">
        <f t="shared" si="71"/>
        <v>18238712417.202209</v>
      </c>
    </row>
    <row r="475" spans="1:34" ht="15.75" customHeight="1">
      <c r="A475" s="22">
        <f t="shared" si="55"/>
        <v>471</v>
      </c>
      <c r="B475" s="22">
        <f t="shared" si="89"/>
        <v>3352.3755772022168</v>
      </c>
      <c r="C475" s="25">
        <f t="shared" si="47"/>
        <v>3480.2053942673247</v>
      </c>
      <c r="D475" s="25">
        <f t="shared" si="56"/>
        <v>1651886.4559800182</v>
      </c>
      <c r="E475" s="25">
        <f>$C475/((1+'How much will I make'!$C$5/12)^(Calculations!$B$1*12-Calculations!$A475))</f>
        <v>3352.3755772022168</v>
      </c>
      <c r="F475" s="25">
        <f t="shared" si="57"/>
        <v>694627.26526013773</v>
      </c>
      <c r="G475" s="25">
        <f t="shared" si="48"/>
        <v>3612.3497012407538</v>
      </c>
      <c r="H475" s="25">
        <f t="shared" si="58"/>
        <v>5326918.7220760109</v>
      </c>
      <c r="I475" s="25">
        <f>G475/((1+'How much will I make'!$C$5/12)^(Calculations!$B$1*12-Calculations!$A475))</f>
        <v>3479.6661526647317</v>
      </c>
      <c r="J475" s="25">
        <f t="shared" si="59"/>
        <v>1644916.9844312703</v>
      </c>
      <c r="K475" s="25">
        <f t="shared" si="49"/>
        <v>3748.935383846861</v>
      </c>
      <c r="L475" s="25">
        <f t="shared" si="60"/>
        <v>22126714.392435644</v>
      </c>
      <c r="M475" s="25">
        <f>K475/((1+'How much will I make'!$C$5/12)^(Calculations!$B$1*12-Calculations!$A475))</f>
        <v>3611.2349696427323</v>
      </c>
      <c r="N475" s="25">
        <f t="shared" si="61"/>
        <v>5269271.797207226</v>
      </c>
      <c r="O475" s="25">
        <f t="shared" si="50"/>
        <v>3890.0925129962134</v>
      </c>
      <c r="P475" s="25">
        <f t="shared" si="62"/>
        <v>108129400.75181814</v>
      </c>
      <c r="Q475" s="25">
        <f>O475/((1+'How much will I make'!$C$5/12)^(Calculations!$B$1*12-Calculations!$A475))</f>
        <v>3747.20732147224</v>
      </c>
      <c r="R475" s="25">
        <f t="shared" si="63"/>
        <v>21712368.518548749</v>
      </c>
      <c r="S475" s="25">
        <f t="shared" si="51"/>
        <v>4035.9544111398468</v>
      </c>
      <c r="T475" s="25">
        <f t="shared" si="64"/>
        <v>580151655.30856621</v>
      </c>
      <c r="U475" s="25">
        <f>S475/((1+'How much will I make'!$C$5/12)^(Calculations!$B$1*12-Calculations!$A475))</f>
        <v>3887.7116335989149</v>
      </c>
      <c r="V475" s="25">
        <f t="shared" si="65"/>
        <v>105223673.64203025</v>
      </c>
      <c r="W475" s="25">
        <f t="shared" si="52"/>
        <v>4186.6577197247798</v>
      </c>
      <c r="X475" s="25">
        <f t="shared" si="66"/>
        <v>3284581228.1453505</v>
      </c>
      <c r="Y475" s="25">
        <f>W475/((1+'How much will I make'!$C$5/12)^(Calculations!$B$1*12-Calculations!$A475))</f>
        <v>4032.8795285558904</v>
      </c>
      <c r="Z475" s="25">
        <f t="shared" si="67"/>
        <v>559918632.08729684</v>
      </c>
      <c r="AA475" s="25">
        <f t="shared" si="53"/>
        <v>4342.3424677644325</v>
      </c>
      <c r="AB475" s="25">
        <f t="shared" si="68"/>
        <v>19204917069.781761</v>
      </c>
      <c r="AC475" s="25">
        <f>AA475/((1+'How much will I make'!$C$5/12)^(Calculations!$B$1*12-Calculations!$A475))</f>
        <v>4182.8458920155645</v>
      </c>
      <c r="AD475" s="25">
        <f t="shared" si="69"/>
        <v>3144391397.7424369</v>
      </c>
      <c r="AE475" s="25">
        <f t="shared" si="54"/>
        <v>4503.1521415377756</v>
      </c>
      <c r="AF475" s="25">
        <f t="shared" si="70"/>
        <v>114564894795.0428</v>
      </c>
      <c r="AG475" s="25">
        <f>AE475/((1+'How much will I make'!$C$5/12)^(Calculations!$B$1*12-Calculations!$A475))</f>
        <v>4337.7489399286624</v>
      </c>
      <c r="AH475" s="25">
        <f t="shared" si="71"/>
        <v>18238716754.951149</v>
      </c>
    </row>
    <row r="476" spans="1:34" ht="15.75" customHeight="1">
      <c r="A476" s="22">
        <f t="shared" si="55"/>
        <v>472</v>
      </c>
      <c r="B476" s="22">
        <f t="shared" si="89"/>
        <v>3352.3755772022168</v>
      </c>
      <c r="C476" s="25">
        <f t="shared" si="47"/>
        <v>3465.7647079840581</v>
      </c>
      <c r="D476" s="25">
        <f t="shared" si="56"/>
        <v>1655352.2206880024</v>
      </c>
      <c r="E476" s="25">
        <f>$C476/((1+'How much will I make'!$C$5/12)^(Calculations!$B$1*12-Calculations!$A476))</f>
        <v>3352.3755772022168</v>
      </c>
      <c r="F476" s="25">
        <f t="shared" si="57"/>
        <v>697979.64083733992</v>
      </c>
      <c r="G476" s="25">
        <f t="shared" si="48"/>
        <v>3582.4955714784337</v>
      </c>
      <c r="H476" s="25">
        <f t="shared" si="58"/>
        <v>5330501.2176474892</v>
      </c>
      <c r="I476" s="25">
        <f>G476/((1+'How much will I make'!$C$5/12)^(Calculations!$B$1*12-Calculations!$A476))</f>
        <v>3465.287366909919</v>
      </c>
      <c r="J476" s="25">
        <f t="shared" si="59"/>
        <v>1648382.2717981802</v>
      </c>
      <c r="K476" s="25">
        <f t="shared" si="49"/>
        <v>3702.6522309598627</v>
      </c>
      <c r="L476" s="25">
        <f t="shared" si="60"/>
        <v>22130417.044666603</v>
      </c>
      <c r="M476" s="25">
        <f>K476/((1+'How much will I make'!$C$5/12)^(Calculations!$B$1*12-Calculations!$A476))</f>
        <v>3581.5128711271541</v>
      </c>
      <c r="N476" s="25">
        <f t="shared" si="61"/>
        <v>5272853.3100783536</v>
      </c>
      <c r="O476" s="25">
        <f t="shared" si="50"/>
        <v>3826.3205045864397</v>
      </c>
      <c r="P476" s="25">
        <f t="shared" si="62"/>
        <v>108133227.07232273</v>
      </c>
      <c r="Q476" s="25">
        <f>O476/((1+'How much will I make'!$C$5/12)^(Calculations!$B$1*12-Calculations!$A476))</f>
        <v>3701.1351003065979</v>
      </c>
      <c r="R476" s="25">
        <f t="shared" si="63"/>
        <v>21716069.653649054</v>
      </c>
      <c r="S476" s="25">
        <f t="shared" si="51"/>
        <v>3953.5879945859724</v>
      </c>
      <c r="T476" s="25">
        <f t="shared" si="64"/>
        <v>580155608.89656079</v>
      </c>
      <c r="U476" s="25">
        <f>S476/((1+'How much will I make'!$C$5/12)^(Calculations!$B$1*12-Calculations!$A476))</f>
        <v>3824.2387906013814</v>
      </c>
      <c r="V476" s="25">
        <f t="shared" si="65"/>
        <v>105227497.88082086</v>
      </c>
      <c r="W476" s="25">
        <f t="shared" si="52"/>
        <v>4084.5441168046636</v>
      </c>
      <c r="X476" s="25">
        <f t="shared" si="66"/>
        <v>3284585312.6894674</v>
      </c>
      <c r="Y476" s="25">
        <f>W476/((1+'How much will I make'!$C$5/12)^(Calculations!$B$1*12-Calculations!$A476))</f>
        <v>3950.9104324470313</v>
      </c>
      <c r="Z476" s="25">
        <f t="shared" si="67"/>
        <v>559922582.9977293</v>
      </c>
      <c r="AA476" s="25">
        <f t="shared" si="53"/>
        <v>4219.2801306213114</v>
      </c>
      <c r="AB476" s="25">
        <f t="shared" si="68"/>
        <v>19204921289.061893</v>
      </c>
      <c r="AC476" s="25">
        <f>AA476/((1+'How much will I make'!$C$5/12)^(Calculations!$B$1*12-Calculations!$A476))</f>
        <v>4081.2382994969685</v>
      </c>
      <c r="AD476" s="25">
        <f t="shared" si="69"/>
        <v>3144395478.9807363</v>
      </c>
      <c r="AE476" s="25">
        <f t="shared" si="54"/>
        <v>4357.8891692301049</v>
      </c>
      <c r="AF476" s="25">
        <f t="shared" si="70"/>
        <v>114564899152.93198</v>
      </c>
      <c r="AG476" s="25">
        <f>AE476/((1+'How much will I make'!$C$5/12)^(Calculations!$B$1*12-Calculations!$A476))</f>
        <v>4215.3124779145464</v>
      </c>
      <c r="AH476" s="25">
        <f t="shared" si="71"/>
        <v>18238720970.263626</v>
      </c>
    </row>
    <row r="477" spans="1:34" ht="15.75" customHeight="1">
      <c r="A477" s="22">
        <f t="shared" si="55"/>
        <v>473</v>
      </c>
      <c r="B477" s="22">
        <f t="shared" si="89"/>
        <v>3352.3755772022168</v>
      </c>
      <c r="C477" s="25">
        <f t="shared" si="47"/>
        <v>3451.3839415608882</v>
      </c>
      <c r="D477" s="25">
        <f t="shared" si="56"/>
        <v>1658803.6046295634</v>
      </c>
      <c r="E477" s="25">
        <f>$C477/((1+'How much will I make'!$C$5/12)^(Calculations!$B$1*12-Calculations!$A477))</f>
        <v>3352.3755772022168</v>
      </c>
      <c r="F477" s="25">
        <f t="shared" si="57"/>
        <v>701332.0164145421</v>
      </c>
      <c r="G477" s="25">
        <f t="shared" si="48"/>
        <v>3552.8881700612565</v>
      </c>
      <c r="H477" s="25">
        <f t="shared" si="58"/>
        <v>5334054.1058175508</v>
      </c>
      <c r="I477" s="25">
        <f>G477/((1+'How much will I make'!$C$5/12)^(Calculations!$B$1*12-Calculations!$A477))</f>
        <v>3450.9679976251664</v>
      </c>
      <c r="J477" s="25">
        <f t="shared" si="59"/>
        <v>1651833.2397958054</v>
      </c>
      <c r="K477" s="25">
        <f t="shared" si="49"/>
        <v>3656.940475022086</v>
      </c>
      <c r="L477" s="25">
        <f t="shared" si="60"/>
        <v>22134073.985141624</v>
      </c>
      <c r="M477" s="25">
        <f>K477/((1+'How much will I make'!$C$5/12)^(Calculations!$B$1*12-Calculations!$A477))</f>
        <v>3552.0353989368059</v>
      </c>
      <c r="N477" s="25">
        <f t="shared" si="61"/>
        <v>5276405.3454772905</v>
      </c>
      <c r="O477" s="25">
        <f t="shared" si="50"/>
        <v>3763.5939389374817</v>
      </c>
      <c r="P477" s="25">
        <f t="shared" si="62"/>
        <v>108136990.66626166</v>
      </c>
      <c r="Q477" s="25">
        <f>O477/((1+'How much will I make'!$C$5/12)^(Calculations!$B$1*12-Calculations!$A477))</f>
        <v>3655.6293408765982</v>
      </c>
      <c r="R477" s="25">
        <f t="shared" si="63"/>
        <v>21719725.28298993</v>
      </c>
      <c r="S477" s="25">
        <f t="shared" si="51"/>
        <v>3872.9025253087079</v>
      </c>
      <c r="T477" s="25">
        <f t="shared" si="64"/>
        <v>580159481.79908609</v>
      </c>
      <c r="U477" s="25">
        <f>S477/((1+'How much will I make'!$C$5/12)^(Calculations!$B$1*12-Calculations!$A477))</f>
        <v>3761.8022389180933</v>
      </c>
      <c r="V477" s="25">
        <f t="shared" si="65"/>
        <v>105231259.68305977</v>
      </c>
      <c r="W477" s="25">
        <f t="shared" si="52"/>
        <v>3984.921089565526</v>
      </c>
      <c r="X477" s="25">
        <f t="shared" si="66"/>
        <v>3284589297.6105571</v>
      </c>
      <c r="Y477" s="25">
        <f>W477/((1+'How much will I make'!$C$5/12)^(Calculations!$B$1*12-Calculations!$A477))</f>
        <v>3870.6073748769695</v>
      </c>
      <c r="Z477" s="25">
        <f t="shared" si="67"/>
        <v>559926453.60510421</v>
      </c>
      <c r="AA477" s="25">
        <f t="shared" si="53"/>
        <v>4099.7053900773881</v>
      </c>
      <c r="AB477" s="25">
        <f t="shared" si="68"/>
        <v>19204925388.767284</v>
      </c>
      <c r="AC477" s="25">
        <f>AA477/((1+'How much will I make'!$C$5/12)^(Calculations!$B$1*12-Calculations!$A477))</f>
        <v>3982.0989076063534</v>
      </c>
      <c r="AD477" s="25">
        <f t="shared" si="69"/>
        <v>3144399461.0796437</v>
      </c>
      <c r="AE477" s="25">
        <f t="shared" si="54"/>
        <v>4217.3120992549402</v>
      </c>
      <c r="AF477" s="25">
        <f t="shared" si="70"/>
        <v>114564903370.24408</v>
      </c>
      <c r="AG477" s="25">
        <f>AE477/((1+'How much will I make'!$C$5/12)^(Calculations!$B$1*12-Calculations!$A477))</f>
        <v>4096.3318837798606</v>
      </c>
      <c r="AH477" s="25">
        <f t="shared" si="71"/>
        <v>18238725066.595509</v>
      </c>
    </row>
    <row r="478" spans="1:34" ht="15.75" customHeight="1">
      <c r="A478" s="22">
        <f t="shared" si="55"/>
        <v>474</v>
      </c>
      <c r="B478" s="22">
        <f t="shared" si="89"/>
        <v>3352.3755772022168</v>
      </c>
      <c r="C478" s="25">
        <f t="shared" si="47"/>
        <v>3437.0628463676885</v>
      </c>
      <c r="D478" s="25">
        <f t="shared" si="56"/>
        <v>1662240.6674759311</v>
      </c>
      <c r="E478" s="25">
        <f>$C478/((1+'How much will I make'!$C$5/12)^(Calculations!$B$1*12-Calculations!$A478))</f>
        <v>3352.3755772022168</v>
      </c>
      <c r="F478" s="25">
        <f t="shared" si="57"/>
        <v>704684.39199174428</v>
      </c>
      <c r="G478" s="25">
        <f t="shared" si="48"/>
        <v>3523.5254579119905</v>
      </c>
      <c r="H478" s="25">
        <f t="shared" si="58"/>
        <v>5337577.6312754629</v>
      </c>
      <c r="I478" s="25">
        <f>G478/((1+'How much will I make'!$C$5/12)^(Calculations!$B$1*12-Calculations!$A478))</f>
        <v>3436.707799287874</v>
      </c>
      <c r="J478" s="25">
        <f t="shared" si="59"/>
        <v>1655269.9475950934</v>
      </c>
      <c r="K478" s="25">
        <f t="shared" si="49"/>
        <v>3611.7930617502088</v>
      </c>
      <c r="L478" s="25">
        <f t="shared" si="60"/>
        <v>22137685.778203376</v>
      </c>
      <c r="M478" s="25">
        <f>K478/((1+'How much will I make'!$C$5/12)^(Calculations!$B$1*12-Calculations!$A478))</f>
        <v>3522.8005396862986</v>
      </c>
      <c r="N478" s="25">
        <f t="shared" si="61"/>
        <v>5279928.1460169768</v>
      </c>
      <c r="O478" s="25">
        <f t="shared" si="50"/>
        <v>3701.8956776434252</v>
      </c>
      <c r="P478" s="25">
        <f t="shared" si="62"/>
        <v>108140692.5619393</v>
      </c>
      <c r="Q478" s="25">
        <f>O478/((1+'How much will I make'!$C$5/12)^(Calculations!$B$1*12-Calculations!$A478))</f>
        <v>3610.6830784887725</v>
      </c>
      <c r="R478" s="25">
        <f t="shared" si="63"/>
        <v>21723335.966068421</v>
      </c>
      <c r="S478" s="25">
        <f t="shared" si="51"/>
        <v>3793.8636982615922</v>
      </c>
      <c r="T478" s="25">
        <f t="shared" si="64"/>
        <v>580163275.66278434</v>
      </c>
      <c r="U478" s="25">
        <f>S478/((1+'How much will I make'!$C$5/12)^(Calculations!$B$1*12-Calculations!$A478))</f>
        <v>3700.3850595071872</v>
      </c>
      <c r="V478" s="25">
        <f t="shared" si="65"/>
        <v>105234960.06811927</v>
      </c>
      <c r="W478" s="25">
        <f t="shared" si="52"/>
        <v>3887.7278922590494</v>
      </c>
      <c r="X478" s="25">
        <f t="shared" si="66"/>
        <v>3284593185.3384495</v>
      </c>
      <c r="Y478" s="25">
        <f>W478/((1+'How much will I make'!$C$5/12)^(Calculations!$B$1*12-Calculations!$A478))</f>
        <v>3791.9364932737799</v>
      </c>
      <c r="Z478" s="25">
        <f t="shared" si="67"/>
        <v>559930245.54159749</v>
      </c>
      <c r="AA478" s="25">
        <f t="shared" si="53"/>
        <v>3983.5194073626444</v>
      </c>
      <c r="AB478" s="25">
        <f t="shared" si="68"/>
        <v>19204929372.286694</v>
      </c>
      <c r="AC478" s="25">
        <f>AA478/((1+'How much will I make'!$C$5/12)^(Calculations!$B$1*12-Calculations!$A478))</f>
        <v>3885.3677600531637</v>
      </c>
      <c r="AD478" s="25">
        <f t="shared" si="69"/>
        <v>3144403346.4474039</v>
      </c>
      <c r="AE478" s="25">
        <f t="shared" si="54"/>
        <v>4081.269773472522</v>
      </c>
      <c r="AF478" s="25">
        <f t="shared" si="70"/>
        <v>114564907451.51385</v>
      </c>
      <c r="AG478" s="25">
        <f>AE478/((1+'How much will I make'!$C$5/12)^(Calculations!$B$1*12-Calculations!$A478))</f>
        <v>3980.7096128667195</v>
      </c>
      <c r="AH478" s="25">
        <f t="shared" si="71"/>
        <v>18238729047.305122</v>
      </c>
    </row>
    <row r="479" spans="1:34" ht="15.75" customHeight="1">
      <c r="A479" s="22">
        <f t="shared" si="55"/>
        <v>475</v>
      </c>
      <c r="B479" s="22">
        <f t="shared" si="89"/>
        <v>3352.3755772022168</v>
      </c>
      <c r="C479" s="25">
        <f t="shared" si="47"/>
        <v>3422.8011748059971</v>
      </c>
      <c r="D479" s="25">
        <f t="shared" si="56"/>
        <v>1665663.4686507371</v>
      </c>
      <c r="E479" s="25">
        <f>$C479/((1+'How much will I make'!$C$5/12)^(Calculations!$B$1*12-Calculations!$A479))</f>
        <v>3352.3755772022168</v>
      </c>
      <c r="F479" s="25">
        <f t="shared" si="57"/>
        <v>708036.76756894647</v>
      </c>
      <c r="G479" s="25">
        <f t="shared" si="48"/>
        <v>3494.4054128052794</v>
      </c>
      <c r="H479" s="25">
        <f t="shared" si="58"/>
        <v>5341072.0366882682</v>
      </c>
      <c r="I479" s="25">
        <f>G479/((1+'How much will I make'!$C$5/12)^(Calculations!$B$1*12-Calculations!$A479))</f>
        <v>3422.5065273899895</v>
      </c>
      <c r="J479" s="25">
        <f t="shared" si="59"/>
        <v>1658692.4541224835</v>
      </c>
      <c r="K479" s="25">
        <f t="shared" si="49"/>
        <v>3567.2030239508235</v>
      </c>
      <c r="L479" s="25">
        <f t="shared" si="60"/>
        <v>22141252.981227327</v>
      </c>
      <c r="M479" s="25">
        <f>K479/((1+'How much will I make'!$C$5/12)^(Calculations!$B$1*12-Calculations!$A479))</f>
        <v>3493.8062965613085</v>
      </c>
      <c r="N479" s="25">
        <f t="shared" si="61"/>
        <v>5283421.9523135377</v>
      </c>
      <c r="O479" s="25">
        <f t="shared" si="50"/>
        <v>3641.2088632558284</v>
      </c>
      <c r="P479" s="25">
        <f t="shared" si="62"/>
        <v>108144333.77080256</v>
      </c>
      <c r="Q479" s="25">
        <f>O479/((1+'How much will I make'!$C$5/12)^(Calculations!$B$1*12-Calculations!$A479))</f>
        <v>3566.289434081124</v>
      </c>
      <c r="R479" s="25">
        <f t="shared" si="63"/>
        <v>21726902.255502503</v>
      </c>
      <c r="S479" s="25">
        <f t="shared" si="51"/>
        <v>3716.4379085011524</v>
      </c>
      <c r="T479" s="25">
        <f t="shared" si="64"/>
        <v>580166992.10069287</v>
      </c>
      <c r="U479" s="25">
        <f>S479/((1+'How much will I make'!$C$5/12)^(Calculations!$B$1*12-Calculations!$A479))</f>
        <v>3639.9706095560505</v>
      </c>
      <c r="V479" s="25">
        <f t="shared" si="65"/>
        <v>105238600.03872883</v>
      </c>
      <c r="W479" s="25">
        <f t="shared" si="52"/>
        <v>3792.9052607405365</v>
      </c>
      <c r="X479" s="25">
        <f t="shared" si="66"/>
        <v>3284596978.24371</v>
      </c>
      <c r="Y479" s="25">
        <f>W479/((1+'How much will I make'!$C$5/12)^(Calculations!$B$1*12-Calculations!$A479))</f>
        <v>3714.8646133291913</v>
      </c>
      <c r="Z479" s="25">
        <f t="shared" si="67"/>
        <v>559933960.40621078</v>
      </c>
      <c r="AA479" s="25">
        <f t="shared" si="53"/>
        <v>3870.626144805809</v>
      </c>
      <c r="AB479" s="25">
        <f t="shared" si="68"/>
        <v>19204933242.912838</v>
      </c>
      <c r="AC479" s="25">
        <f>AA479/((1+'How much will I make'!$C$5/12)^(Calculations!$B$1*12-Calculations!$A479))</f>
        <v>3790.98635697495</v>
      </c>
      <c r="AD479" s="25">
        <f t="shared" si="69"/>
        <v>3144407137.4337611</v>
      </c>
      <c r="AE479" s="25">
        <f t="shared" si="54"/>
        <v>3949.6159098121179</v>
      </c>
      <c r="AF479" s="25">
        <f t="shared" si="70"/>
        <v>114564911401.12976</v>
      </c>
      <c r="AG479" s="25">
        <f>AE479/((1+'How much will I make'!$C$5/12)^(Calculations!$B$1*12-Calculations!$A479))</f>
        <v>3868.3508737938687</v>
      </c>
      <c r="AH479" s="25">
        <f t="shared" si="71"/>
        <v>18238732915.655994</v>
      </c>
    </row>
    <row r="480" spans="1:34" ht="15.75" customHeight="1">
      <c r="A480" s="22">
        <f t="shared" si="55"/>
        <v>476</v>
      </c>
      <c r="B480" s="22">
        <f t="shared" si="89"/>
        <v>3352.3755772022168</v>
      </c>
      <c r="C480" s="25">
        <f t="shared" si="47"/>
        <v>3408.5986803047276</v>
      </c>
      <c r="D480" s="25">
        <f t="shared" si="56"/>
        <v>1669072.0673310419</v>
      </c>
      <c r="E480" s="25">
        <f>$C480/((1+'How much will I make'!$C$5/12)^(Calculations!$B$1*12-Calculations!$A480))</f>
        <v>3352.3755772022168</v>
      </c>
      <c r="F480" s="25">
        <f t="shared" si="57"/>
        <v>711389.14314614865</v>
      </c>
      <c r="G480" s="25">
        <f t="shared" si="48"/>
        <v>3465.5260292283765</v>
      </c>
      <c r="H480" s="25">
        <f t="shared" si="58"/>
        <v>5344537.5627174964</v>
      </c>
      <c r="I480" s="25">
        <f>G480/((1+'How much will I make'!$C$5/12)^(Calculations!$B$1*12-Calculations!$A480))</f>
        <v>3408.3639384338326</v>
      </c>
      <c r="J480" s="25">
        <f t="shared" si="59"/>
        <v>1662100.8180609173</v>
      </c>
      <c r="K480" s="25">
        <f t="shared" si="49"/>
        <v>3523.1634804452583</v>
      </c>
      <c r="L480" s="25">
        <f t="shared" si="60"/>
        <v>22144776.144707773</v>
      </c>
      <c r="M480" s="25">
        <f>K480/((1+'How much will I make'!$C$5/12)^(Calculations!$B$1*12-Calculations!$A480))</f>
        <v>3465.0506891822033</v>
      </c>
      <c r="N480" s="25">
        <f t="shared" si="61"/>
        <v>5286887.00300272</v>
      </c>
      <c r="O480" s="25">
        <f t="shared" si="50"/>
        <v>3581.5169146778635</v>
      </c>
      <c r="P480" s="25">
        <f t="shared" si="62"/>
        <v>108147915.28771724</v>
      </c>
      <c r="Q480" s="25">
        <f>O480/((1+'How much will I make'!$C$5/12)^(Calculations!$B$1*12-Calculations!$A480))</f>
        <v>3522.4416131702901</v>
      </c>
      <c r="R480" s="25">
        <f t="shared" si="63"/>
        <v>21730424.697115675</v>
      </c>
      <c r="S480" s="25">
        <f t="shared" si="51"/>
        <v>3640.5922368990878</v>
      </c>
      <c r="T480" s="25">
        <f t="shared" si="64"/>
        <v>580170632.69292974</v>
      </c>
      <c r="U480" s="25">
        <f>S480/((1+'How much will I make'!$C$5/12)^(Calculations!$B$1*12-Calculations!$A480))</f>
        <v>3580.5425179714616</v>
      </c>
      <c r="V480" s="25">
        <f t="shared" si="65"/>
        <v>105242180.58124681</v>
      </c>
      <c r="W480" s="25">
        <f t="shared" si="52"/>
        <v>3700.3953763322311</v>
      </c>
      <c r="X480" s="25">
        <f t="shared" si="66"/>
        <v>3284600678.6390862</v>
      </c>
      <c r="Y480" s="25">
        <f>W480/((1+'How much will I make'!$C$5/12)^(Calculations!$B$1*12-Calculations!$A480))</f>
        <v>3639.3592350094923</v>
      </c>
      <c r="Z480" s="25">
        <f t="shared" si="67"/>
        <v>559937599.76544583</v>
      </c>
      <c r="AA480" s="25">
        <f t="shared" si="53"/>
        <v>3760.9322864509891</v>
      </c>
      <c r="AB480" s="25">
        <f t="shared" si="68"/>
        <v>19204937003.845123</v>
      </c>
      <c r="AC480" s="25">
        <f>AA480/((1+'How much will I make'!$C$5/12)^(Calculations!$B$1*12-Calculations!$A480))</f>
        <v>3698.8976195585547</v>
      </c>
      <c r="AD480" s="25">
        <f t="shared" si="69"/>
        <v>3144410836.3313808</v>
      </c>
      <c r="AE480" s="25">
        <f t="shared" si="54"/>
        <v>3822.2089449794689</v>
      </c>
      <c r="AF480" s="25">
        <f t="shared" si="70"/>
        <v>114564915223.3387</v>
      </c>
      <c r="AG480" s="25">
        <f>AE480/((1+'How much will I make'!$C$5/12)^(Calculations!$B$1*12-Calculations!$A480))</f>
        <v>3759.1635507432347</v>
      </c>
      <c r="AH480" s="25">
        <f t="shared" si="71"/>
        <v>18238736674.819546</v>
      </c>
    </row>
    <row r="481" spans="1:34" ht="15.75" customHeight="1">
      <c r="A481" s="22">
        <f t="shared" si="55"/>
        <v>477</v>
      </c>
      <c r="B481" s="22">
        <f t="shared" si="89"/>
        <v>3352.3755772022168</v>
      </c>
      <c r="C481" s="25">
        <f t="shared" si="47"/>
        <v>3394.4551173159111</v>
      </c>
      <c r="D481" s="25">
        <f t="shared" si="56"/>
        <v>1672466.5224483579</v>
      </c>
      <c r="E481" s="25">
        <f>$C481/((1+'How much will I make'!$C$5/12)^(Calculations!$B$1*12-Calculations!$A481))</f>
        <v>3352.3755772022168</v>
      </c>
      <c r="F481" s="25">
        <f t="shared" si="57"/>
        <v>714741.51872335083</v>
      </c>
      <c r="G481" s="25">
        <f t="shared" si="48"/>
        <v>3436.8853182430184</v>
      </c>
      <c r="H481" s="25">
        <f t="shared" si="58"/>
        <v>5347974.4480357394</v>
      </c>
      <c r="I481" s="25">
        <f>G481/((1+'How much will I make'!$C$5/12)^(Calculations!$B$1*12-Calculations!$A481))</f>
        <v>3394.279789927908</v>
      </c>
      <c r="J481" s="25">
        <f t="shared" si="59"/>
        <v>1665495.0978508452</v>
      </c>
      <c r="K481" s="25">
        <f t="shared" si="49"/>
        <v>3479.6676350076623</v>
      </c>
      <c r="L481" s="25">
        <f t="shared" si="60"/>
        <v>22148255.812342782</v>
      </c>
      <c r="M481" s="25">
        <f>K481/((1+'How much will I make'!$C$5/12)^(Calculations!$B$1*12-Calculations!$A481))</f>
        <v>3436.5317534687692</v>
      </c>
      <c r="N481" s="25">
        <f t="shared" si="61"/>
        <v>5290323.5347561883</v>
      </c>
      <c r="O481" s="25">
        <f t="shared" si="50"/>
        <v>3522.8035226339639</v>
      </c>
      <c r="P481" s="25">
        <f t="shared" si="62"/>
        <v>108151438.09123987</v>
      </c>
      <c r="Q481" s="25">
        <f>O481/((1+'How much will I make'!$C$5/12)^(Calculations!$B$1*12-Calculations!$A481))</f>
        <v>3479.1329048116386</v>
      </c>
      <c r="R481" s="25">
        <f t="shared" si="63"/>
        <v>21733903.830020487</v>
      </c>
      <c r="S481" s="25">
        <f t="shared" si="51"/>
        <v>3566.2944361460454</v>
      </c>
      <c r="T481" s="25">
        <f t="shared" si="64"/>
        <v>580174198.98736584</v>
      </c>
      <c r="U481" s="25">
        <f>S481/((1+'How much will I make'!$C$5/12)^(Calculations!$B$1*12-Calculations!$A481))</f>
        <v>3522.084680943356</v>
      </c>
      <c r="V481" s="25">
        <f t="shared" si="65"/>
        <v>105245702.66592775</v>
      </c>
      <c r="W481" s="25">
        <f t="shared" si="52"/>
        <v>3610.1418305680309</v>
      </c>
      <c r="X481" s="25">
        <f t="shared" si="66"/>
        <v>3284604288.7809167</v>
      </c>
      <c r="Y481" s="25">
        <f>W481/((1+'How much will I make'!$C$5/12)^(Calculations!$B$1*12-Calculations!$A481))</f>
        <v>3565.3885188507629</v>
      </c>
      <c r="Z481" s="25">
        <f t="shared" si="67"/>
        <v>559941165.15396464</v>
      </c>
      <c r="AA481" s="25">
        <f t="shared" si="53"/>
        <v>3654.3471609240387</v>
      </c>
      <c r="AB481" s="25">
        <f t="shared" si="68"/>
        <v>19204940658.192284</v>
      </c>
      <c r="AC481" s="25">
        <f>AA481/((1+'How much will I make'!$C$5/12)^(Calculations!$B$1*12-Calculations!$A481))</f>
        <v>3609.0458555206956</v>
      </c>
      <c r="AD481" s="25">
        <f t="shared" si="69"/>
        <v>3144414445.3772364</v>
      </c>
      <c r="AE481" s="25">
        <f t="shared" si="54"/>
        <v>3698.9118822381947</v>
      </c>
      <c r="AF481" s="25">
        <f t="shared" si="70"/>
        <v>114564918922.25058</v>
      </c>
      <c r="AG481" s="25">
        <f>AE481/((1+'How much will I make'!$C$5/12)^(Calculations!$B$1*12-Calculations!$A481))</f>
        <v>3653.0581279399971</v>
      </c>
      <c r="AH481" s="25">
        <f t="shared" si="71"/>
        <v>18238740327.877674</v>
      </c>
    </row>
    <row r="482" spans="1:34" ht="15.75" customHeight="1">
      <c r="A482" s="22">
        <f t="shared" si="55"/>
        <v>478</v>
      </c>
      <c r="B482" s="22">
        <f t="shared" si="89"/>
        <v>3352.3755772022168</v>
      </c>
      <c r="C482" s="25">
        <f t="shared" si="47"/>
        <v>3380.3702413104506</v>
      </c>
      <c r="D482" s="25">
        <f t="shared" si="56"/>
        <v>1675846.8926896683</v>
      </c>
      <c r="E482" s="25">
        <f>$C482/((1+'How much will I make'!$C$5/12)^(Calculations!$B$1*12-Calculations!$A482))</f>
        <v>3352.3755772022168</v>
      </c>
      <c r="F482" s="25">
        <f t="shared" si="57"/>
        <v>718093.89430055302</v>
      </c>
      <c r="G482" s="25">
        <f t="shared" si="48"/>
        <v>3408.4813073484484</v>
      </c>
      <c r="H482" s="25">
        <f t="shared" si="58"/>
        <v>5351382.9293430876</v>
      </c>
      <c r="I482" s="25">
        <f>G482/((1+'How much will I make'!$C$5/12)^(Calculations!$B$1*12-Calculations!$A482))</f>
        <v>3380.2538403827521</v>
      </c>
      <c r="J482" s="25">
        <f t="shared" si="59"/>
        <v>1668875.3516912279</v>
      </c>
      <c r="K482" s="25">
        <f t="shared" si="49"/>
        <v>3436.70877531621</v>
      </c>
      <c r="L482" s="25">
        <f t="shared" si="60"/>
        <v>22151692.521118097</v>
      </c>
      <c r="M482" s="25">
        <f>K482/((1+'How much will I make'!$C$5/12)^(Calculations!$B$1*12-Calculations!$A482))</f>
        <v>3408.247541506064</v>
      </c>
      <c r="N482" s="25">
        <f t="shared" si="61"/>
        <v>5293731.7822976941</v>
      </c>
      <c r="O482" s="25">
        <f t="shared" si="50"/>
        <v>3465.0526452137356</v>
      </c>
      <c r="P482" s="25">
        <f t="shared" si="62"/>
        <v>108154903.14388508</v>
      </c>
      <c r="Q482" s="25">
        <f>O482/((1+'How much will I make'!$C$5/12)^(Calculations!$B$1*12-Calculations!$A482))</f>
        <v>3436.3566805721521</v>
      </c>
      <c r="R482" s="25">
        <f t="shared" si="63"/>
        <v>21737340.186701059</v>
      </c>
      <c r="S482" s="25">
        <f t="shared" si="51"/>
        <v>3493.5129170410246</v>
      </c>
      <c r="T482" s="25">
        <f t="shared" si="64"/>
        <v>580177692.50028288</v>
      </c>
      <c r="U482" s="25">
        <f>S482/((1+'How much will I make'!$C$5/12)^(Calculations!$B$1*12-Calculations!$A482))</f>
        <v>3464.5812575810164</v>
      </c>
      <c r="V482" s="25">
        <f t="shared" si="65"/>
        <v>105249167.24718533</v>
      </c>
      <c r="W482" s="25">
        <f t="shared" si="52"/>
        <v>3522.0895907980789</v>
      </c>
      <c r="X482" s="25">
        <f t="shared" si="66"/>
        <v>3284607810.8705077</v>
      </c>
      <c r="Y482" s="25">
        <f>W482/((1+'How much will I make'!$C$5/12)^(Calculations!$B$1*12-Calculations!$A482))</f>
        <v>3492.9212725326583</v>
      </c>
      <c r="Z482" s="25">
        <f t="shared" si="67"/>
        <v>559944658.07523715</v>
      </c>
      <c r="AA482" s="25">
        <f t="shared" si="53"/>
        <v>3550.7826664848958</v>
      </c>
      <c r="AB482" s="25">
        <f t="shared" si="68"/>
        <v>19204944208.974949</v>
      </c>
      <c r="AC482" s="25">
        <f>AA482/((1+'How much will I make'!$C$5/12)^(Calculations!$B$1*12-Calculations!$A482))</f>
        <v>3521.3767254270761</v>
      </c>
      <c r="AD482" s="25">
        <f t="shared" si="69"/>
        <v>3144417966.7539616</v>
      </c>
      <c r="AE482" s="25">
        <f t="shared" si="54"/>
        <v>3579.5921441014789</v>
      </c>
      <c r="AF482" s="25">
        <f t="shared" si="70"/>
        <v>114564922501.84273</v>
      </c>
      <c r="AG482" s="25">
        <f>AE482/((1+'How much will I make'!$C$5/12)^(Calculations!$B$1*12-Calculations!$A482))</f>
        <v>3549.9476162642718</v>
      </c>
      <c r="AH482" s="25">
        <f t="shared" si="71"/>
        <v>18238743877.825291</v>
      </c>
    </row>
    <row r="483" spans="1:34" ht="15.75" customHeight="1">
      <c r="A483" s="22">
        <f t="shared" si="55"/>
        <v>479</v>
      </c>
      <c r="B483" s="22">
        <f t="shared" si="89"/>
        <v>3352.3755772022168</v>
      </c>
      <c r="C483" s="25">
        <f t="shared" si="47"/>
        <v>3366.3438087738928</v>
      </c>
      <c r="D483" s="25">
        <f t="shared" si="56"/>
        <v>1679213.2364984422</v>
      </c>
      <c r="E483" s="25">
        <f>$C483/((1+'How much will I make'!$C$5/12)^(Calculations!$B$1*12-Calculations!$A483))</f>
        <v>3352.3755772022168</v>
      </c>
      <c r="F483" s="25">
        <f t="shared" si="57"/>
        <v>721446.2698777552</v>
      </c>
      <c r="G483" s="25">
        <f t="shared" si="48"/>
        <v>3380.3120403455687</v>
      </c>
      <c r="H483" s="25">
        <f t="shared" si="58"/>
        <v>5354763.2413834333</v>
      </c>
      <c r="I483" s="25">
        <f>G483/((1+'How much will I make'!$C$5/12)^(Calculations!$B$1*12-Calculations!$A483))</f>
        <v>3366.2858493067906</v>
      </c>
      <c r="J483" s="25">
        <f t="shared" si="59"/>
        <v>1672241.6375405346</v>
      </c>
      <c r="K483" s="25">
        <f t="shared" si="49"/>
        <v>3394.2802719172446</v>
      </c>
      <c r="L483" s="25">
        <f t="shared" si="60"/>
        <v>22155086.801390015</v>
      </c>
      <c r="M483" s="25">
        <f>K483/((1+'How much will I make'!$C$5/12)^(Calculations!$B$1*12-Calculations!$A483))</f>
        <v>3380.1961214113639</v>
      </c>
      <c r="N483" s="25">
        <f t="shared" si="61"/>
        <v>5297111.9784191055</v>
      </c>
      <c r="O483" s="25">
        <f t="shared" si="50"/>
        <v>3408.2485034889201</v>
      </c>
      <c r="P483" s="25">
        <f t="shared" si="62"/>
        <v>108158311.39238857</v>
      </c>
      <c r="Q483" s="25">
        <f>O483/((1+'How much will I make'!$C$5/12)^(Calculations!$B$1*12-Calculations!$A483))</f>
        <v>3394.1063935159368</v>
      </c>
      <c r="R483" s="25">
        <f t="shared" si="63"/>
        <v>21740734.293094575</v>
      </c>
      <c r="S483" s="25">
        <f t="shared" si="51"/>
        <v>3422.216735060596</v>
      </c>
      <c r="T483" s="25">
        <f t="shared" si="64"/>
        <v>580181114.71701789</v>
      </c>
      <c r="U483" s="25">
        <f>S483/((1+'How much will I make'!$C$5/12)^(Calculations!$B$1*12-Calculations!$A483))</f>
        <v>3408.0166656205106</v>
      </c>
      <c r="V483" s="25">
        <f t="shared" si="65"/>
        <v>105252575.26385096</v>
      </c>
      <c r="W483" s="25">
        <f t="shared" si="52"/>
        <v>3436.1849666322719</v>
      </c>
      <c r="X483" s="25">
        <f t="shared" si="66"/>
        <v>3284611247.0554743</v>
      </c>
      <c r="Y483" s="25">
        <f>W483/((1+'How much will I make'!$C$5/12)^(Calculations!$B$1*12-Calculations!$A483))</f>
        <v>3421.9269377250839</v>
      </c>
      <c r="Z483" s="25">
        <f t="shared" si="67"/>
        <v>559948080.00217485</v>
      </c>
      <c r="AA483" s="25">
        <f t="shared" si="53"/>
        <v>3450.1531982039478</v>
      </c>
      <c r="AB483" s="25">
        <f t="shared" si="68"/>
        <v>19204947659.128147</v>
      </c>
      <c r="AC483" s="25">
        <f>AA483/((1+'How much will I make'!$C$5/12)^(Calculations!$B$1*12-Calculations!$A483))</f>
        <v>3435.8372098296577</v>
      </c>
      <c r="AD483" s="25">
        <f t="shared" si="69"/>
        <v>3144421402.5911713</v>
      </c>
      <c r="AE483" s="25">
        <f t="shared" si="54"/>
        <v>3464.1214297756246</v>
      </c>
      <c r="AF483" s="25">
        <f t="shared" si="70"/>
        <v>114564925965.96416</v>
      </c>
      <c r="AG483" s="25">
        <f>AE483/((1+'How much will I make'!$C$5/12)^(Calculations!$B$1*12-Calculations!$A483))</f>
        <v>3449.7474819342319</v>
      </c>
      <c r="AH483" s="25">
        <f t="shared" si="71"/>
        <v>18238747327.572773</v>
      </c>
    </row>
    <row r="484" spans="1:34" ht="15.75" customHeight="1">
      <c r="A484" s="22">
        <f t="shared" si="55"/>
        <v>480</v>
      </c>
      <c r="B484" s="22">
        <f t="shared" si="89"/>
        <v>3352.3755772022168</v>
      </c>
      <c r="C484" s="25">
        <f t="shared" si="47"/>
        <v>3352.3755772022168</v>
      </c>
      <c r="D484" s="25">
        <f t="shared" si="56"/>
        <v>1682565.6120756445</v>
      </c>
      <c r="E484" s="25">
        <f>$C484/((1+'How much will I make'!$C$5/12)^(Calculations!$B$1*12-Calculations!$A484))</f>
        <v>3352.3755772022168</v>
      </c>
      <c r="F484" s="25">
        <f t="shared" si="57"/>
        <v>724798.64545495738</v>
      </c>
      <c r="G484" s="25">
        <f t="shared" si="48"/>
        <v>3352.3755772022168</v>
      </c>
      <c r="H484" s="25">
        <f t="shared" si="58"/>
        <v>5358115.6169606354</v>
      </c>
      <c r="I484" s="25">
        <f>G484/((1+'How much will I make'!$C$5/12)^(Calculations!$B$1*12-Calculations!$A484))</f>
        <v>3352.3755772022168</v>
      </c>
      <c r="J484" s="25">
        <f t="shared" si="59"/>
        <v>1675594.0131177369</v>
      </c>
      <c r="K484" s="25">
        <f t="shared" si="49"/>
        <v>3352.3755772022168</v>
      </c>
      <c r="L484" s="25">
        <f t="shared" si="60"/>
        <v>22158439.176967219</v>
      </c>
      <c r="M484" s="25">
        <f>K484/((1+'How much will I make'!$C$5/12)^(Calculations!$B$1*12-Calculations!$A484))</f>
        <v>3352.3755772022168</v>
      </c>
      <c r="N484" s="25">
        <f t="shared" si="61"/>
        <v>5300464.3539963076</v>
      </c>
      <c r="O484" s="25">
        <f t="shared" si="50"/>
        <v>3352.3755772022168</v>
      </c>
      <c r="P484" s="25">
        <f t="shared" si="62"/>
        <v>108161663.76796576</v>
      </c>
      <c r="Q484" s="25">
        <f>O484/((1+'How much will I make'!$C$5/12)^(Calculations!$B$1*12-Calculations!$A484))</f>
        <v>3352.3755772022168</v>
      </c>
      <c r="R484" s="25">
        <f t="shared" si="63"/>
        <v>21744086.668671779</v>
      </c>
      <c r="S484" s="25">
        <f t="shared" si="51"/>
        <v>3352.3755772022168</v>
      </c>
      <c r="T484" s="25">
        <f t="shared" si="64"/>
        <v>580184467.0925951</v>
      </c>
      <c r="U484" s="25">
        <f>S484/((1+'How much will I make'!$C$5/12)^(Calculations!$B$1*12-Calculations!$A484))</f>
        <v>3352.3755772022168</v>
      </c>
      <c r="V484" s="25">
        <f t="shared" si="65"/>
        <v>105255927.63942815</v>
      </c>
      <c r="W484" s="25">
        <f t="shared" si="52"/>
        <v>3352.3755772022168</v>
      </c>
      <c r="X484" s="25">
        <f t="shared" si="66"/>
        <v>3284614599.4310513</v>
      </c>
      <c r="Y484" s="25">
        <f>W484/((1+'How much will I make'!$C$5/12)^(Calculations!$B$1*12-Calculations!$A484))</f>
        <v>3352.3755772022168</v>
      </c>
      <c r="Z484" s="25">
        <f t="shared" si="67"/>
        <v>559951432.37775207</v>
      </c>
      <c r="AA484" s="25">
        <f t="shared" si="53"/>
        <v>3352.3755772022168</v>
      </c>
      <c r="AB484" s="25">
        <f t="shared" si="68"/>
        <v>19204951011.503723</v>
      </c>
      <c r="AC484" s="25">
        <f>AA484/((1+'How much will I make'!$C$5/12)^(Calculations!$B$1*12-Calculations!$A484))</f>
        <v>3352.3755772022168</v>
      </c>
      <c r="AD484" s="25">
        <f t="shared" si="69"/>
        <v>3144424754.9667482</v>
      </c>
      <c r="AE484" s="25">
        <f t="shared" si="54"/>
        <v>3352.3755772022168</v>
      </c>
      <c r="AF484" s="25">
        <f t="shared" si="70"/>
        <v>114564929318.33974</v>
      </c>
      <c r="AG484" s="25">
        <f>AE484/((1+'How much will I make'!$C$5/12)^(Calculations!$B$1*12-Calculations!$A484))</f>
        <v>3352.3755772022168</v>
      </c>
      <c r="AH484" s="25">
        <f t="shared" si="71"/>
        <v>18238750679.948349</v>
      </c>
    </row>
    <row r="485" spans="1:34" ht="15.75" customHeight="1">
      <c r="A485" s="22">
        <f t="shared" si="55"/>
        <v>481</v>
      </c>
      <c r="B485" s="22">
        <f>B484*(1+'How much will I make'!$C$4)</f>
        <v>3519.9943560623278</v>
      </c>
      <c r="C485" s="25">
        <f t="shared" si="47"/>
        <v>3505.3885703525257</v>
      </c>
      <c r="D485" s="25">
        <f t="shared" si="56"/>
        <v>1686071.000645997</v>
      </c>
      <c r="E485" s="25">
        <f>$C485/((1+'How much will I make'!$C$5/12)^(Calculations!$B$1*12-Calculations!$A485))</f>
        <v>3519.9943560623278</v>
      </c>
      <c r="F485" s="25">
        <f t="shared" si="57"/>
        <v>728318.63981101976</v>
      </c>
      <c r="G485" s="25">
        <f t="shared" si="48"/>
        <v>3490.9034936155317</v>
      </c>
      <c r="H485" s="25">
        <f t="shared" si="58"/>
        <v>5361606.5204542512</v>
      </c>
      <c r="I485" s="25">
        <f>G485/((1+'How much will I make'!$C$5/12)^(Calculations!$B$1*12-Calculations!$A485))</f>
        <v>3505.4489248389295</v>
      </c>
      <c r="J485" s="25">
        <f t="shared" si="59"/>
        <v>1679099.4620425759</v>
      </c>
      <c r="K485" s="25">
        <f t="shared" si="49"/>
        <v>3476.5376356171141</v>
      </c>
      <c r="L485" s="25">
        <f t="shared" si="60"/>
        <v>22161915.714602835</v>
      </c>
      <c r="M485" s="25">
        <f>K485/((1+'How much will I make'!$C$5/12)^(Calculations!$B$1*12-Calculations!$A485))</f>
        <v>3491.023209098852</v>
      </c>
      <c r="N485" s="25">
        <f t="shared" si="61"/>
        <v>5303955.3772054063</v>
      </c>
      <c r="O485" s="25">
        <f t="shared" si="50"/>
        <v>3462.2895305531097</v>
      </c>
      <c r="P485" s="25">
        <f t="shared" si="62"/>
        <v>108165126.05749632</v>
      </c>
      <c r="Q485" s="25">
        <f>O485/((1+'How much will I make'!$C$5/12)^(Calculations!$B$1*12-Calculations!$A485))</f>
        <v>3476.7157369304141</v>
      </c>
      <c r="R485" s="25">
        <f t="shared" si="63"/>
        <v>21747563.384408709</v>
      </c>
      <c r="S485" s="25">
        <f t="shared" si="51"/>
        <v>3448.157736550852</v>
      </c>
      <c r="T485" s="25">
        <f t="shared" si="64"/>
        <v>580187915.25033164</v>
      </c>
      <c r="U485" s="25">
        <f>S485/((1+'How much will I make'!$C$5/12)^(Calculations!$B$1*12-Calculations!$A485))</f>
        <v>3462.525060453147</v>
      </c>
      <c r="V485" s="25">
        <f t="shared" si="65"/>
        <v>105259390.16448861</v>
      </c>
      <c r="W485" s="25">
        <f t="shared" si="52"/>
        <v>3434.140835182759</v>
      </c>
      <c r="X485" s="25">
        <f t="shared" si="66"/>
        <v>3284618033.5718865</v>
      </c>
      <c r="Y485" s="25">
        <f>W485/((1+'How much will I make'!$C$5/12)^(Calculations!$B$1*12-Calculations!$A485))</f>
        <v>3448.4497553293536</v>
      </c>
      <c r="Z485" s="25">
        <f t="shared" si="67"/>
        <v>559954880.82750738</v>
      </c>
      <c r="AA485" s="25">
        <f t="shared" si="53"/>
        <v>3420.2374309917359</v>
      </c>
      <c r="AB485" s="25">
        <f t="shared" si="68"/>
        <v>19204954431.741154</v>
      </c>
      <c r="AC485" s="25">
        <f>AA485/((1+'How much will I make'!$C$5/12)^(Calculations!$B$1*12-Calculations!$A485))</f>
        <v>3434.4884202875346</v>
      </c>
      <c r="AD485" s="25">
        <f t="shared" si="69"/>
        <v>3144428189.4551687</v>
      </c>
      <c r="AE485" s="25">
        <f t="shared" si="54"/>
        <v>3406.4461510280589</v>
      </c>
      <c r="AF485" s="25">
        <f t="shared" si="70"/>
        <v>114564932724.78589</v>
      </c>
      <c r="AG485" s="25">
        <f>AE485/((1+'How much will I make'!$C$5/12)^(Calculations!$B$1*12-Calculations!$A485))</f>
        <v>3420.6396766573425</v>
      </c>
      <c r="AH485" s="25">
        <f t="shared" si="71"/>
        <v>18238754100.588024</v>
      </c>
    </row>
    <row r="486" spans="1:34" ht="15.75" customHeight="1">
      <c r="A486" s="22">
        <f t="shared" si="55"/>
        <v>482</v>
      </c>
      <c r="B486" s="22">
        <f t="shared" ref="B486:B496" si="90">B485</f>
        <v>3519.9943560623278</v>
      </c>
      <c r="C486" s="25">
        <f t="shared" si="47"/>
        <v>3490.8433895626808</v>
      </c>
      <c r="D486" s="25">
        <f t="shared" si="56"/>
        <v>1689561.8440355598</v>
      </c>
      <c r="E486" s="25">
        <f>$C486/((1+'How much will I make'!$C$5/12)^(Calculations!$B$1*12-Calculations!$A486))</f>
        <v>3519.9943560623278</v>
      </c>
      <c r="F486" s="25">
        <f t="shared" si="57"/>
        <v>731838.63416708214</v>
      </c>
      <c r="G486" s="25">
        <f t="shared" si="48"/>
        <v>3462.0530515195355</v>
      </c>
      <c r="H486" s="25">
        <f t="shared" si="58"/>
        <v>5365068.5735057704</v>
      </c>
      <c r="I486" s="25">
        <f>G486/((1+'How much will I make'!$C$5/12)^(Calculations!$B$1*12-Calculations!$A486))</f>
        <v>3490.963598703232</v>
      </c>
      <c r="J486" s="25">
        <f t="shared" si="59"/>
        <v>1682590.4256412792</v>
      </c>
      <c r="K486" s="25">
        <f t="shared" si="49"/>
        <v>3433.6174178934461</v>
      </c>
      <c r="L486" s="25">
        <f t="shared" si="60"/>
        <v>22165349.33202073</v>
      </c>
      <c r="M486" s="25">
        <f>K486/((1+'How much will I make'!$C$5/12)^(Calculations!$B$1*12-Calculations!$A486))</f>
        <v>3462.290507789397</v>
      </c>
      <c r="N486" s="25">
        <f t="shared" si="61"/>
        <v>5307417.667713196</v>
      </c>
      <c r="O486" s="25">
        <f t="shared" si="50"/>
        <v>3405.5306857899441</v>
      </c>
      <c r="P486" s="25">
        <f t="shared" si="62"/>
        <v>108168531.58818212</v>
      </c>
      <c r="Q486" s="25">
        <f>O486/((1+'How much will I make'!$C$5/12)^(Calculations!$B$1*12-Calculations!$A486))</f>
        <v>3433.9692319681553</v>
      </c>
      <c r="R486" s="25">
        <f t="shared" si="63"/>
        <v>21750997.353640676</v>
      </c>
      <c r="S486" s="25">
        <f t="shared" si="51"/>
        <v>3377.7871704987942</v>
      </c>
      <c r="T486" s="25">
        <f t="shared" si="64"/>
        <v>580191293.03750217</v>
      </c>
      <c r="U486" s="25">
        <f>S486/((1+'How much will I make'!$C$5/12)^(Calculations!$B$1*12-Calculations!$A486))</f>
        <v>3405.9940390579945</v>
      </c>
      <c r="V486" s="25">
        <f t="shared" si="65"/>
        <v>105262796.15852767</v>
      </c>
      <c r="W486" s="25">
        <f t="shared" si="52"/>
        <v>3350.3813026173257</v>
      </c>
      <c r="X486" s="25">
        <f t="shared" si="66"/>
        <v>3284621383.9531894</v>
      </c>
      <c r="Y486" s="25">
        <f>W486/((1+'How much will I make'!$C$5/12)^(Calculations!$B$1*12-Calculations!$A486))</f>
        <v>3378.3593131478628</v>
      </c>
      <c r="Z486" s="25">
        <f t="shared" si="67"/>
        <v>559958259.18682051</v>
      </c>
      <c r="AA486" s="25">
        <f t="shared" si="53"/>
        <v>3323.3076252551286</v>
      </c>
      <c r="AB486" s="25">
        <f t="shared" si="68"/>
        <v>19204957755.048779</v>
      </c>
      <c r="AC486" s="25">
        <f>AA486/((1+'How much will I make'!$C$5/12)^(Calculations!$B$1*12-Calculations!$A486))</f>
        <v>3351.0595517785268</v>
      </c>
      <c r="AD486" s="25">
        <f t="shared" si="69"/>
        <v>3144431540.5147204</v>
      </c>
      <c r="AE486" s="25">
        <f t="shared" si="54"/>
        <v>3296.5607913174763</v>
      </c>
      <c r="AF486" s="25">
        <f t="shared" si="70"/>
        <v>114564936021.34668</v>
      </c>
      <c r="AG486" s="25">
        <f>AE486/((1+'How much will I make'!$C$5/12)^(Calculations!$B$1*12-Calculations!$A486))</f>
        <v>3324.0893632033049</v>
      </c>
      <c r="AH486" s="25">
        <f t="shared" si="71"/>
        <v>18238757424.677387</v>
      </c>
    </row>
    <row r="487" spans="1:34" ht="15.75" customHeight="1">
      <c r="A487" s="22">
        <f t="shared" si="55"/>
        <v>483</v>
      </c>
      <c r="B487" s="22">
        <f t="shared" si="90"/>
        <v>3519.9943560623278</v>
      </c>
      <c r="C487" s="25">
        <f t="shared" si="47"/>
        <v>3476.3585622200967</v>
      </c>
      <c r="D487" s="25">
        <f t="shared" si="56"/>
        <v>1693038.2025977799</v>
      </c>
      <c r="E487" s="25">
        <f>$C487/((1+'How much will I make'!$C$5/12)^(Calculations!$B$1*12-Calculations!$A487))</f>
        <v>3519.9943560623278</v>
      </c>
      <c r="F487" s="25">
        <f t="shared" si="57"/>
        <v>735358.62852314452</v>
      </c>
      <c r="G487" s="25">
        <f t="shared" si="48"/>
        <v>3433.4410428292917</v>
      </c>
      <c r="H487" s="25">
        <f t="shared" si="58"/>
        <v>5368502.0145485997</v>
      </c>
      <c r="I487" s="25">
        <f>G487/((1+'How much will I make'!$C$5/12)^(Calculations!$B$1*12-Calculations!$A487))</f>
        <v>3476.5381292871034</v>
      </c>
      <c r="J487" s="25">
        <f t="shared" si="59"/>
        <v>1686066.9637705663</v>
      </c>
      <c r="K487" s="25">
        <f t="shared" si="49"/>
        <v>3391.2270794009346</v>
      </c>
      <c r="L487" s="25">
        <f t="shared" si="60"/>
        <v>22168740.559100132</v>
      </c>
      <c r="M487" s="25">
        <f>K487/((1+'How much will I make'!$C$5/12)^(Calculations!$B$1*12-Calculations!$A487))</f>
        <v>3433.7942896182913</v>
      </c>
      <c r="N487" s="25">
        <f t="shared" si="61"/>
        <v>5310851.4620028147</v>
      </c>
      <c r="O487" s="25">
        <f t="shared" si="50"/>
        <v>3349.7023138917484</v>
      </c>
      <c r="P487" s="25">
        <f t="shared" si="62"/>
        <v>108171881.29049601</v>
      </c>
      <c r="Q487" s="25">
        <f>O487/((1+'How much will I make'!$C$5/12)^(Calculations!$B$1*12-Calculations!$A487))</f>
        <v>3391.7482987882195</v>
      </c>
      <c r="R487" s="25">
        <f t="shared" si="63"/>
        <v>21754389.101939462</v>
      </c>
      <c r="S487" s="25">
        <f t="shared" si="51"/>
        <v>3308.8527384477989</v>
      </c>
      <c r="T487" s="25">
        <f t="shared" si="64"/>
        <v>580194601.89024067</v>
      </c>
      <c r="U487" s="25">
        <f>S487/((1+'How much will I make'!$C$5/12)^(Calculations!$B$1*12-Calculations!$A487))</f>
        <v>3350.3859731141911</v>
      </c>
      <c r="V487" s="25">
        <f t="shared" si="65"/>
        <v>105266146.54450078</v>
      </c>
      <c r="W487" s="25">
        <f t="shared" si="52"/>
        <v>3268.6646854803184</v>
      </c>
      <c r="X487" s="25">
        <f t="shared" si="66"/>
        <v>3284624652.6178746</v>
      </c>
      <c r="Y487" s="25">
        <f>W487/((1+'How much will I make'!$C$5/12)^(Calculations!$B$1*12-Calculations!$A487))</f>
        <v>3309.6934734497368</v>
      </c>
      <c r="Z487" s="25">
        <f t="shared" si="67"/>
        <v>559961568.88029397</v>
      </c>
      <c r="AA487" s="25">
        <f t="shared" si="53"/>
        <v>3229.1248180616631</v>
      </c>
      <c r="AB487" s="25">
        <f t="shared" si="68"/>
        <v>19204960984.173595</v>
      </c>
      <c r="AC487" s="25">
        <f>AA487/((1+'How much will I make'!$C$5/12)^(Calculations!$B$1*12-Calculations!$A487))</f>
        <v>3269.6572954600197</v>
      </c>
      <c r="AD487" s="25">
        <f t="shared" si="69"/>
        <v>3144434810.1720157</v>
      </c>
      <c r="AE487" s="25">
        <f t="shared" si="54"/>
        <v>3190.2201206298155</v>
      </c>
      <c r="AF487" s="25">
        <f t="shared" si="70"/>
        <v>114564939211.5668</v>
      </c>
      <c r="AG487" s="25">
        <f>AE487/((1+'How much will I make'!$C$5/12)^(Calculations!$B$1*12-Calculations!$A487))</f>
        <v>3230.264260209663</v>
      </c>
      <c r="AH487" s="25">
        <f t="shared" si="71"/>
        <v>18238760654.941647</v>
      </c>
    </row>
    <row r="488" spans="1:34" ht="15.75" customHeight="1">
      <c r="A488" s="22">
        <f t="shared" si="55"/>
        <v>484</v>
      </c>
      <c r="B488" s="22">
        <f t="shared" si="90"/>
        <v>3519.9943560623278</v>
      </c>
      <c r="C488" s="25">
        <f t="shared" si="47"/>
        <v>3461.9338378955322</v>
      </c>
      <c r="D488" s="25">
        <f t="shared" si="56"/>
        <v>1696500.1364356754</v>
      </c>
      <c r="E488" s="25">
        <f>$C488/((1+'How much will I make'!$C$5/12)^(Calculations!$B$1*12-Calculations!$A488))</f>
        <v>3519.9943560623278</v>
      </c>
      <c r="F488" s="25">
        <f t="shared" si="57"/>
        <v>738878.6228792069</v>
      </c>
      <c r="G488" s="25">
        <f t="shared" si="48"/>
        <v>3405.0654970207856</v>
      </c>
      <c r="H488" s="25">
        <f t="shared" si="58"/>
        <v>5371907.0800456209</v>
      </c>
      <c r="I488" s="25">
        <f>G488/((1+'How much will I make'!$C$5/12)^(Calculations!$B$1*12-Calculations!$A488))</f>
        <v>3462.1722692487274</v>
      </c>
      <c r="J488" s="25">
        <f t="shared" si="59"/>
        <v>1689529.1360398149</v>
      </c>
      <c r="K488" s="25">
        <f t="shared" si="49"/>
        <v>3349.360078420676</v>
      </c>
      <c r="L488" s="25">
        <f t="shared" si="60"/>
        <v>22172089.919178553</v>
      </c>
      <c r="M488" s="25">
        <f>K488/((1+'How much will I make'!$C$5/12)^(Calculations!$B$1*12-Calculations!$A488))</f>
        <v>3405.5326082222555</v>
      </c>
      <c r="N488" s="25">
        <f t="shared" si="61"/>
        <v>5314256.994611037</v>
      </c>
      <c r="O488" s="25">
        <f t="shared" si="50"/>
        <v>3294.7891612049984</v>
      </c>
      <c r="P488" s="25">
        <f t="shared" si="62"/>
        <v>108175176.07965721</v>
      </c>
      <c r="Q488" s="25">
        <f>O488/((1+'How much will I make'!$C$5/12)^(Calculations!$B$1*12-Calculations!$A488))</f>
        <v>3350.0464754424625</v>
      </c>
      <c r="R488" s="25">
        <f t="shared" si="63"/>
        <v>21757739.148414906</v>
      </c>
      <c r="S488" s="25">
        <f t="shared" si="51"/>
        <v>3241.325131540701</v>
      </c>
      <c r="T488" s="25">
        <f t="shared" si="64"/>
        <v>580197843.2153722</v>
      </c>
      <c r="U488" s="25">
        <f>S488/((1+'How much will I make'!$C$5/12)^(Calculations!$B$1*12-Calculations!$A488))</f>
        <v>3295.6857939613064</v>
      </c>
      <c r="V488" s="25">
        <f t="shared" si="65"/>
        <v>105269442.23029475</v>
      </c>
      <c r="W488" s="25">
        <f t="shared" si="52"/>
        <v>3188.9411565661644</v>
      </c>
      <c r="X488" s="25">
        <f t="shared" si="66"/>
        <v>3284627841.559031</v>
      </c>
      <c r="Y488" s="25">
        <f>W488/((1+'How much will I make'!$C$5/12)^(Calculations!$B$1*12-Calculations!$A488))</f>
        <v>3242.4232808999454</v>
      </c>
      <c r="Z488" s="25">
        <f t="shared" si="67"/>
        <v>559964811.30357492</v>
      </c>
      <c r="AA488" s="25">
        <f t="shared" si="53"/>
        <v>3137.6111592501998</v>
      </c>
      <c r="AB488" s="25">
        <f t="shared" si="68"/>
        <v>19204964121.784756</v>
      </c>
      <c r="AC488" s="25">
        <f>AA488/((1+'How much will I make'!$C$5/12)^(Calculations!$B$1*12-Calculations!$A488))</f>
        <v>3190.2324218860931</v>
      </c>
      <c r="AD488" s="25">
        <f t="shared" si="69"/>
        <v>3144438000.4044375</v>
      </c>
      <c r="AE488" s="25">
        <f t="shared" si="54"/>
        <v>3087.3097941578853</v>
      </c>
      <c r="AF488" s="25">
        <f t="shared" si="70"/>
        <v>114564942298.8766</v>
      </c>
      <c r="AG488" s="25">
        <f>AE488/((1+'How much will I make'!$C$5/12)^(Calculations!$B$1*12-Calculations!$A488))</f>
        <v>3139.0874464134217</v>
      </c>
      <c r="AH488" s="25">
        <f t="shared" si="71"/>
        <v>18238763794.029095</v>
      </c>
    </row>
    <row r="489" spans="1:34" ht="15.75" customHeight="1">
      <c r="A489" s="22">
        <f t="shared" si="55"/>
        <v>485</v>
      </c>
      <c r="B489" s="22">
        <f t="shared" si="90"/>
        <v>3519.9943560623278</v>
      </c>
      <c r="C489" s="25">
        <f t="shared" si="47"/>
        <v>3447.5689671988707</v>
      </c>
      <c r="D489" s="25">
        <f t="shared" si="56"/>
        <v>1699947.7054028744</v>
      </c>
      <c r="E489" s="25">
        <f>$C489/((1+'How much will I make'!$C$5/12)^(Calculations!$B$1*12-Calculations!$A489))</f>
        <v>3519.9943560623278</v>
      </c>
      <c r="F489" s="25">
        <f t="shared" si="57"/>
        <v>742398.61723526928</v>
      </c>
      <c r="G489" s="25">
        <f t="shared" si="48"/>
        <v>3376.9244598553246</v>
      </c>
      <c r="H489" s="25">
        <f t="shared" si="58"/>
        <v>5375284.004505476</v>
      </c>
      <c r="I489" s="25">
        <f>G489/((1+'How much will I make'!$C$5/12)^(Calculations!$B$1*12-Calculations!$A489))</f>
        <v>3447.8657722683602</v>
      </c>
      <c r="J489" s="25">
        <f t="shared" si="59"/>
        <v>1692977.0018120832</v>
      </c>
      <c r="K489" s="25">
        <f t="shared" si="49"/>
        <v>3308.0099539957296</v>
      </c>
      <c r="L489" s="25">
        <f t="shared" si="60"/>
        <v>22175397.929132547</v>
      </c>
      <c r="M489" s="25">
        <f>K489/((1+'How much will I make'!$C$5/12)^(Calculations!$B$1*12-Calculations!$A489))</f>
        <v>3377.503533257463</v>
      </c>
      <c r="N489" s="25">
        <f t="shared" si="61"/>
        <v>5317634.4981442941</v>
      </c>
      <c r="O489" s="25">
        <f t="shared" si="50"/>
        <v>3240.7762241360638</v>
      </c>
      <c r="P489" s="25">
        <f t="shared" si="62"/>
        <v>108178416.85588135</v>
      </c>
      <c r="Q489" s="25">
        <f>O489/((1+'How much will I make'!$C$5/12)^(Calculations!$B$1*12-Calculations!$A489))</f>
        <v>3308.8573794329236</v>
      </c>
      <c r="R489" s="25">
        <f t="shared" si="63"/>
        <v>21761048.005794339</v>
      </c>
      <c r="S489" s="25">
        <f t="shared" si="51"/>
        <v>3175.1756390602786</v>
      </c>
      <c r="T489" s="25">
        <f t="shared" si="64"/>
        <v>580201018.39101124</v>
      </c>
      <c r="U489" s="25">
        <f>S489/((1+'How much will I make'!$C$5/12)^(Calculations!$B$1*12-Calculations!$A489))</f>
        <v>3241.8786789578562</v>
      </c>
      <c r="V489" s="25">
        <f t="shared" si="65"/>
        <v>105272684.10897371</v>
      </c>
      <c r="W489" s="25">
        <f t="shared" si="52"/>
        <v>3111.1621039669899</v>
      </c>
      <c r="X489" s="25">
        <f t="shared" si="66"/>
        <v>3284630952.7211351</v>
      </c>
      <c r="Y489" s="25">
        <f>W489/((1+'How much will I make'!$C$5/12)^(Calculations!$B$1*12-Calculations!$A489))</f>
        <v>3176.5203686865316</v>
      </c>
      <c r="Z489" s="25">
        <f t="shared" si="67"/>
        <v>559967987.82394361</v>
      </c>
      <c r="AA489" s="25">
        <f t="shared" si="53"/>
        <v>3048.691004939466</v>
      </c>
      <c r="AB489" s="25">
        <f t="shared" si="68"/>
        <v>19204967170.475761</v>
      </c>
      <c r="AC489" s="25">
        <f>AA489/((1+'How much will I make'!$C$5/12)^(Calculations!$B$1*12-Calculations!$A489))</f>
        <v>3112.7368974678075</v>
      </c>
      <c r="AD489" s="25">
        <f t="shared" si="69"/>
        <v>3144441113.141335</v>
      </c>
      <c r="AE489" s="25">
        <f t="shared" si="54"/>
        <v>2987.7191556366633</v>
      </c>
      <c r="AF489" s="25">
        <f t="shared" si="70"/>
        <v>114564945286.59576</v>
      </c>
      <c r="AG489" s="25">
        <f>AE489/((1+'How much will I make'!$C$5/12)^(Calculations!$B$1*12-Calculations!$A489))</f>
        <v>3050.4841717162685</v>
      </c>
      <c r="AH489" s="25">
        <f t="shared" si="71"/>
        <v>18238766844.513268</v>
      </c>
    </row>
    <row r="490" spans="1:34" ht="15.75" customHeight="1">
      <c r="A490" s="22">
        <f t="shared" si="55"/>
        <v>486</v>
      </c>
      <c r="B490" s="22">
        <f t="shared" si="90"/>
        <v>3519.9943560623278</v>
      </c>
      <c r="C490" s="25">
        <f t="shared" si="47"/>
        <v>3433.2637017748089</v>
      </c>
      <c r="D490" s="25">
        <f t="shared" si="56"/>
        <v>1703380.9691046493</v>
      </c>
      <c r="E490" s="25">
        <f>$C490/((1+'How much will I make'!$C$5/12)^(Calculations!$B$1*12-Calculations!$A490))</f>
        <v>3519.9943560623278</v>
      </c>
      <c r="F490" s="25">
        <f t="shared" si="57"/>
        <v>745918.61159133166</v>
      </c>
      <c r="G490" s="25">
        <f t="shared" si="48"/>
        <v>3349.0159932449501</v>
      </c>
      <c r="H490" s="25">
        <f t="shared" si="58"/>
        <v>5378633.0204987209</v>
      </c>
      <c r="I490" s="25">
        <f>G490/((1+'How much will I make'!$C$5/12)^(Calculations!$B$1*12-Calculations!$A490))</f>
        <v>3433.6183930441111</v>
      </c>
      <c r="J490" s="25">
        <f t="shared" si="59"/>
        <v>1696410.6202051274</v>
      </c>
      <c r="K490" s="25">
        <f t="shared" si="49"/>
        <v>3267.170324934054</v>
      </c>
      <c r="L490" s="25">
        <f t="shared" si="60"/>
        <v>22178665.09945748</v>
      </c>
      <c r="M490" s="25">
        <f>K490/((1+'How much will I make'!$C$5/12)^(Calculations!$B$1*12-Calculations!$A490))</f>
        <v>3349.70515026769</v>
      </c>
      <c r="N490" s="25">
        <f t="shared" si="61"/>
        <v>5320984.2032945622</v>
      </c>
      <c r="O490" s="25">
        <f t="shared" si="50"/>
        <v>3187.6487450518662</v>
      </c>
      <c r="P490" s="25">
        <f t="shared" si="62"/>
        <v>108181604.50462639</v>
      </c>
      <c r="Q490" s="25">
        <f>O490/((1+'How much will I make'!$C$5/12)^(Calculations!$B$1*12-Calculations!$A490))</f>
        <v>3268.1747067349779</v>
      </c>
      <c r="R490" s="25">
        <f t="shared" si="63"/>
        <v>21764316.180501074</v>
      </c>
      <c r="S490" s="25">
        <f t="shared" si="51"/>
        <v>3110.3761362223145</v>
      </c>
      <c r="T490" s="25">
        <f t="shared" si="64"/>
        <v>580204128.76714742</v>
      </c>
      <c r="U490" s="25">
        <f>S490/((1+'How much will I make'!$C$5/12)^(Calculations!$B$1*12-Calculations!$A490))</f>
        <v>3188.9500474646675</v>
      </c>
      <c r="V490" s="25">
        <f t="shared" si="65"/>
        <v>105275873.05902117</v>
      </c>
      <c r="W490" s="25">
        <f t="shared" si="52"/>
        <v>3035.2801014312099</v>
      </c>
      <c r="X490" s="25">
        <f t="shared" si="66"/>
        <v>3284633988.0012364</v>
      </c>
      <c r="Y490" s="25">
        <f>W490/((1+'How much will I make'!$C$5/12)^(Calculations!$B$1*12-Calculations!$A490))</f>
        <v>3111.956946558757</v>
      </c>
      <c r="Z490" s="25">
        <f t="shared" si="67"/>
        <v>559971099.78089023</v>
      </c>
      <c r="AA490" s="25">
        <f t="shared" si="53"/>
        <v>2962.2908550019106</v>
      </c>
      <c r="AB490" s="25">
        <f t="shared" si="68"/>
        <v>19204970132.766617</v>
      </c>
      <c r="AC490" s="25">
        <f>AA490/((1+'How much will I make'!$C$5/12)^(Calculations!$B$1*12-Calculations!$A490))</f>
        <v>3037.1238554240558</v>
      </c>
      <c r="AD490" s="25">
        <f t="shared" si="69"/>
        <v>3144444150.2651906</v>
      </c>
      <c r="AE490" s="25">
        <f t="shared" si="54"/>
        <v>2891.3411183580611</v>
      </c>
      <c r="AF490" s="25">
        <f t="shared" si="70"/>
        <v>114564948177.93689</v>
      </c>
      <c r="AG490" s="25">
        <f>AE490/((1+'How much will I make'!$C$5/12)^(Calculations!$B$1*12-Calculations!$A490))</f>
        <v>2964.3817959016965</v>
      </c>
      <c r="AH490" s="25">
        <f t="shared" si="71"/>
        <v>18238769808.895065</v>
      </c>
    </row>
    <row r="491" spans="1:34" ht="15.75" customHeight="1">
      <c r="A491" s="22">
        <f t="shared" si="55"/>
        <v>487</v>
      </c>
      <c r="B491" s="22">
        <f t="shared" si="90"/>
        <v>3519.9943560623278</v>
      </c>
      <c r="C491" s="25">
        <f t="shared" si="47"/>
        <v>3419.0177942985642</v>
      </c>
      <c r="D491" s="25">
        <f t="shared" si="56"/>
        <v>1706799.9868989477</v>
      </c>
      <c r="E491" s="25">
        <f>$C491/((1+'How much will I make'!$C$5/12)^(Calculations!$B$1*12-Calculations!$A491))</f>
        <v>3519.9943560623278</v>
      </c>
      <c r="F491" s="25">
        <f t="shared" si="57"/>
        <v>749438.60594739404</v>
      </c>
      <c r="G491" s="25">
        <f t="shared" si="48"/>
        <v>3321.338175118959</v>
      </c>
      <c r="H491" s="25">
        <f t="shared" si="58"/>
        <v>5381954.3586738398</v>
      </c>
      <c r="I491" s="25">
        <f>G491/((1+'How much will I make'!$C$5/12)^(Calculations!$B$1*12-Calculations!$A491))</f>
        <v>3419.4298872877316</v>
      </c>
      <c r="J491" s="25">
        <f t="shared" si="59"/>
        <v>1699830.0500924152</v>
      </c>
      <c r="K491" s="25">
        <f t="shared" si="49"/>
        <v>3226.8348888237574</v>
      </c>
      <c r="L491" s="25">
        <f t="shared" si="60"/>
        <v>22181891.934346303</v>
      </c>
      <c r="M491" s="25">
        <f>K491/((1+'How much will I make'!$C$5/12)^(Calculations!$B$1*12-Calculations!$A491))</f>
        <v>3322.1355605535537</v>
      </c>
      <c r="N491" s="25">
        <f t="shared" si="61"/>
        <v>5324306.3388551157</v>
      </c>
      <c r="O491" s="25">
        <f t="shared" si="50"/>
        <v>3135.3922082477375</v>
      </c>
      <c r="P491" s="25">
        <f t="shared" si="62"/>
        <v>108184739.89683464</v>
      </c>
      <c r="Q491" s="25">
        <f>O491/((1+'How much will I make'!$C$5/12)^(Calculations!$B$1*12-Calculations!$A491))</f>
        <v>3227.9922308324999</v>
      </c>
      <c r="R491" s="25">
        <f t="shared" si="63"/>
        <v>21767544.172731906</v>
      </c>
      <c r="S491" s="25">
        <f t="shared" si="51"/>
        <v>3046.8990722177778</v>
      </c>
      <c r="T491" s="25">
        <f t="shared" si="64"/>
        <v>580207175.66621959</v>
      </c>
      <c r="U491" s="25">
        <f>S491/((1+'How much will I make'!$C$5/12)^(Calculations!$B$1*12-Calculations!$A491))</f>
        <v>3136.885556893817</v>
      </c>
      <c r="V491" s="25">
        <f t="shared" si="65"/>
        <v>105279009.94457807</v>
      </c>
      <c r="W491" s="25">
        <f t="shared" si="52"/>
        <v>2961.2488794450828</v>
      </c>
      <c r="X491" s="25">
        <f t="shared" si="66"/>
        <v>3284636949.2501159</v>
      </c>
      <c r="Y491" s="25">
        <f>W491/((1+'How much will I make'!$C$5/12)^(Calculations!$B$1*12-Calculations!$A491))</f>
        <v>3048.7057891083764</v>
      </c>
      <c r="Z491" s="25">
        <f t="shared" si="67"/>
        <v>559974148.48667932</v>
      </c>
      <c r="AA491" s="25">
        <f t="shared" si="53"/>
        <v>2878.3392923095485</v>
      </c>
      <c r="AB491" s="25">
        <f t="shared" si="68"/>
        <v>19204973011.105907</v>
      </c>
      <c r="AC491" s="25">
        <f>AA491/((1+'How much will I make'!$C$5/12)^(Calculations!$B$1*12-Calculations!$A491))</f>
        <v>2963.3475674380466</v>
      </c>
      <c r="AD491" s="25">
        <f t="shared" si="69"/>
        <v>3144447113.6127582</v>
      </c>
      <c r="AE491" s="25">
        <f t="shared" si="54"/>
        <v>2798.0720500239295</v>
      </c>
      <c r="AF491" s="25">
        <f t="shared" si="70"/>
        <v>114564950976.00894</v>
      </c>
      <c r="AG491" s="25">
        <f>AE491/((1+'How much will I make'!$C$5/12)^(Calculations!$B$1*12-Calculations!$A491))</f>
        <v>2880.7097290818906</v>
      </c>
      <c r="AH491" s="25">
        <f t="shared" si="71"/>
        <v>18238772689.604794</v>
      </c>
    </row>
    <row r="492" spans="1:34" ht="15.75" customHeight="1">
      <c r="A492" s="22">
        <f t="shared" si="55"/>
        <v>488</v>
      </c>
      <c r="B492" s="22">
        <f t="shared" si="90"/>
        <v>3519.9943560623278</v>
      </c>
      <c r="C492" s="25">
        <f t="shared" si="47"/>
        <v>3404.8309984715997</v>
      </c>
      <c r="D492" s="25">
        <f t="shared" si="56"/>
        <v>1710204.8178974194</v>
      </c>
      <c r="E492" s="25">
        <f>$C492/((1+'How much will I make'!$C$5/12)^(Calculations!$B$1*12-Calculations!$A492))</f>
        <v>3519.9943560623278</v>
      </c>
      <c r="F492" s="25">
        <f t="shared" si="57"/>
        <v>752958.60030345642</v>
      </c>
      <c r="G492" s="25">
        <f t="shared" si="48"/>
        <v>3293.8890992915294</v>
      </c>
      <c r="H492" s="25">
        <f t="shared" si="58"/>
        <v>5385248.2477731314</v>
      </c>
      <c r="I492" s="25">
        <f>G492/((1+'How much will I make'!$C$5/12)^(Calculations!$B$1*12-Calculations!$A492))</f>
        <v>3405.300011720426</v>
      </c>
      <c r="J492" s="25">
        <f t="shared" si="59"/>
        <v>1703235.3501041357</v>
      </c>
      <c r="K492" s="25">
        <f t="shared" si="49"/>
        <v>3186.9974210605005</v>
      </c>
      <c r="L492" s="25">
        <f t="shared" si="60"/>
        <v>22185078.931767363</v>
      </c>
      <c r="M492" s="25">
        <f>K492/((1+'How much will I make'!$C$5/12)^(Calculations!$B$1*12-Calculations!$A492))</f>
        <v>3294.7928810428239</v>
      </c>
      <c r="N492" s="25">
        <f t="shared" si="61"/>
        <v>5327601.1317361584</v>
      </c>
      <c r="O492" s="25">
        <f t="shared" si="50"/>
        <v>3083.9923359813811</v>
      </c>
      <c r="P492" s="25">
        <f t="shared" si="62"/>
        <v>108187823.88917062</v>
      </c>
      <c r="Q492" s="25">
        <f>O492/((1+'How much will I make'!$C$5/12)^(Calculations!$B$1*12-Calculations!$A492))</f>
        <v>3188.3038017648864</v>
      </c>
      <c r="R492" s="25">
        <f t="shared" si="63"/>
        <v>21770732.47653367</v>
      </c>
      <c r="S492" s="25">
        <f t="shared" si="51"/>
        <v>2984.717458499048</v>
      </c>
      <c r="T492" s="25">
        <f t="shared" si="64"/>
        <v>580210160.38367808</v>
      </c>
      <c r="U492" s="25">
        <f>S492/((1+'How much will I make'!$C$5/12)^(Calculations!$B$1*12-Calculations!$A492))</f>
        <v>3085.6710988220811</v>
      </c>
      <c r="V492" s="25">
        <f t="shared" si="65"/>
        <v>105282095.61567689</v>
      </c>
      <c r="W492" s="25">
        <f t="shared" si="52"/>
        <v>2889.023297019593</v>
      </c>
      <c r="X492" s="25">
        <f t="shared" si="66"/>
        <v>3284639838.2734127</v>
      </c>
      <c r="Y492" s="25">
        <f>W492/((1+'How much will I make'!$C$5/12)^(Calculations!$B$1*12-Calculations!$A492))</f>
        <v>2986.7402242890998</v>
      </c>
      <c r="Z492" s="25">
        <f t="shared" si="67"/>
        <v>559977135.22690356</v>
      </c>
      <c r="AA492" s="25">
        <f t="shared" si="53"/>
        <v>2796.7669237015862</v>
      </c>
      <c r="AB492" s="25">
        <f t="shared" si="68"/>
        <v>19204975807.872829</v>
      </c>
      <c r="AC492" s="25">
        <f>AA492/((1+'How much will I make'!$C$5/12)^(Calculations!$B$1*12-Calculations!$A492))</f>
        <v>2891.3634160023048</v>
      </c>
      <c r="AD492" s="25">
        <f t="shared" si="69"/>
        <v>3144450004.9761744</v>
      </c>
      <c r="AE492" s="25">
        <f t="shared" si="54"/>
        <v>2707.8116613134798</v>
      </c>
      <c r="AF492" s="25">
        <f t="shared" si="70"/>
        <v>114564953683.8206</v>
      </c>
      <c r="AG492" s="25">
        <f>AE492/((1+'How much will I make'!$C$5/12)^(Calculations!$B$1*12-Calculations!$A492))</f>
        <v>2799.3993738255458</v>
      </c>
      <c r="AH492" s="25">
        <f t="shared" si="71"/>
        <v>18238775489.004166</v>
      </c>
    </row>
    <row r="493" spans="1:34" ht="15.75" customHeight="1">
      <c r="A493" s="22">
        <f t="shared" si="55"/>
        <v>489</v>
      </c>
      <c r="B493" s="22">
        <f t="shared" si="90"/>
        <v>3519.9943560623278</v>
      </c>
      <c r="C493" s="25">
        <f t="shared" si="47"/>
        <v>3390.7030690173606</v>
      </c>
      <c r="D493" s="25">
        <f t="shared" si="56"/>
        <v>1713595.5209664367</v>
      </c>
      <c r="E493" s="25">
        <f>$C493/((1+'How much will I make'!$C$5/12)^(Calculations!$B$1*12-Calculations!$A493))</f>
        <v>3519.9943560623278</v>
      </c>
      <c r="F493" s="25">
        <f t="shared" si="57"/>
        <v>756478.5946595188</v>
      </c>
      <c r="G493" s="25">
        <f t="shared" si="48"/>
        <v>3266.666875330443</v>
      </c>
      <c r="H493" s="25">
        <f t="shared" si="58"/>
        <v>5388514.9146484621</v>
      </c>
      <c r="I493" s="25">
        <f>G493/((1+'How much will I make'!$C$5/12)^(Calculations!$B$1*12-Calculations!$A493))</f>
        <v>3391.2285240686897</v>
      </c>
      <c r="J493" s="25">
        <f t="shared" si="59"/>
        <v>1706626.5786282043</v>
      </c>
      <c r="K493" s="25">
        <f t="shared" si="49"/>
        <v>3147.6517738869143</v>
      </c>
      <c r="L493" s="25">
        <f t="shared" si="60"/>
        <v>22188226.583541252</v>
      </c>
      <c r="M493" s="25">
        <f>K493/((1+'How much will I make'!$C$5/12)^(Calculations!$B$1*12-Calculations!$A493))</f>
        <v>3267.6752441618132</v>
      </c>
      <c r="N493" s="25">
        <f t="shared" si="61"/>
        <v>5330868.8069803203</v>
      </c>
      <c r="O493" s="25">
        <f t="shared" si="50"/>
        <v>3033.4350845718504</v>
      </c>
      <c r="P493" s="25">
        <f t="shared" si="62"/>
        <v>108190857.32425518</v>
      </c>
      <c r="Q493" s="25">
        <f>O493/((1+'How much will I make'!$C$5/12)^(Calculations!$B$1*12-Calculations!$A493))</f>
        <v>3149.1033451858102</v>
      </c>
      <c r="R493" s="25">
        <f t="shared" si="63"/>
        <v>21773881.579878855</v>
      </c>
      <c r="S493" s="25">
        <f t="shared" si="51"/>
        <v>2923.8048573051901</v>
      </c>
      <c r="T493" s="25">
        <f t="shared" si="64"/>
        <v>580213084.18853533</v>
      </c>
      <c r="U493" s="25">
        <f>S493/((1+'How much will I make'!$C$5/12)^(Calculations!$B$1*12-Calculations!$A493))</f>
        <v>3035.2927951678435</v>
      </c>
      <c r="V493" s="25">
        <f t="shared" si="65"/>
        <v>105285130.90847206</v>
      </c>
      <c r="W493" s="25">
        <f t="shared" si="52"/>
        <v>2818.5593141654572</v>
      </c>
      <c r="X493" s="25">
        <f t="shared" si="66"/>
        <v>3284642656.832727</v>
      </c>
      <c r="Y493" s="25">
        <f>W493/((1+'How much will I make'!$C$5/12)^(Calculations!$B$1*12-Calculations!$A493))</f>
        <v>2926.0341221694034</v>
      </c>
      <c r="Z493" s="25">
        <f t="shared" si="67"/>
        <v>559980061.26102579</v>
      </c>
      <c r="AA493" s="25">
        <f t="shared" si="53"/>
        <v>2717.5063226250231</v>
      </c>
      <c r="AB493" s="25">
        <f t="shared" si="68"/>
        <v>19204978525.37915</v>
      </c>
      <c r="AC493" s="25">
        <f>AA493/((1+'How much will I make'!$C$5/12)^(Calculations!$B$1*12-Calculations!$A493))</f>
        <v>2821.1278674354476</v>
      </c>
      <c r="AD493" s="25">
        <f t="shared" si="69"/>
        <v>3144452826.1040416</v>
      </c>
      <c r="AE493" s="25">
        <f t="shared" si="54"/>
        <v>2620.4628980453026</v>
      </c>
      <c r="AF493" s="25">
        <f t="shared" si="70"/>
        <v>114564956304.28349</v>
      </c>
      <c r="AG493" s="25">
        <f>AE493/((1+'How much will I make'!$C$5/12)^(Calculations!$B$1*12-Calculations!$A493))</f>
        <v>2720.3840689191793</v>
      </c>
      <c r="AH493" s="25">
        <f t="shared" si="71"/>
        <v>18238778209.388233</v>
      </c>
    </row>
    <row r="494" spans="1:34" ht="15.75" customHeight="1">
      <c r="A494" s="22">
        <f t="shared" si="55"/>
        <v>490</v>
      </c>
      <c r="B494" s="22">
        <f t="shared" si="90"/>
        <v>3519.9943560623278</v>
      </c>
      <c r="C494" s="25">
        <f t="shared" si="47"/>
        <v>3376.6337616770393</v>
      </c>
      <c r="D494" s="25">
        <f t="shared" si="56"/>
        <v>1716972.1547281137</v>
      </c>
      <c r="E494" s="25">
        <f>$C494/((1+'How much will I make'!$C$5/12)^(Calculations!$B$1*12-Calculations!$A494))</f>
        <v>3519.9943560623278</v>
      </c>
      <c r="F494" s="25">
        <f t="shared" si="57"/>
        <v>759998.58901558118</v>
      </c>
      <c r="G494" s="25">
        <f t="shared" si="48"/>
        <v>3239.6696284268855</v>
      </c>
      <c r="H494" s="25">
        <f t="shared" si="58"/>
        <v>5391754.5842768885</v>
      </c>
      <c r="I494" s="25">
        <f>G494/((1+'How much will I make'!$C$5/12)^(Calculations!$B$1*12-Calculations!$A494))</f>
        <v>3377.2151830601415</v>
      </c>
      <c r="J494" s="25">
        <f t="shared" si="59"/>
        <v>1710003.7938112644</v>
      </c>
      <c r="K494" s="25">
        <f t="shared" si="49"/>
        <v>3108.7918754438656</v>
      </c>
      <c r="L494" s="25">
        <f t="shared" si="60"/>
        <v>22191335.375416696</v>
      </c>
      <c r="M494" s="25">
        <f>K494/((1+'How much will I make'!$C$5/12)^(Calculations!$B$1*12-Calculations!$A494))</f>
        <v>3240.7807977078064</v>
      </c>
      <c r="N494" s="25">
        <f t="shared" si="61"/>
        <v>5334109.5877780281</v>
      </c>
      <c r="O494" s="25">
        <f t="shared" si="50"/>
        <v>2983.7066405624764</v>
      </c>
      <c r="P494" s="25">
        <f t="shared" si="62"/>
        <v>108193841.03089574</v>
      </c>
      <c r="Q494" s="25">
        <f>O494/((1+'How much will I make'!$C$5/12)^(Calculations!$B$1*12-Calculations!$A494))</f>
        <v>3110.384861433527</v>
      </c>
      <c r="R494" s="25">
        <f t="shared" si="63"/>
        <v>21776991.964740288</v>
      </c>
      <c r="S494" s="25">
        <f t="shared" si="51"/>
        <v>2864.1353704214107</v>
      </c>
      <c r="T494" s="25">
        <f t="shared" si="64"/>
        <v>580215948.32390571</v>
      </c>
      <c r="U494" s="25">
        <f>S494/((1+'How much will I make'!$C$5/12)^(Calculations!$B$1*12-Calculations!$A494))</f>
        <v>2985.7369944304096</v>
      </c>
      <c r="V494" s="25">
        <f t="shared" si="65"/>
        <v>105288116.64546649</v>
      </c>
      <c r="W494" s="25">
        <f t="shared" si="52"/>
        <v>2749.8139650394705</v>
      </c>
      <c r="X494" s="25">
        <f t="shared" si="66"/>
        <v>3284645406.6466918</v>
      </c>
      <c r="Y494" s="25">
        <f>W494/((1+'How much will I make'!$C$5/12)^(Calculations!$B$1*12-Calculations!$A494))</f>
        <v>2866.5618839139283</v>
      </c>
      <c r="Z494" s="25">
        <f t="shared" si="67"/>
        <v>559982927.82290971</v>
      </c>
      <c r="AA494" s="25">
        <f t="shared" si="53"/>
        <v>2640.4919734008326</v>
      </c>
      <c r="AB494" s="25">
        <f t="shared" si="68"/>
        <v>19204981165.871124</v>
      </c>
      <c r="AC494" s="25">
        <f>AA494/((1+'How much will I make'!$C$5/12)^(Calculations!$B$1*12-Calculations!$A494))</f>
        <v>2752.5984455544253</v>
      </c>
      <c r="AD494" s="25">
        <f t="shared" si="69"/>
        <v>3144455578.702487</v>
      </c>
      <c r="AE494" s="25">
        <f t="shared" si="54"/>
        <v>2535.9318368180348</v>
      </c>
      <c r="AF494" s="25">
        <f t="shared" si="70"/>
        <v>114564958840.21533</v>
      </c>
      <c r="AG494" s="25">
        <f>AE494/((1+'How much will I make'!$C$5/12)^(Calculations!$B$1*12-Calculations!$A494))</f>
        <v>2643.5990347158158</v>
      </c>
      <c r="AH494" s="25">
        <f t="shared" si="71"/>
        <v>18238780852.987267</v>
      </c>
    </row>
    <row r="495" spans="1:34" ht="15.75" customHeight="1">
      <c r="A495" s="22">
        <f t="shared" si="55"/>
        <v>491</v>
      </c>
      <c r="B495" s="22">
        <f t="shared" si="90"/>
        <v>3519.9943560623278</v>
      </c>
      <c r="C495" s="25">
        <f t="shared" si="47"/>
        <v>3362.6228332053506</v>
      </c>
      <c r="D495" s="25">
        <f t="shared" si="56"/>
        <v>1720334.7775613191</v>
      </c>
      <c r="E495" s="25">
        <f>$C495/((1+'How much will I make'!$C$5/12)^(Calculations!$B$1*12-Calculations!$A495))</f>
        <v>3519.9943560623278</v>
      </c>
      <c r="F495" s="25">
        <f t="shared" si="57"/>
        <v>763518.58337164356</v>
      </c>
      <c r="G495" s="25">
        <f t="shared" si="48"/>
        <v>3212.895499266333</v>
      </c>
      <c r="H495" s="25">
        <f t="shared" si="58"/>
        <v>5394967.4797761552</v>
      </c>
      <c r="I495" s="25">
        <f>G495/((1+'How much will I make'!$C$5/12)^(Calculations!$B$1*12-Calculations!$A495))</f>
        <v>3363.2597484193971</v>
      </c>
      <c r="J495" s="25">
        <f t="shared" si="59"/>
        <v>1713367.0535596837</v>
      </c>
      <c r="K495" s="25">
        <f t="shared" si="49"/>
        <v>3070.4117288334483</v>
      </c>
      <c r="L495" s="25">
        <f t="shared" si="60"/>
        <v>22194405.787145529</v>
      </c>
      <c r="M495" s="25">
        <f>K495/((1+'How much will I make'!$C$5/12)^(Calculations!$B$1*12-Calculations!$A495))</f>
        <v>3214.1077047225576</v>
      </c>
      <c r="N495" s="25">
        <f t="shared" si="61"/>
        <v>5337323.6954827504</v>
      </c>
      <c r="O495" s="25">
        <f t="shared" si="50"/>
        <v>2934.7934169466985</v>
      </c>
      <c r="P495" s="25">
        <f t="shared" si="62"/>
        <v>108196775.82431269</v>
      </c>
      <c r="Q495" s="25">
        <f>O495/((1+'How much will I make'!$C$5/12)^(Calculations!$B$1*12-Calculations!$A495))</f>
        <v>3072.142424612623</v>
      </c>
      <c r="R495" s="25">
        <f t="shared" si="63"/>
        <v>21780064.107164901</v>
      </c>
      <c r="S495" s="25">
        <f t="shared" si="51"/>
        <v>2805.6836281679139</v>
      </c>
      <c r="T495" s="25">
        <f t="shared" si="64"/>
        <v>580218754.00753391</v>
      </c>
      <c r="U495" s="25">
        <f>S495/((1+'How much will I make'!$C$5/12)^(Calculations!$B$1*12-Calculations!$A495))</f>
        <v>2936.9902679907304</v>
      </c>
      <c r="V495" s="25">
        <f t="shared" si="65"/>
        <v>105291053.63573448</v>
      </c>
      <c r="W495" s="25">
        <f t="shared" si="52"/>
        <v>2682.7453317458248</v>
      </c>
      <c r="X495" s="25">
        <f t="shared" si="66"/>
        <v>3284648089.3920236</v>
      </c>
      <c r="Y495" s="25">
        <f>W495/((1+'How much will I make'!$C$5/12)^(Calculations!$B$1*12-Calculations!$A495))</f>
        <v>2808.2984309888479</v>
      </c>
      <c r="Z495" s="25">
        <f t="shared" si="67"/>
        <v>559985736.12134075</v>
      </c>
      <c r="AA495" s="25">
        <f t="shared" si="53"/>
        <v>2565.6602170696351</v>
      </c>
      <c r="AB495" s="25">
        <f t="shared" si="68"/>
        <v>19204983731.531342</v>
      </c>
      <c r="AC495" s="25">
        <f>AA495/((1+'How much will I make'!$C$5/12)^(Calculations!$B$1*12-Calculations!$A495))</f>
        <v>2685.7337059863012</v>
      </c>
      <c r="AD495" s="25">
        <f t="shared" si="69"/>
        <v>3144458264.436193</v>
      </c>
      <c r="AE495" s="25">
        <f t="shared" si="54"/>
        <v>2454.127584017453</v>
      </c>
      <c r="AF495" s="25">
        <f t="shared" si="70"/>
        <v>114564961294.34291</v>
      </c>
      <c r="AG495" s="25">
        <f>AE495/((1+'How much will I make'!$C$5/12)^(Calculations!$B$1*12-Calculations!$A495))</f>
        <v>2568.9813200262561</v>
      </c>
      <c r="AH495" s="25">
        <f t="shared" si="71"/>
        <v>18238783421.968586</v>
      </c>
    </row>
    <row r="496" spans="1:34" ht="15.75" customHeight="1">
      <c r="A496" s="22">
        <f t="shared" si="55"/>
        <v>492</v>
      </c>
      <c r="B496" s="22">
        <f t="shared" si="90"/>
        <v>3519.9943560623278</v>
      </c>
      <c r="C496" s="25">
        <f t="shared" si="47"/>
        <v>3348.6700413663239</v>
      </c>
      <c r="D496" s="25">
        <f t="shared" si="56"/>
        <v>1723683.4476026853</v>
      </c>
      <c r="E496" s="25">
        <f>$C496/((1+'How much will I make'!$C$5/12)^(Calculations!$B$1*12-Calculations!$A496))</f>
        <v>3519.9943560623278</v>
      </c>
      <c r="F496" s="25">
        <f t="shared" si="57"/>
        <v>767038.57772770594</v>
      </c>
      <c r="G496" s="25">
        <f t="shared" si="48"/>
        <v>3186.3426439004952</v>
      </c>
      <c r="H496" s="25">
        <f t="shared" si="58"/>
        <v>5398153.822420056</v>
      </c>
      <c r="I496" s="25">
        <f>G496/((1+'How much will I make'!$C$5/12)^(Calculations!$B$1*12-Calculations!$A496))</f>
        <v>3349.3619808639446</v>
      </c>
      <c r="J496" s="25">
        <f t="shared" si="59"/>
        <v>1716716.4155405476</v>
      </c>
      <c r="K496" s="25">
        <f t="shared" si="49"/>
        <v>3032.5054111935287</v>
      </c>
      <c r="L496" s="25">
        <f t="shared" si="60"/>
        <v>22197438.292556722</v>
      </c>
      <c r="M496" s="25">
        <f>K496/((1+'How much will I make'!$C$5/12)^(Calculations!$B$1*12-Calculations!$A496))</f>
        <v>3187.6541433668158</v>
      </c>
      <c r="N496" s="25">
        <f t="shared" si="61"/>
        <v>5340511.3496261174</v>
      </c>
      <c r="O496" s="25">
        <f t="shared" si="50"/>
        <v>2886.6820494557687</v>
      </c>
      <c r="P496" s="25">
        <f t="shared" si="62"/>
        <v>108199662.50636214</v>
      </c>
      <c r="Q496" s="25">
        <f>O496/((1+'How much will I make'!$C$5/12)^(Calculations!$B$1*12-Calculations!$A496))</f>
        <v>3034.3701816870575</v>
      </c>
      <c r="R496" s="25">
        <f t="shared" si="63"/>
        <v>21783098.477346588</v>
      </c>
      <c r="S496" s="25">
        <f t="shared" si="51"/>
        <v>2748.4247786134665</v>
      </c>
      <c r="T496" s="25">
        <f t="shared" si="64"/>
        <v>580221502.43231249</v>
      </c>
      <c r="U496" s="25">
        <f>S496/((1+'How much will I make'!$C$5/12)^(Calculations!$B$1*12-Calculations!$A496))</f>
        <v>2889.0394064725142</v>
      </c>
      <c r="V496" s="25">
        <f t="shared" si="65"/>
        <v>105293942.67514096</v>
      </c>
      <c r="W496" s="25">
        <f t="shared" si="52"/>
        <v>2617.3125187764149</v>
      </c>
      <c r="X496" s="25">
        <f t="shared" si="66"/>
        <v>3284650706.7045422</v>
      </c>
      <c r="Y496" s="25">
        <f>W496/((1+'How much will I make'!$C$5/12)^(Calculations!$B$1*12-Calculations!$A496))</f>
        <v>2751.2191945866361</v>
      </c>
      <c r="Z496" s="25">
        <f t="shared" si="67"/>
        <v>559988487.34053528</v>
      </c>
      <c r="AA496" s="25">
        <f t="shared" si="53"/>
        <v>2492.9491987721158</v>
      </c>
      <c r="AB496" s="25">
        <f t="shared" si="68"/>
        <v>19204986224.480541</v>
      </c>
      <c r="AC496" s="25">
        <f>AA496/((1+'How much will I make'!$C$5/12)^(Calculations!$B$1*12-Calculations!$A496))</f>
        <v>2620.4932111040439</v>
      </c>
      <c r="AD496" s="25">
        <f t="shared" si="69"/>
        <v>3144460884.9294043</v>
      </c>
      <c r="AE496" s="25">
        <f t="shared" si="54"/>
        <v>2374.9621780814055</v>
      </c>
      <c r="AF496" s="25">
        <f t="shared" si="70"/>
        <v>114564963669.30508</v>
      </c>
      <c r="AG496" s="25">
        <f>AE496/((1+'How much will I make'!$C$5/12)^(Calculations!$B$1*12-Calculations!$A496))</f>
        <v>2496.4697505093854</v>
      </c>
      <c r="AH496" s="25">
        <f t="shared" si="71"/>
        <v>18238785918.438335</v>
      </c>
    </row>
    <row r="497" spans="1:34" ht="15.75" customHeight="1">
      <c r="A497" s="22">
        <f t="shared" si="55"/>
        <v>493</v>
      </c>
      <c r="B497" s="22">
        <f>B496*(1+'How much will I make'!$C$4)</f>
        <v>3695.9940738654445</v>
      </c>
      <c r="C497" s="25">
        <f t="shared" si="47"/>
        <v>3501.5139021755763</v>
      </c>
      <c r="D497" s="25">
        <f t="shared" si="56"/>
        <v>1727184.9615048608</v>
      </c>
      <c r="E497" s="25">
        <f>$C497/((1+'How much will I make'!$C$5/12)^(Calculations!$B$1*12-Calculations!$A497))</f>
        <v>3695.9940738654445</v>
      </c>
      <c r="F497" s="25">
        <f t="shared" si="57"/>
        <v>770734.57180157141</v>
      </c>
      <c r="G497" s="25">
        <f t="shared" si="48"/>
        <v>3318.0096953013431</v>
      </c>
      <c r="H497" s="25">
        <f t="shared" si="58"/>
        <v>5401471.8321153577</v>
      </c>
      <c r="I497" s="25">
        <f>G497/((1+'How much will I make'!$C$5/12)^(Calculations!$B$1*12-Calculations!$A497))</f>
        <v>3502.297724205047</v>
      </c>
      <c r="J497" s="25">
        <f t="shared" si="59"/>
        <v>1720218.7132647526</v>
      </c>
      <c r="K497" s="25">
        <f t="shared" si="49"/>
        <v>3144.8204264229198</v>
      </c>
      <c r="L497" s="25">
        <f t="shared" si="60"/>
        <v>22200583.112983145</v>
      </c>
      <c r="M497" s="25">
        <f>K497/((1+'How much will I make'!$C$5/12)^(Calculations!$B$1*12-Calculations!$A497))</f>
        <v>3319.4892221356913</v>
      </c>
      <c r="N497" s="25">
        <f t="shared" si="61"/>
        <v>5343830.8388482528</v>
      </c>
      <c r="O497" s="25">
        <f t="shared" si="50"/>
        <v>2981.327362552679</v>
      </c>
      <c r="P497" s="25">
        <f t="shared" si="62"/>
        <v>108202643.83372469</v>
      </c>
      <c r="Q497" s="25">
        <f>O497/((1+'How much will I make'!$C$5/12)^(Calculations!$B$1*12-Calculations!$A497))</f>
        <v>3146.9154691635645</v>
      </c>
      <c r="R497" s="25">
        <f t="shared" si="63"/>
        <v>21786245.39281575</v>
      </c>
      <c r="S497" s="25">
        <f t="shared" si="51"/>
        <v>2826.9512008595652</v>
      </c>
      <c r="T497" s="25">
        <f t="shared" si="64"/>
        <v>580224329.38351333</v>
      </c>
      <c r="U497" s="25">
        <f>S497/((1+'How much will I make'!$C$5/12)^(Calculations!$B$1*12-Calculations!$A497))</f>
        <v>2983.9649869708965</v>
      </c>
      <c r="V497" s="25">
        <f t="shared" si="65"/>
        <v>105296926.64012793</v>
      </c>
      <c r="W497" s="25">
        <f t="shared" si="52"/>
        <v>2681.1494094782788</v>
      </c>
      <c r="X497" s="25">
        <f t="shared" si="66"/>
        <v>3284653387.8539515</v>
      </c>
      <c r="Y497" s="25">
        <f>W497/((1+'How much will I make'!$C$5/12)^(Calculations!$B$1*12-Calculations!$A497))</f>
        <v>2830.0651105290581</v>
      </c>
      <c r="Z497" s="25">
        <f t="shared" si="67"/>
        <v>559991317.40564585</v>
      </c>
      <c r="AA497" s="25">
        <f t="shared" si="53"/>
        <v>2543.413757451714</v>
      </c>
      <c r="AB497" s="25">
        <f t="shared" si="68"/>
        <v>19204988767.894299</v>
      </c>
      <c r="AC497" s="25">
        <f>AA497/((1+'How much will I make'!$C$5/12)^(Calculations!$B$1*12-Calculations!$A497))</f>
        <v>2684.67938084971</v>
      </c>
      <c r="AD497" s="25">
        <f t="shared" si="69"/>
        <v>3144463569.6087852</v>
      </c>
      <c r="AE497" s="25">
        <f t="shared" si="54"/>
        <v>2413.2680196633637</v>
      </c>
      <c r="AF497" s="25">
        <f t="shared" si="70"/>
        <v>114564966082.5731</v>
      </c>
      <c r="AG497" s="25">
        <f>AE497/((1+'How much will I make'!$C$5/12)^(Calculations!$B$1*12-Calculations!$A497))</f>
        <v>2547.305122445161</v>
      </c>
      <c r="AH497" s="25">
        <f t="shared" si="71"/>
        <v>18238788465.743458</v>
      </c>
    </row>
    <row r="498" spans="1:34" ht="15.75" customHeight="1">
      <c r="A498" s="22">
        <f t="shared" si="55"/>
        <v>494</v>
      </c>
      <c r="B498" s="22">
        <f t="shared" ref="B498:B508" si="91">B497</f>
        <v>3695.9940738654445</v>
      </c>
      <c r="C498" s="25">
        <f t="shared" si="47"/>
        <v>3486.9847988470465</v>
      </c>
      <c r="D498" s="25">
        <f t="shared" si="56"/>
        <v>1730671.9463037078</v>
      </c>
      <c r="E498" s="25">
        <f>$C498/((1+'How much will I make'!$C$5/12)^(Calculations!$B$1*12-Calculations!$A498))</f>
        <v>3695.9940738654445</v>
      </c>
      <c r="F498" s="25">
        <f t="shared" si="57"/>
        <v>774430.56587543688</v>
      </c>
      <c r="G498" s="25">
        <f t="shared" si="48"/>
        <v>3290.5881275715801</v>
      </c>
      <c r="H498" s="25">
        <f t="shared" si="58"/>
        <v>5404762.4202429289</v>
      </c>
      <c r="I498" s="25">
        <f>G498/((1+'How much will I make'!$C$5/12)^(Calculations!$B$1*12-Calculations!$A498))</f>
        <v>3487.8254195595719</v>
      </c>
      <c r="J498" s="25">
        <f t="shared" si="59"/>
        <v>1723706.5386843123</v>
      </c>
      <c r="K498" s="25">
        <f t="shared" si="49"/>
        <v>3105.9954828868335</v>
      </c>
      <c r="L498" s="25">
        <f t="shared" si="60"/>
        <v>22203689.108466033</v>
      </c>
      <c r="M498" s="25">
        <f>K498/((1+'How much will I make'!$C$5/12)^(Calculations!$B$1*12-Calculations!$A498))</f>
        <v>3292.1683231880716</v>
      </c>
      <c r="N498" s="25">
        <f t="shared" si="61"/>
        <v>5347123.0071714409</v>
      </c>
      <c r="O498" s="25">
        <f t="shared" si="50"/>
        <v>2932.4531434944383</v>
      </c>
      <c r="P498" s="25">
        <f t="shared" si="62"/>
        <v>108205576.28686818</v>
      </c>
      <c r="Q498" s="25">
        <f>O498/((1+'How much will I make'!$C$5/12)^(Calculations!$B$1*12-Calculations!$A498))</f>
        <v>3108.2238855263076</v>
      </c>
      <c r="R498" s="25">
        <f t="shared" si="63"/>
        <v>21789353.616701275</v>
      </c>
      <c r="S498" s="25">
        <f t="shared" si="51"/>
        <v>2769.2583192093712</v>
      </c>
      <c r="T498" s="25">
        <f t="shared" si="64"/>
        <v>580227098.64183259</v>
      </c>
      <c r="U498" s="25">
        <f>S498/((1+'How much will I make'!$C$5/12)^(Calculations!$B$1*12-Calculations!$A498))</f>
        <v>2935.2471912652504</v>
      </c>
      <c r="V498" s="25">
        <f t="shared" si="65"/>
        <v>105299861.88731919</v>
      </c>
      <c r="W498" s="25">
        <f t="shared" si="52"/>
        <v>2615.7555214422237</v>
      </c>
      <c r="X498" s="25">
        <f t="shared" si="66"/>
        <v>3284656003.6094728</v>
      </c>
      <c r="Y498" s="25">
        <f>W498/((1+'How much will I make'!$C$5/12)^(Calculations!$B$1*12-Calculations!$A498))</f>
        <v>2772.5434619410694</v>
      </c>
      <c r="Z498" s="25">
        <f t="shared" si="67"/>
        <v>559994089.94910777</v>
      </c>
      <c r="AA498" s="25">
        <f t="shared" si="53"/>
        <v>2471.3332056210984</v>
      </c>
      <c r="AB498" s="25">
        <f t="shared" si="68"/>
        <v>19204991239.227505</v>
      </c>
      <c r="AC498" s="25">
        <f>AA498/((1+'How much will I make'!$C$5/12)^(Calculations!$B$1*12-Calculations!$A498))</f>
        <v>2619.4644971043731</v>
      </c>
      <c r="AD498" s="25">
        <f t="shared" si="69"/>
        <v>3144466189.0732822</v>
      </c>
      <c r="AE498" s="25">
        <f t="shared" si="54"/>
        <v>2335.420664190352</v>
      </c>
      <c r="AF498" s="25">
        <f t="shared" si="70"/>
        <v>114564968417.99377</v>
      </c>
      <c r="AG498" s="25">
        <f>AE498/((1+'How much will I make'!$C$5/12)^(Calculations!$B$1*12-Calculations!$A498))</f>
        <v>2475.4053810858218</v>
      </c>
      <c r="AH498" s="25">
        <f t="shared" si="71"/>
        <v>18238790941.148838</v>
      </c>
    </row>
    <row r="499" spans="1:34" ht="15.75" customHeight="1">
      <c r="A499" s="22">
        <f t="shared" si="55"/>
        <v>495</v>
      </c>
      <c r="B499" s="22">
        <f t="shared" si="91"/>
        <v>3695.9940738654445</v>
      </c>
      <c r="C499" s="25">
        <f t="shared" si="47"/>
        <v>3472.5159822543192</v>
      </c>
      <c r="D499" s="25">
        <f t="shared" si="56"/>
        <v>1734144.4622859622</v>
      </c>
      <c r="E499" s="25">
        <f>$C499/((1+'How much will I make'!$C$5/12)^(Calculations!$B$1*12-Calculations!$A499))</f>
        <v>3695.9940738654445</v>
      </c>
      <c r="F499" s="25">
        <f t="shared" si="57"/>
        <v>778126.55994930235</v>
      </c>
      <c r="G499" s="25">
        <f t="shared" si="48"/>
        <v>3263.3931843685091</v>
      </c>
      <c r="H499" s="25">
        <f t="shared" si="58"/>
        <v>5408025.8134272974</v>
      </c>
      <c r="I499" s="25">
        <f>G499/((1+'How much will I make'!$C$5/12)^(Calculations!$B$1*12-Calculations!$A499))</f>
        <v>3473.4129178258554</v>
      </c>
      <c r="J499" s="25">
        <f t="shared" si="59"/>
        <v>1727179.9516021381</v>
      </c>
      <c r="K499" s="25">
        <f t="shared" si="49"/>
        <v>3067.649859641318</v>
      </c>
      <c r="L499" s="25">
        <f t="shared" si="60"/>
        <v>22206756.758325674</v>
      </c>
      <c r="M499" s="25">
        <f>K499/((1+'How much will I make'!$C$5/12)^(Calculations!$B$1*12-Calculations!$A499))</f>
        <v>3265.0722876062787</v>
      </c>
      <c r="N499" s="25">
        <f t="shared" si="61"/>
        <v>5350388.0794590469</v>
      </c>
      <c r="O499" s="25">
        <f t="shared" si="50"/>
        <v>2884.3801411420714</v>
      </c>
      <c r="P499" s="25">
        <f t="shared" si="62"/>
        <v>108208460.66700932</v>
      </c>
      <c r="Q499" s="25">
        <f>O499/((1+'How much will I make'!$C$5/12)^(Calculations!$B$1*12-Calculations!$A499))</f>
        <v>3070.0080180813143</v>
      </c>
      <c r="R499" s="25">
        <f t="shared" si="63"/>
        <v>21792423.624719355</v>
      </c>
      <c r="S499" s="25">
        <f t="shared" si="51"/>
        <v>2712.7428433071395</v>
      </c>
      <c r="T499" s="25">
        <f t="shared" si="64"/>
        <v>580229811.38467586</v>
      </c>
      <c r="U499" s="25">
        <f>S499/((1+'How much will I make'!$C$5/12)^(Calculations!$B$1*12-Calculations!$A499))</f>
        <v>2887.3247881425536</v>
      </c>
      <c r="V499" s="25">
        <f t="shared" si="65"/>
        <v>105302749.21210733</v>
      </c>
      <c r="W499" s="25">
        <f t="shared" si="52"/>
        <v>2551.9566062850959</v>
      </c>
      <c r="X499" s="25">
        <f t="shared" si="66"/>
        <v>3284658555.5660791</v>
      </c>
      <c r="Y499" s="25">
        <f>W499/((1+'How much will I make'!$C$5/12)^(Calculations!$B$1*12-Calculations!$A499))</f>
        <v>2716.1909525520236</v>
      </c>
      <c r="Z499" s="25">
        <f t="shared" si="67"/>
        <v>559996806.14006031</v>
      </c>
      <c r="AA499" s="25">
        <f t="shared" si="53"/>
        <v>2401.2954224658447</v>
      </c>
      <c r="AB499" s="25">
        <f t="shared" si="68"/>
        <v>19204993640.522926</v>
      </c>
      <c r="AC499" s="25">
        <f>AA499/((1+'How much will I make'!$C$5/12)^(Calculations!$B$1*12-Calculations!$A499))</f>
        <v>2555.8337805755227</v>
      </c>
      <c r="AD499" s="25">
        <f t="shared" si="69"/>
        <v>3144468744.907063</v>
      </c>
      <c r="AE499" s="25">
        <f t="shared" si="54"/>
        <v>2260.0845137325987</v>
      </c>
      <c r="AF499" s="25">
        <f t="shared" si="70"/>
        <v>114564970678.07829</v>
      </c>
      <c r="AG499" s="25">
        <f>AE499/((1+'How much will I make'!$C$5/12)^(Calculations!$B$1*12-Calculations!$A499))</f>
        <v>2405.5350679100134</v>
      </c>
      <c r="AH499" s="25">
        <f t="shared" si="71"/>
        <v>18238793346.683907</v>
      </c>
    </row>
    <row r="500" spans="1:34" ht="15.75" customHeight="1">
      <c r="A500" s="22">
        <f t="shared" si="55"/>
        <v>496</v>
      </c>
      <c r="B500" s="22">
        <f t="shared" si="91"/>
        <v>3695.9940738654445</v>
      </c>
      <c r="C500" s="25">
        <f t="shared" si="47"/>
        <v>3458.1072022449657</v>
      </c>
      <c r="D500" s="25">
        <f t="shared" si="56"/>
        <v>1737602.5694882071</v>
      </c>
      <c r="E500" s="25">
        <f>$C500/((1+'How much will I make'!$C$5/12)^(Calculations!$B$1*12-Calculations!$A500))</f>
        <v>3695.9940738654445</v>
      </c>
      <c r="F500" s="25">
        <f t="shared" si="57"/>
        <v>781822.55402316782</v>
      </c>
      <c r="G500" s="25">
        <f t="shared" si="48"/>
        <v>3236.4229927621577</v>
      </c>
      <c r="H500" s="25">
        <f t="shared" si="58"/>
        <v>5411262.2364200596</v>
      </c>
      <c r="I500" s="25">
        <f>G500/((1+'How much will I make'!$C$5/12)^(Calculations!$B$1*12-Calculations!$A500))</f>
        <v>3459.059971884426</v>
      </c>
      <c r="J500" s="25">
        <f t="shared" si="59"/>
        <v>1730639.0115740225</v>
      </c>
      <c r="K500" s="25">
        <f t="shared" si="49"/>
        <v>3029.7776391519183</v>
      </c>
      <c r="L500" s="25">
        <f t="shared" si="60"/>
        <v>22209786.535964824</v>
      </c>
      <c r="M500" s="25">
        <f>K500/((1+'How much will I make'!$C$5/12)^(Calculations!$B$1*12-Calculations!$A500))</f>
        <v>3238.199264663016</v>
      </c>
      <c r="N500" s="25">
        <f t="shared" si="61"/>
        <v>5353626.2787237102</v>
      </c>
      <c r="O500" s="25">
        <f t="shared" si="50"/>
        <v>2837.0952207954801</v>
      </c>
      <c r="P500" s="25">
        <f t="shared" si="62"/>
        <v>108211297.76223011</v>
      </c>
      <c r="Q500" s="25">
        <f>O500/((1+'How much will I make'!$C$5/12)^(Calculations!$B$1*12-Calculations!$A500))</f>
        <v>3032.2620178590028</v>
      </c>
      <c r="R500" s="25">
        <f t="shared" si="63"/>
        <v>21795455.886737213</v>
      </c>
      <c r="S500" s="25">
        <f t="shared" si="51"/>
        <v>2657.380744464137</v>
      </c>
      <c r="T500" s="25">
        <f t="shared" si="64"/>
        <v>580232468.76542032</v>
      </c>
      <c r="U500" s="25">
        <f>S500/((1+'How much will I make'!$C$5/12)^(Calculations!$B$1*12-Calculations!$A500))</f>
        <v>2840.1847916014508</v>
      </c>
      <c r="V500" s="25">
        <f t="shared" si="65"/>
        <v>105305589.39689893</v>
      </c>
      <c r="W500" s="25">
        <f t="shared" si="52"/>
        <v>2489.7137622293617</v>
      </c>
      <c r="X500" s="25">
        <f t="shared" si="66"/>
        <v>3284661045.2798414</v>
      </c>
      <c r="Y500" s="25">
        <f>W500/((1+'How much will I make'!$C$5/12)^(Calculations!$B$1*12-Calculations!$A500))</f>
        <v>2660.9838193700716</v>
      </c>
      <c r="Z500" s="25">
        <f t="shared" si="67"/>
        <v>559999467.12387967</v>
      </c>
      <c r="AA500" s="25">
        <f t="shared" si="53"/>
        <v>2333.242515756287</v>
      </c>
      <c r="AB500" s="25">
        <f t="shared" si="68"/>
        <v>19204995973.765442</v>
      </c>
      <c r="AC500" s="25">
        <f>AA500/((1+'How much will I make'!$C$5/12)^(Calculations!$B$1*12-Calculations!$A500))</f>
        <v>2493.7487494684251</v>
      </c>
      <c r="AD500" s="25">
        <f t="shared" si="69"/>
        <v>3144471238.6558123</v>
      </c>
      <c r="AE500" s="25">
        <f t="shared" si="54"/>
        <v>2187.1785616767079</v>
      </c>
      <c r="AF500" s="25">
        <f t="shared" si="70"/>
        <v>114564972865.25685</v>
      </c>
      <c r="AG500" s="25">
        <f>AE500/((1+'How much will I make'!$C$5/12)^(Calculations!$B$1*12-Calculations!$A500))</f>
        <v>2337.6369006706168</v>
      </c>
      <c r="AH500" s="25">
        <f t="shared" si="71"/>
        <v>18238795684.320808</v>
      </c>
    </row>
    <row r="501" spans="1:34" ht="15.75" customHeight="1">
      <c r="A501" s="22">
        <f t="shared" si="55"/>
        <v>497</v>
      </c>
      <c r="B501" s="22">
        <f t="shared" si="91"/>
        <v>3695.9940738654445</v>
      </c>
      <c r="C501" s="25">
        <f t="shared" si="47"/>
        <v>3443.7582097045301</v>
      </c>
      <c r="D501" s="25">
        <f t="shared" si="56"/>
        <v>1741046.3276979115</v>
      </c>
      <c r="E501" s="25">
        <f>$C501/((1+'How much will I make'!$C$5/12)^(Calculations!$B$1*12-Calculations!$A501))</f>
        <v>3695.9940738654445</v>
      </c>
      <c r="F501" s="25">
        <f t="shared" si="57"/>
        <v>785518.54809703329</v>
      </c>
      <c r="G501" s="25">
        <f t="shared" si="48"/>
        <v>3209.6756953013137</v>
      </c>
      <c r="H501" s="25">
        <f t="shared" si="58"/>
        <v>5414471.9121153606</v>
      </c>
      <c r="I501" s="25">
        <f>G501/((1+'How much will I make'!$C$5/12)^(Calculations!$B$1*12-Calculations!$A501))</f>
        <v>3444.7663356369699</v>
      </c>
      <c r="J501" s="25">
        <f t="shared" si="59"/>
        <v>1734083.7779096595</v>
      </c>
      <c r="K501" s="25">
        <f t="shared" si="49"/>
        <v>2992.3729769401662</v>
      </c>
      <c r="L501" s="25">
        <f t="shared" si="60"/>
        <v>22212778.908941764</v>
      </c>
      <c r="M501" s="25">
        <f>K501/((1+'How much will I make'!$C$5/12)^(Calculations!$B$1*12-Calculations!$A501))</f>
        <v>3211.5474188633202</v>
      </c>
      <c r="N501" s="25">
        <f t="shared" si="61"/>
        <v>5356837.8261425737</v>
      </c>
      <c r="O501" s="25">
        <f t="shared" si="50"/>
        <v>2790.5854630775216</v>
      </c>
      <c r="P501" s="25">
        <f t="shared" si="62"/>
        <v>108214088.34769319</v>
      </c>
      <c r="Q501" s="25">
        <f>O501/((1+'How much will I make'!$C$5/12)^(Calculations!$B$1*12-Calculations!$A501))</f>
        <v>2994.9801078033593</v>
      </c>
      <c r="R501" s="25">
        <f t="shared" si="63"/>
        <v>21798450.866845015</v>
      </c>
      <c r="S501" s="25">
        <f t="shared" si="51"/>
        <v>2603.1484843730323</v>
      </c>
      <c r="T501" s="25">
        <f t="shared" si="64"/>
        <v>580235071.91390467</v>
      </c>
      <c r="U501" s="25">
        <f>S501/((1+'How much will I make'!$C$5/12)^(Calculations!$B$1*12-Calculations!$A501))</f>
        <v>2793.8144276569374</v>
      </c>
      <c r="V501" s="25">
        <f t="shared" si="65"/>
        <v>105308383.21132658</v>
      </c>
      <c r="W501" s="25">
        <f t="shared" si="52"/>
        <v>2428.989036321329</v>
      </c>
      <c r="X501" s="25">
        <f t="shared" si="66"/>
        <v>3284663474.2688775</v>
      </c>
      <c r="Y501" s="25">
        <f>W501/((1+'How much will I make'!$C$5/12)^(Calculations!$B$1*12-Calculations!$A501))</f>
        <v>2606.8987823910056</v>
      </c>
      <c r="Z501" s="25">
        <f t="shared" si="67"/>
        <v>560002074.02266204</v>
      </c>
      <c r="AA501" s="25">
        <f t="shared" si="53"/>
        <v>2267.1182339332345</v>
      </c>
      <c r="AB501" s="25">
        <f t="shared" si="68"/>
        <v>19204998240.883675</v>
      </c>
      <c r="AC501" s="25">
        <f>AA501/((1+'How much will I make'!$C$5/12)^(Calculations!$B$1*12-Calculations!$A501))</f>
        <v>2433.1718567687876</v>
      </c>
      <c r="AD501" s="25">
        <f t="shared" si="69"/>
        <v>3144473671.8276691</v>
      </c>
      <c r="AE501" s="25">
        <f t="shared" si="54"/>
        <v>2116.6244145258461</v>
      </c>
      <c r="AF501" s="25">
        <f t="shared" si="70"/>
        <v>114564974981.88127</v>
      </c>
      <c r="AG501" s="25">
        <f>AE501/((1+'How much will I make'!$C$5/12)^(Calculations!$B$1*12-Calculations!$A501))</f>
        <v>2271.6552139581395</v>
      </c>
      <c r="AH501" s="25">
        <f t="shared" si="71"/>
        <v>18238797955.976021</v>
      </c>
    </row>
    <row r="502" spans="1:34" ht="15.75" customHeight="1">
      <c r="A502" s="22">
        <f t="shared" si="55"/>
        <v>498</v>
      </c>
      <c r="B502" s="22">
        <f t="shared" si="91"/>
        <v>3695.9940738654445</v>
      </c>
      <c r="C502" s="25">
        <f t="shared" si="47"/>
        <v>3429.4687565522295</v>
      </c>
      <c r="D502" s="25">
        <f t="shared" si="56"/>
        <v>1744475.7964544639</v>
      </c>
      <c r="E502" s="25">
        <f>$C502/((1+'How much will I make'!$C$5/12)^(Calculations!$B$1*12-Calculations!$A502))</f>
        <v>3695.9940738654445</v>
      </c>
      <c r="F502" s="25">
        <f t="shared" si="57"/>
        <v>789214.54217089876</v>
      </c>
      <c r="G502" s="25">
        <f t="shared" si="48"/>
        <v>3183.1494498856</v>
      </c>
      <c r="H502" s="25">
        <f t="shared" si="58"/>
        <v>5417655.0615652464</v>
      </c>
      <c r="I502" s="25">
        <f>G502/((1+'How much will I make'!$C$5/12)^(Calculations!$B$1*12-Calculations!$A502))</f>
        <v>3430.5317640021058</v>
      </c>
      <c r="J502" s="25">
        <f t="shared" si="59"/>
        <v>1737514.3096736616</v>
      </c>
      <c r="K502" s="25">
        <f t="shared" si="49"/>
        <v>2955.4301006816454</v>
      </c>
      <c r="L502" s="25">
        <f t="shared" si="60"/>
        <v>22215734.339042448</v>
      </c>
      <c r="M502" s="25">
        <f>K502/((1+'How much will I make'!$C$5/12)^(Calculations!$B$1*12-Calculations!$A502))</f>
        <v>3185.1149298191772</v>
      </c>
      <c r="N502" s="25">
        <f t="shared" si="61"/>
        <v>5360022.9410723932</v>
      </c>
      <c r="O502" s="25">
        <f t="shared" si="50"/>
        <v>2744.8381604041197</v>
      </c>
      <c r="P502" s="25">
        <f t="shared" si="62"/>
        <v>108216833.1858536</v>
      </c>
      <c r="Q502" s="25">
        <f>O502/((1+'How much will I make'!$C$5/12)^(Calculations!$B$1*12-Calculations!$A502))</f>
        <v>2958.1565818877439</v>
      </c>
      <c r="R502" s="25">
        <f t="shared" si="63"/>
        <v>21801409.023426902</v>
      </c>
      <c r="S502" s="25">
        <f t="shared" si="51"/>
        <v>2550.0230051001136</v>
      </c>
      <c r="T502" s="25">
        <f t="shared" si="64"/>
        <v>580237621.93690979</v>
      </c>
      <c r="U502" s="25">
        <f>S502/((1+'How much will I make'!$C$5/12)^(Calculations!$B$1*12-Calculations!$A502))</f>
        <v>2748.2011308788651</v>
      </c>
      <c r="V502" s="25">
        <f t="shared" si="65"/>
        <v>105311131.41245747</v>
      </c>
      <c r="W502" s="25">
        <f t="shared" si="52"/>
        <v>2369.7454012891012</v>
      </c>
      <c r="X502" s="25">
        <f t="shared" si="66"/>
        <v>3284665844.0142789</v>
      </c>
      <c r="Y502" s="25">
        <f>W502/((1+'How much will I make'!$C$5/12)^(Calculations!$B$1*12-Calculations!$A502))</f>
        <v>2553.9130347814321</v>
      </c>
      <c r="Z502" s="25">
        <f t="shared" si="67"/>
        <v>560004627.93569684</v>
      </c>
      <c r="AA502" s="25">
        <f t="shared" si="53"/>
        <v>2202.8679196112403</v>
      </c>
      <c r="AB502" s="25">
        <f t="shared" si="68"/>
        <v>19205000443.751595</v>
      </c>
      <c r="AC502" s="25">
        <f>AA502/((1+'How much will I make'!$C$5/12)^(Calculations!$B$1*12-Calculations!$A502))</f>
        <v>2374.0664675355379</v>
      </c>
      <c r="AD502" s="25">
        <f t="shared" si="69"/>
        <v>3144476045.8941369</v>
      </c>
      <c r="AE502" s="25">
        <f t="shared" si="54"/>
        <v>2048.3462076056571</v>
      </c>
      <c r="AF502" s="25">
        <f t="shared" si="70"/>
        <v>114564977030.22748</v>
      </c>
      <c r="AG502" s="25">
        <f>AE502/((1+'How much will I make'!$C$5/12)^(Calculations!$B$1*12-Calculations!$A502))</f>
        <v>2207.5359135641588</v>
      </c>
      <c r="AH502" s="25">
        <f t="shared" si="71"/>
        <v>18238800163.511936</v>
      </c>
    </row>
    <row r="503" spans="1:34" ht="15.75" customHeight="1">
      <c r="A503" s="22">
        <f t="shared" si="55"/>
        <v>499</v>
      </c>
      <c r="B503" s="22">
        <f t="shared" si="91"/>
        <v>3695.9940738654445</v>
      </c>
      <c r="C503" s="25">
        <f t="shared" si="47"/>
        <v>3415.2385957366596</v>
      </c>
      <c r="D503" s="25">
        <f t="shared" si="56"/>
        <v>1747891.0350502005</v>
      </c>
      <c r="E503" s="25">
        <f>$C503/((1+'How much will I make'!$C$5/12)^(Calculations!$B$1*12-Calculations!$A503))</f>
        <v>3695.9940738654445</v>
      </c>
      <c r="F503" s="25">
        <f t="shared" si="57"/>
        <v>792910.53624476423</v>
      </c>
      <c r="G503" s="25">
        <f t="shared" si="48"/>
        <v>3156.842429638612</v>
      </c>
      <c r="H503" s="25">
        <f t="shared" si="58"/>
        <v>5420811.9039948853</v>
      </c>
      <c r="I503" s="25">
        <f>G503/((1+'How much will I make'!$C$5/12)^(Calculations!$B$1*12-Calculations!$A503))</f>
        <v>3416.3560129111888</v>
      </c>
      <c r="J503" s="25">
        <f t="shared" si="59"/>
        <v>1740930.6656865729</v>
      </c>
      <c r="K503" s="25">
        <f t="shared" si="49"/>
        <v>2918.9433093152061</v>
      </c>
      <c r="L503" s="25">
        <f t="shared" si="60"/>
        <v>22218653.282351762</v>
      </c>
      <c r="M503" s="25">
        <f>K503/((1+'How much will I make'!$C$5/12)^(Calculations!$B$1*12-Calculations!$A503))</f>
        <v>3158.8999921251934</v>
      </c>
      <c r="N503" s="25">
        <f t="shared" si="61"/>
        <v>5363181.8410645183</v>
      </c>
      <c r="O503" s="25">
        <f t="shared" si="50"/>
        <v>2699.8408135122495</v>
      </c>
      <c r="P503" s="25">
        <f t="shared" si="62"/>
        <v>108219533.02666712</v>
      </c>
      <c r="Q503" s="25">
        <f>O503/((1+'How much will I make'!$C$5/12)^(Calculations!$B$1*12-Calculations!$A503))</f>
        <v>2921.7858042415842</v>
      </c>
      <c r="R503" s="25">
        <f t="shared" si="63"/>
        <v>21804330.809231143</v>
      </c>
      <c r="S503" s="25">
        <f t="shared" si="51"/>
        <v>2497.9817192817441</v>
      </c>
      <c r="T503" s="25">
        <f t="shared" si="64"/>
        <v>580240119.91862905</v>
      </c>
      <c r="U503" s="25">
        <f>S503/((1+'How much will I make'!$C$5/12)^(Calculations!$B$1*12-Calculations!$A503))</f>
        <v>2703.3325409869658</v>
      </c>
      <c r="V503" s="25">
        <f t="shared" si="65"/>
        <v>105313834.74499846</v>
      </c>
      <c r="W503" s="25">
        <f t="shared" si="52"/>
        <v>2311.9467329649769</v>
      </c>
      <c r="X503" s="25">
        <f t="shared" si="66"/>
        <v>3284668155.9610119</v>
      </c>
      <c r="Y503" s="25">
        <f>W503/((1+'How much will I make'!$C$5/12)^(Calculations!$B$1*12-Calculations!$A503))</f>
        <v>2502.0042332614844</v>
      </c>
      <c r="Z503" s="25">
        <f t="shared" si="67"/>
        <v>560007129.93993008</v>
      </c>
      <c r="AA503" s="25">
        <f t="shared" si="53"/>
        <v>2140.4384643995859</v>
      </c>
      <c r="AB503" s="25">
        <f t="shared" si="68"/>
        <v>19205002584.19006</v>
      </c>
      <c r="AC503" s="25">
        <f>AA503/((1+'How much will I make'!$C$5/12)^(Calculations!$B$1*12-Calculations!$A503))</f>
        <v>2316.3968367452012</v>
      </c>
      <c r="AD503" s="25">
        <f t="shared" si="69"/>
        <v>3144478362.2909737</v>
      </c>
      <c r="AE503" s="25">
        <f t="shared" si="54"/>
        <v>1982.2705234893456</v>
      </c>
      <c r="AF503" s="25">
        <f t="shared" si="70"/>
        <v>114564979012.498</v>
      </c>
      <c r="AG503" s="25">
        <f>AE503/((1+'How much will I make'!$C$5/12)^(Calculations!$B$1*12-Calculations!$A503))</f>
        <v>2145.2264321329126</v>
      </c>
      <c r="AH503" s="25">
        <f t="shared" si="71"/>
        <v>18238802308.738369</v>
      </c>
    </row>
    <row r="504" spans="1:34" ht="15.75" customHeight="1">
      <c r="A504" s="22">
        <f t="shared" si="55"/>
        <v>500</v>
      </c>
      <c r="B504" s="22">
        <f t="shared" si="91"/>
        <v>3695.9940738654445</v>
      </c>
      <c r="C504" s="25">
        <f t="shared" si="47"/>
        <v>3401.0674812315283</v>
      </c>
      <c r="D504" s="25">
        <f t="shared" si="56"/>
        <v>1751292.1025314322</v>
      </c>
      <c r="E504" s="25">
        <f>$C504/((1+'How much will I make'!$C$5/12)^(Calculations!$B$1*12-Calculations!$A504))</f>
        <v>3695.9940738654445</v>
      </c>
      <c r="F504" s="25">
        <f t="shared" si="57"/>
        <v>796606.5303186297</v>
      </c>
      <c r="G504" s="25">
        <f t="shared" si="48"/>
        <v>3130.7528227820949</v>
      </c>
      <c r="H504" s="25">
        <f t="shared" si="58"/>
        <v>5423942.6568176672</v>
      </c>
      <c r="I504" s="25">
        <f>G504/((1+'How much will I make'!$C$5/12)^(Calculations!$B$1*12-Calculations!$A504))</f>
        <v>3402.2388393041183</v>
      </c>
      <c r="J504" s="25">
        <f t="shared" si="59"/>
        <v>1744332.904525877</v>
      </c>
      <c r="K504" s="25">
        <f t="shared" si="49"/>
        <v>2882.9069721631658</v>
      </c>
      <c r="L504" s="25">
        <f t="shared" si="60"/>
        <v>22221536.189323924</v>
      </c>
      <c r="M504" s="25">
        <f>K504/((1+'How much will I make'!$C$5/12)^(Calculations!$B$1*12-Calculations!$A504))</f>
        <v>3132.9008152352735</v>
      </c>
      <c r="N504" s="25">
        <f t="shared" si="61"/>
        <v>5366314.7418797538</v>
      </c>
      <c r="O504" s="25">
        <f t="shared" si="50"/>
        <v>2655.5811280448352</v>
      </c>
      <c r="P504" s="25">
        <f t="shared" si="62"/>
        <v>108222188.60779516</v>
      </c>
      <c r="Q504" s="25">
        <f>O504/((1+'How much will I make'!$C$5/12)^(Calculations!$B$1*12-Calculations!$A504))</f>
        <v>2885.8622082877941</v>
      </c>
      <c r="R504" s="25">
        <f t="shared" si="63"/>
        <v>21807216.671439432</v>
      </c>
      <c r="S504" s="25">
        <f t="shared" si="51"/>
        <v>2447.0025005208927</v>
      </c>
      <c r="T504" s="25">
        <f t="shared" si="64"/>
        <v>580242566.92112958</v>
      </c>
      <c r="U504" s="25">
        <f>S504/((1+'How much will I make'!$C$5/12)^(Calculations!$B$1*12-Calculations!$A504))</f>
        <v>2659.196499501465</v>
      </c>
      <c r="V504" s="25">
        <f t="shared" si="65"/>
        <v>105316493.94149795</v>
      </c>
      <c r="W504" s="25">
        <f t="shared" si="52"/>
        <v>2255.5577882585144</v>
      </c>
      <c r="X504" s="25">
        <f t="shared" si="66"/>
        <v>3284670411.5188003</v>
      </c>
      <c r="Y504" s="25">
        <f>W504/((1+'How much will I make'!$C$5/12)^(Calculations!$B$1*12-Calculations!$A504))</f>
        <v>2451.1504886829994</v>
      </c>
      <c r="Z504" s="25">
        <f t="shared" si="67"/>
        <v>560009581.09041882</v>
      </c>
      <c r="AA504" s="25">
        <f t="shared" si="53"/>
        <v>2079.7782650036465</v>
      </c>
      <c r="AB504" s="25">
        <f t="shared" si="68"/>
        <v>19205004663.968327</v>
      </c>
      <c r="AC504" s="25">
        <f>AA504/((1+'How much will I make'!$C$5/12)^(Calculations!$B$1*12-Calculations!$A504))</f>
        <v>2260.1280876744681</v>
      </c>
      <c r="AD504" s="25">
        <f t="shared" si="69"/>
        <v>3144480622.4190612</v>
      </c>
      <c r="AE504" s="25">
        <f t="shared" si="54"/>
        <v>1918.3263130542052</v>
      </c>
      <c r="AF504" s="25">
        <f t="shared" si="70"/>
        <v>114564980930.82431</v>
      </c>
      <c r="AG504" s="25">
        <f>AE504/((1+'How much will I make'!$C$5/12)^(Calculations!$B$1*12-Calculations!$A504))</f>
        <v>2084.6756860646451</v>
      </c>
      <c r="AH504" s="25">
        <f t="shared" si="71"/>
        <v>18238804393.414055</v>
      </c>
    </row>
    <row r="505" spans="1:34" ht="15.75" customHeight="1">
      <c r="A505" s="22">
        <f t="shared" si="55"/>
        <v>501</v>
      </c>
      <c r="B505" s="22">
        <f t="shared" si="91"/>
        <v>3695.9940738654445</v>
      </c>
      <c r="C505" s="25">
        <f t="shared" si="47"/>
        <v>3386.9551680313971</v>
      </c>
      <c r="D505" s="25">
        <f t="shared" si="56"/>
        <v>1754679.0576994636</v>
      </c>
      <c r="E505" s="25">
        <f>$C505/((1+'How much will I make'!$C$5/12)^(Calculations!$B$1*12-Calculations!$A505))</f>
        <v>3695.9940738654445</v>
      </c>
      <c r="F505" s="25">
        <f t="shared" si="57"/>
        <v>800302.52439249516</v>
      </c>
      <c r="G505" s="25">
        <f t="shared" si="48"/>
        <v>3104.8788325111691</v>
      </c>
      <c r="H505" s="25">
        <f t="shared" si="58"/>
        <v>5427047.5356501788</v>
      </c>
      <c r="I505" s="25">
        <f>G505/((1+'How much will I make'!$C$5/12)^(Calculations!$B$1*12-Calculations!$A505))</f>
        <v>3388.1800011251762</v>
      </c>
      <c r="J505" s="25">
        <f t="shared" si="59"/>
        <v>1747721.0845270022</v>
      </c>
      <c r="K505" s="25">
        <f t="shared" si="49"/>
        <v>2847.3155280623869</v>
      </c>
      <c r="L505" s="25">
        <f t="shared" si="60"/>
        <v>22224383.504851986</v>
      </c>
      <c r="M505" s="25">
        <f>K505/((1+'How much will I make'!$C$5/12)^(Calculations!$B$1*12-Calculations!$A505))</f>
        <v>3107.115623340334</v>
      </c>
      <c r="N505" s="25">
        <f t="shared" si="61"/>
        <v>5369421.8575030938</v>
      </c>
      <c r="O505" s="25">
        <f t="shared" si="50"/>
        <v>2612.0470111916411</v>
      </c>
      <c r="P505" s="25">
        <f t="shared" si="62"/>
        <v>108224800.65480636</v>
      </c>
      <c r="Q505" s="25">
        <f>O505/((1+'How much will I make'!$C$5/12)^(Calculations!$B$1*12-Calculations!$A505))</f>
        <v>2850.3802958908127</v>
      </c>
      <c r="R505" s="25">
        <f t="shared" si="63"/>
        <v>21810067.051735323</v>
      </c>
      <c r="S505" s="25">
        <f t="shared" si="51"/>
        <v>2397.0636739796496</v>
      </c>
      <c r="T505" s="25">
        <f t="shared" si="64"/>
        <v>580244963.98480356</v>
      </c>
      <c r="U505" s="25">
        <f>S505/((1+'How much will I make'!$C$5/12)^(Calculations!$B$1*12-Calculations!$A505))</f>
        <v>2615.7810464483796</v>
      </c>
      <c r="V505" s="25">
        <f t="shared" si="65"/>
        <v>105319109.7225444</v>
      </c>
      <c r="W505" s="25">
        <f t="shared" si="52"/>
        <v>2200.5441836668433</v>
      </c>
      <c r="X505" s="25">
        <f t="shared" si="66"/>
        <v>3284672612.062984</v>
      </c>
      <c r="Y505" s="25">
        <f>W505/((1+'How much will I make'!$C$5/12)^(Calculations!$B$1*12-Calculations!$A505))</f>
        <v>2401.3303567991989</v>
      </c>
      <c r="Z505" s="25">
        <f t="shared" si="67"/>
        <v>560011982.42077565</v>
      </c>
      <c r="AA505" s="25">
        <f t="shared" si="53"/>
        <v>2020.837180570345</v>
      </c>
      <c r="AB505" s="25">
        <f t="shared" si="68"/>
        <v>19205006684.805508</v>
      </c>
      <c r="AC505" s="25">
        <f>AA505/((1+'How much will I make'!$C$5/12)^(Calculations!$B$1*12-Calculations!$A505))</f>
        <v>2205.2261908078822</v>
      </c>
      <c r="AD505" s="25">
        <f t="shared" si="69"/>
        <v>3144482827.6452522</v>
      </c>
      <c r="AE505" s="25">
        <f t="shared" si="54"/>
        <v>1856.4448190847145</v>
      </c>
      <c r="AF505" s="25">
        <f t="shared" si="70"/>
        <v>114564982787.26913</v>
      </c>
      <c r="AG505" s="25">
        <f>AE505/((1+'How much will I make'!$C$5/12)^(Calculations!$B$1*12-Calculations!$A505))</f>
        <v>2025.8340336354008</v>
      </c>
      <c r="AH505" s="25">
        <f t="shared" si="71"/>
        <v>18238806419.248089</v>
      </c>
    </row>
    <row r="506" spans="1:34" ht="15.75" customHeight="1">
      <c r="A506" s="22">
        <f t="shared" si="55"/>
        <v>502</v>
      </c>
      <c r="B506" s="22">
        <f t="shared" si="91"/>
        <v>3695.9940738654445</v>
      </c>
      <c r="C506" s="25">
        <f t="shared" si="47"/>
        <v>3372.9014121474502</v>
      </c>
      <c r="D506" s="25">
        <f t="shared" si="56"/>
        <v>1758051.9591116111</v>
      </c>
      <c r="E506" s="25">
        <f>$C506/((1+'How much will I make'!$C$5/12)^(Calculations!$B$1*12-Calculations!$A506))</f>
        <v>3695.9940738654445</v>
      </c>
      <c r="F506" s="25">
        <f t="shared" si="57"/>
        <v>803998.51846636063</v>
      </c>
      <c r="G506" s="25">
        <f t="shared" si="48"/>
        <v>3079.2186768705797</v>
      </c>
      <c r="H506" s="25">
        <f t="shared" si="58"/>
        <v>5430126.7543270495</v>
      </c>
      <c r="I506" s="25">
        <f>G506/((1+'How much will I make'!$C$5/12)^(Calculations!$B$1*12-Calculations!$A506))</f>
        <v>3374.1792573188718</v>
      </c>
      <c r="J506" s="25">
        <f t="shared" si="59"/>
        <v>1751095.263784321</v>
      </c>
      <c r="K506" s="25">
        <f t="shared" si="49"/>
        <v>2812.1634845060612</v>
      </c>
      <c r="L506" s="25">
        <f t="shared" si="60"/>
        <v>22227195.668336492</v>
      </c>
      <c r="M506" s="25">
        <f>K506/((1+'How much will I make'!$C$5/12)^(Calculations!$B$1*12-Calculations!$A506))</f>
        <v>3081.5426552469976</v>
      </c>
      <c r="N506" s="25">
        <f t="shared" si="61"/>
        <v>5372503.400158341</v>
      </c>
      <c r="O506" s="25">
        <f t="shared" si="50"/>
        <v>2569.2265683852202</v>
      </c>
      <c r="P506" s="25">
        <f t="shared" si="62"/>
        <v>108227369.88137475</v>
      </c>
      <c r="Q506" s="25">
        <f>O506/((1+'How much will I make'!$C$5/12)^(Calculations!$B$1*12-Calculations!$A506))</f>
        <v>2815.3346365151051</v>
      </c>
      <c r="R506" s="25">
        <f t="shared" si="63"/>
        <v>21812882.38637184</v>
      </c>
      <c r="S506" s="25">
        <f t="shared" si="51"/>
        <v>2348.1440071637389</v>
      </c>
      <c r="T506" s="25">
        <f t="shared" si="64"/>
        <v>580247312.12881076</v>
      </c>
      <c r="U506" s="25">
        <f>S506/((1+'How much will I make'!$C$5/12)^(Calculations!$B$1*12-Calculations!$A506))</f>
        <v>2573.0744171186102</v>
      </c>
      <c r="V506" s="25">
        <f t="shared" si="65"/>
        <v>105321682.79696152</v>
      </c>
      <c r="W506" s="25">
        <f t="shared" si="52"/>
        <v>2146.8723743091155</v>
      </c>
      <c r="X506" s="25">
        <f t="shared" si="66"/>
        <v>3284674758.9353585</v>
      </c>
      <c r="Y506" s="25">
        <f>W506/((1+'How much will I make'!$C$5/12)^(Calculations!$B$1*12-Calculations!$A506))</f>
        <v>2352.522829221979</v>
      </c>
      <c r="Z506" s="25">
        <f t="shared" si="67"/>
        <v>560014334.94360483</v>
      </c>
      <c r="AA506" s="25">
        <f t="shared" si="53"/>
        <v>1963.5664912424409</v>
      </c>
      <c r="AB506" s="25">
        <f t="shared" si="68"/>
        <v>19205008648.371998</v>
      </c>
      <c r="AC506" s="25">
        <f>AA506/((1+'How much will I make'!$C$5/12)^(Calculations!$B$1*12-Calculations!$A506))</f>
        <v>2151.6579432578933</v>
      </c>
      <c r="AD506" s="25">
        <f t="shared" si="69"/>
        <v>3144484979.3031955</v>
      </c>
      <c r="AE506" s="25">
        <f t="shared" si="54"/>
        <v>1796.5595023400463</v>
      </c>
      <c r="AF506" s="25">
        <f t="shared" si="70"/>
        <v>114564984583.82864</v>
      </c>
      <c r="AG506" s="25">
        <f>AE506/((1+'How much will I make'!$C$5/12)^(Calculations!$B$1*12-Calculations!$A506))</f>
        <v>1968.6532342989174</v>
      </c>
      <c r="AH506" s="25">
        <f t="shared" si="71"/>
        <v>18238808387.901321</v>
      </c>
    </row>
    <row r="507" spans="1:34" ht="15.75" customHeight="1">
      <c r="A507" s="22">
        <f t="shared" si="55"/>
        <v>503</v>
      </c>
      <c r="B507" s="22">
        <f t="shared" si="91"/>
        <v>3695.9940738654445</v>
      </c>
      <c r="C507" s="25">
        <f t="shared" si="47"/>
        <v>3358.9059706032685</v>
      </c>
      <c r="D507" s="25">
        <f t="shared" si="56"/>
        <v>1761410.8650822144</v>
      </c>
      <c r="E507" s="25">
        <f>$C507/((1+'How much will I make'!$C$5/12)^(Calculations!$B$1*12-Calculations!$A507))</f>
        <v>3695.9940738654445</v>
      </c>
      <c r="F507" s="25">
        <f t="shared" si="57"/>
        <v>807694.5125402261</v>
      </c>
      <c r="G507" s="25">
        <f t="shared" si="48"/>
        <v>3053.7705886319809</v>
      </c>
      <c r="H507" s="25">
        <f t="shared" si="58"/>
        <v>5433180.5249156812</v>
      </c>
      <c r="I507" s="25">
        <f>G507/((1+'How much will I make'!$C$5/12)^(Calculations!$B$1*12-Calculations!$A507))</f>
        <v>3360.2363678258212</v>
      </c>
      <c r="J507" s="25">
        <f t="shared" si="59"/>
        <v>1754455.5001521469</v>
      </c>
      <c r="K507" s="25">
        <f t="shared" si="49"/>
        <v>2777.4454167961098</v>
      </c>
      <c r="L507" s="25">
        <f t="shared" si="60"/>
        <v>22229973.113753289</v>
      </c>
      <c r="M507" s="25">
        <f>K507/((1+'How much will I make'!$C$5/12)^(Calculations!$B$1*12-Calculations!$A507))</f>
        <v>3056.1801642573118</v>
      </c>
      <c r="N507" s="25">
        <f t="shared" si="61"/>
        <v>5375559.5803225981</v>
      </c>
      <c r="O507" s="25">
        <f t="shared" si="50"/>
        <v>2527.1081000510371</v>
      </c>
      <c r="P507" s="25">
        <f t="shared" si="62"/>
        <v>108229896.9894748</v>
      </c>
      <c r="Q507" s="25">
        <f>O507/((1+'How much will I make'!$C$5/12)^(Calculations!$B$1*12-Calculations!$A507))</f>
        <v>2780.7198663940198</v>
      </c>
      <c r="R507" s="25">
        <f t="shared" si="63"/>
        <v>21815663.106238235</v>
      </c>
      <c r="S507" s="25">
        <f t="shared" si="51"/>
        <v>2300.2227008950913</v>
      </c>
      <c r="T507" s="25">
        <f t="shared" si="64"/>
        <v>580249612.35151172</v>
      </c>
      <c r="U507" s="25">
        <f>S507/((1+'How much will I make'!$C$5/12)^(Calculations!$B$1*12-Calculations!$A507))</f>
        <v>2531.0650388799399</v>
      </c>
      <c r="V507" s="25">
        <f t="shared" si="65"/>
        <v>105324213.86200039</v>
      </c>
      <c r="W507" s="25">
        <f t="shared" si="52"/>
        <v>2094.509633472308</v>
      </c>
      <c r="X507" s="25">
        <f t="shared" si="66"/>
        <v>3284676853.4449921</v>
      </c>
      <c r="Y507" s="25">
        <f>W507/((1+'How much will I make'!$C$5/12)^(Calculations!$B$1*12-Calculations!$A507))</f>
        <v>2304.7073245629967</v>
      </c>
      <c r="Z507" s="25">
        <f t="shared" si="67"/>
        <v>560016639.65092933</v>
      </c>
      <c r="AA507" s="25">
        <f t="shared" si="53"/>
        <v>1907.9188578873918</v>
      </c>
      <c r="AB507" s="25">
        <f t="shared" si="68"/>
        <v>19205010556.290855</v>
      </c>
      <c r="AC507" s="25">
        <f>AA507/((1+'How much will I make'!$C$5/12)^(Calculations!$B$1*12-Calculations!$A507))</f>
        <v>2099.3909486848274</v>
      </c>
      <c r="AD507" s="25">
        <f t="shared" si="69"/>
        <v>3144487078.6941442</v>
      </c>
      <c r="AE507" s="25">
        <f t="shared" si="54"/>
        <v>1738.6059700064964</v>
      </c>
      <c r="AF507" s="25">
        <f t="shared" si="70"/>
        <v>114564986322.43462</v>
      </c>
      <c r="AG507" s="25">
        <f>AE507/((1+'How much will I make'!$C$5/12)^(Calculations!$B$1*12-Calculations!$A507))</f>
        <v>1913.086409137255</v>
      </c>
      <c r="AH507" s="25">
        <f t="shared" si="71"/>
        <v>18238810300.987732</v>
      </c>
    </row>
    <row r="508" spans="1:34" ht="15.75" customHeight="1">
      <c r="A508" s="22">
        <f t="shared" si="55"/>
        <v>504</v>
      </c>
      <c r="B508" s="22">
        <f t="shared" si="91"/>
        <v>3695.9940738654445</v>
      </c>
      <c r="C508" s="25">
        <f t="shared" si="47"/>
        <v>3344.9686014306412</v>
      </c>
      <c r="D508" s="25">
        <f t="shared" si="56"/>
        <v>1764755.8336836449</v>
      </c>
      <c r="E508" s="25">
        <f>$C508/((1+'How much will I make'!$C$5/12)^(Calculations!$B$1*12-Calculations!$A508))</f>
        <v>3695.9940738654445</v>
      </c>
      <c r="F508" s="25">
        <f t="shared" si="57"/>
        <v>811390.50661409157</v>
      </c>
      <c r="G508" s="25">
        <f t="shared" si="48"/>
        <v>3028.5328151722124</v>
      </c>
      <c r="H508" s="25">
        <f t="shared" si="58"/>
        <v>5436209.0577308536</v>
      </c>
      <c r="I508" s="25">
        <f>G508/((1+'How much will I make'!$C$5/12)^(Calculations!$B$1*12-Calculations!$A508))</f>
        <v>3346.3510935786067</v>
      </c>
      <c r="J508" s="25">
        <f t="shared" si="59"/>
        <v>1757801.8512457255</v>
      </c>
      <c r="K508" s="25">
        <f t="shared" si="49"/>
        <v>2743.1559672060339</v>
      </c>
      <c r="L508" s="25">
        <f t="shared" si="60"/>
        <v>22232716.269720495</v>
      </c>
      <c r="M508" s="25">
        <f>K508/((1+'How much will I make'!$C$5/12)^(Calculations!$B$1*12-Calculations!$A508))</f>
        <v>3031.0264180494314</v>
      </c>
      <c r="N508" s="25">
        <f t="shared" si="61"/>
        <v>5378590.6067406479</v>
      </c>
      <c r="O508" s="25">
        <f t="shared" si="50"/>
        <v>2485.6800984108559</v>
      </c>
      <c r="P508" s="25">
        <f t="shared" si="62"/>
        <v>108232382.66957322</v>
      </c>
      <c r="Q508" s="25">
        <f>O508/((1+'How much will I make'!$C$5/12)^(Calculations!$B$1*12-Calculations!$A508))</f>
        <v>2746.5306877088465</v>
      </c>
      <c r="R508" s="25">
        <f t="shared" si="63"/>
        <v>21818409.636925943</v>
      </c>
      <c r="S508" s="25">
        <f t="shared" si="51"/>
        <v>2253.2793804686612</v>
      </c>
      <c r="T508" s="25">
        <f t="shared" si="64"/>
        <v>580251865.63089216</v>
      </c>
      <c r="U508" s="25">
        <f>S508/((1+'How much will I make'!$C$5/12)^(Calculations!$B$1*12-Calculations!$A508))</f>
        <v>2489.7415280410837</v>
      </c>
      <c r="V508" s="25">
        <f t="shared" si="65"/>
        <v>105326703.60352843</v>
      </c>
      <c r="W508" s="25">
        <f t="shared" si="52"/>
        <v>2043.4240326559104</v>
      </c>
      <c r="X508" s="25">
        <f t="shared" si="66"/>
        <v>3284678896.8690248</v>
      </c>
      <c r="Y508" s="25">
        <f>W508/((1+'How much will I make'!$C$5/12)^(Calculations!$B$1*12-Calculations!$A508))</f>
        <v>2257.8636797548056</v>
      </c>
      <c r="Z508" s="25">
        <f t="shared" si="67"/>
        <v>560018897.5146091</v>
      </c>
      <c r="AA508" s="25">
        <f t="shared" si="53"/>
        <v>1853.8482829675067</v>
      </c>
      <c r="AB508" s="25">
        <f t="shared" si="68"/>
        <v>19205012410.139137</v>
      </c>
      <c r="AC508" s="25">
        <f>AA508/((1+'How much will I make'!$C$5/12)^(Calculations!$B$1*12-Calculations!$A508))</f>
        <v>2048.3935977046294</v>
      </c>
      <c r="AD508" s="25">
        <f t="shared" si="69"/>
        <v>3144489127.0877419</v>
      </c>
      <c r="AE508" s="25">
        <f t="shared" si="54"/>
        <v>1682.5219064578994</v>
      </c>
      <c r="AF508" s="25">
        <f t="shared" si="70"/>
        <v>114564988004.95653</v>
      </c>
      <c r="AG508" s="25">
        <f>AE508/((1+'How much will I make'!$C$5/12)^(Calculations!$B$1*12-Calculations!$A508))</f>
        <v>1859.0880024277351</v>
      </c>
      <c r="AH508" s="25">
        <f t="shared" si="71"/>
        <v>18238812160.075733</v>
      </c>
    </row>
    <row r="509" spans="1:34" ht="15.75" customHeight="1">
      <c r="A509" s="22">
        <f t="shared" si="55"/>
        <v>505</v>
      </c>
      <c r="B509" s="22">
        <f>B508*(1+'How much will I make'!$C$4)</f>
        <v>3880.793777558717</v>
      </c>
      <c r="C509" s="25">
        <f t="shared" si="47"/>
        <v>3497.6435168486382</v>
      </c>
      <c r="D509" s="25">
        <f t="shared" si="56"/>
        <v>1768253.4772004934</v>
      </c>
      <c r="E509" s="25">
        <f>$C509/((1+'How much will I make'!$C$5/12)^(Calculations!$B$1*12-Calculations!$A509))</f>
        <v>3880.793777558717</v>
      </c>
      <c r="F509" s="25">
        <f t="shared" si="57"/>
        <v>815271.30039165029</v>
      </c>
      <c r="G509" s="25">
        <f t="shared" si="48"/>
        <v>3153.6787992702384</v>
      </c>
      <c r="H509" s="25">
        <f t="shared" si="58"/>
        <v>5439362.7365301242</v>
      </c>
      <c r="I509" s="25">
        <f>G509/((1+'How much will I make'!$C$5/12)^(Calculations!$B$1*12-Calculations!$A509))</f>
        <v>3499.1493563225886</v>
      </c>
      <c r="J509" s="25">
        <f t="shared" si="59"/>
        <v>1761301.0006020481</v>
      </c>
      <c r="K509" s="25">
        <f t="shared" si="49"/>
        <v>2844.7543363618138</v>
      </c>
      <c r="L509" s="25">
        <f t="shared" si="60"/>
        <v>22235561.024056856</v>
      </c>
      <c r="M509" s="25">
        <f>K509/((1+'How much will I make'!$C$5/12)^(Calculations!$B$1*12-Calculations!$A509))</f>
        <v>3156.3836834872786</v>
      </c>
      <c r="N509" s="25">
        <f t="shared" si="61"/>
        <v>5381746.9904241348</v>
      </c>
      <c r="O509" s="25">
        <f t="shared" si="50"/>
        <v>2567.1778065554749</v>
      </c>
      <c r="P509" s="25">
        <f t="shared" si="62"/>
        <v>108234949.84737977</v>
      </c>
      <c r="Q509" s="25">
        <f>O509/((1+'How much will I make'!$C$5/12)^(Calculations!$B$1*12-Calculations!$A509))</f>
        <v>2848.3999611669005</v>
      </c>
      <c r="R509" s="25">
        <f t="shared" si="63"/>
        <v>21821258.036887109</v>
      </c>
      <c r="S509" s="25">
        <f t="shared" si="51"/>
        <v>2317.6587913391945</v>
      </c>
      <c r="T509" s="25">
        <f t="shared" si="64"/>
        <v>580254183.28968346</v>
      </c>
      <c r="U509" s="25">
        <f>S509/((1+'How much will I make'!$C$5/12)^(Calculations!$B$1*12-Calculations!$A509))</f>
        <v>2571.5473211052908</v>
      </c>
      <c r="V509" s="25">
        <f t="shared" si="65"/>
        <v>105329275.15084954</v>
      </c>
      <c r="W509" s="25">
        <f t="shared" si="52"/>
        <v>2093.2636432084937</v>
      </c>
      <c r="X509" s="25">
        <f t="shared" si="66"/>
        <v>3284680990.132668</v>
      </c>
      <c r="Y509" s="25">
        <f>W509/((1+'How much will I make'!$C$5/12)^(Calculations!$B$1*12-Calculations!$A509))</f>
        <v>2322.5707486258275</v>
      </c>
      <c r="Z509" s="25">
        <f t="shared" si="67"/>
        <v>560021220.08535767</v>
      </c>
      <c r="AA509" s="25">
        <f t="shared" si="53"/>
        <v>1891.3755761449868</v>
      </c>
      <c r="AB509" s="25">
        <f t="shared" si="68"/>
        <v>19205014301.514713</v>
      </c>
      <c r="AC509" s="25">
        <f>AA509/((1+'How much will I make'!$C$5/12)^(Calculations!$B$1*12-Calculations!$A509))</f>
        <v>2098.5668012111601</v>
      </c>
      <c r="AD509" s="25">
        <f t="shared" si="69"/>
        <v>3144491225.6545429</v>
      </c>
      <c r="AE509" s="25">
        <f t="shared" si="54"/>
        <v>1709.659356562059</v>
      </c>
      <c r="AF509" s="25">
        <f t="shared" si="70"/>
        <v>114564989714.61589</v>
      </c>
      <c r="AG509" s="25">
        <f>AE509/((1+'How much will I make'!$C$5/12)^(Calculations!$B$1*12-Calculations!$A509))</f>
        <v>1896.9444315094286</v>
      </c>
      <c r="AH509" s="25">
        <f t="shared" si="71"/>
        <v>18238814057.020164</v>
      </c>
    </row>
    <row r="510" spans="1:34" ht="15.75" customHeight="1">
      <c r="A510" s="22">
        <f t="shared" si="55"/>
        <v>506</v>
      </c>
      <c r="B510" s="22">
        <f t="shared" ref="B510:B520" si="92">B509</f>
        <v>3880.793777558717</v>
      </c>
      <c r="C510" s="25">
        <f t="shared" si="47"/>
        <v>3483.1304732102612</v>
      </c>
      <c r="D510" s="25">
        <f t="shared" si="56"/>
        <v>1771736.6076737037</v>
      </c>
      <c r="E510" s="25">
        <f>$C510/((1+'How much will I make'!$C$5/12)^(Calculations!$B$1*12-Calculations!$A510))</f>
        <v>3880.7937775587175</v>
      </c>
      <c r="F510" s="25">
        <f t="shared" si="57"/>
        <v>819152.09416920901</v>
      </c>
      <c r="G510" s="25">
        <f t="shared" si="48"/>
        <v>3127.6153381192448</v>
      </c>
      <c r="H510" s="25">
        <f t="shared" si="58"/>
        <v>5442490.3518682439</v>
      </c>
      <c r="I510" s="25">
        <f>G510/((1+'How much will I make'!$C$5/12)^(Calculations!$B$1*12-Calculations!$A510))</f>
        <v>3484.6900614617525</v>
      </c>
      <c r="J510" s="25">
        <f t="shared" si="59"/>
        <v>1764785.6906635098</v>
      </c>
      <c r="K510" s="25">
        <f t="shared" si="49"/>
        <v>2809.6339124561114</v>
      </c>
      <c r="L510" s="25">
        <f t="shared" si="60"/>
        <v>22238370.657969311</v>
      </c>
      <c r="M510" s="25">
        <f>K510/((1+'How much will I make'!$C$5/12)^(Calculations!$B$1*12-Calculations!$A510))</f>
        <v>3130.4052169565189</v>
      </c>
      <c r="N510" s="25">
        <f t="shared" si="61"/>
        <v>5384877.3956410913</v>
      </c>
      <c r="O510" s="25">
        <f t="shared" si="50"/>
        <v>2525.0929244807949</v>
      </c>
      <c r="P510" s="25">
        <f t="shared" si="62"/>
        <v>108237474.94030425</v>
      </c>
      <c r="Q510" s="25">
        <f>O510/((1+'How much will I make'!$C$5/12)^(Calculations!$B$1*12-Calculations!$A510))</f>
        <v>2813.3786501689478</v>
      </c>
      <c r="R510" s="25">
        <f t="shared" si="63"/>
        <v>21824071.415537279</v>
      </c>
      <c r="S510" s="25">
        <f t="shared" si="51"/>
        <v>2270.3596323322727</v>
      </c>
      <c r="T510" s="25">
        <f t="shared" si="64"/>
        <v>580256453.64931583</v>
      </c>
      <c r="U510" s="25">
        <f>S510/((1+'How much will I make'!$C$5/12)^(Calculations!$B$1*12-Calculations!$A510))</f>
        <v>2529.5628750464302</v>
      </c>
      <c r="V510" s="25">
        <f t="shared" si="65"/>
        <v>105331804.71372458</v>
      </c>
      <c r="W510" s="25">
        <f t="shared" si="52"/>
        <v>2042.2084323985309</v>
      </c>
      <c r="X510" s="25">
        <f t="shared" si="66"/>
        <v>3284683032.3411002</v>
      </c>
      <c r="Y510" s="25">
        <f>W510/((1+'How much will I make'!$C$5/12)^(Calculations!$B$1*12-Calculations!$A510))</f>
        <v>2275.3640260927832</v>
      </c>
      <c r="Z510" s="25">
        <f t="shared" si="67"/>
        <v>560023495.44938374</v>
      </c>
      <c r="AA510" s="25">
        <f t="shared" si="53"/>
        <v>1837.773839169218</v>
      </c>
      <c r="AB510" s="25">
        <f t="shared" si="68"/>
        <v>19205016139.288551</v>
      </c>
      <c r="AC510" s="25">
        <f>AA510/((1+'How much will I make'!$C$5/12)^(Calculations!$B$1*12-Calculations!$A510))</f>
        <v>2047.5894700076506</v>
      </c>
      <c r="AD510" s="25">
        <f t="shared" si="69"/>
        <v>3144493273.2440128</v>
      </c>
      <c r="AE510" s="25">
        <f t="shared" si="54"/>
        <v>1654.5090547374764</v>
      </c>
      <c r="AF510" s="25">
        <f t="shared" si="70"/>
        <v>114564991369.12494</v>
      </c>
      <c r="AG510" s="25">
        <f>AE510/((1+'How much will I make'!$C$5/12)^(Calculations!$B$1*12-Calculations!$A510))</f>
        <v>1843.401645136179</v>
      </c>
      <c r="AH510" s="25">
        <f t="shared" si="71"/>
        <v>18238815900.42181</v>
      </c>
    </row>
    <row r="511" spans="1:34" ht="15.75" customHeight="1">
      <c r="A511" s="22">
        <f t="shared" si="55"/>
        <v>507</v>
      </c>
      <c r="B511" s="22">
        <f t="shared" si="92"/>
        <v>3880.793777558717</v>
      </c>
      <c r="C511" s="25">
        <f t="shared" si="47"/>
        <v>3468.6776496699704</v>
      </c>
      <c r="D511" s="25">
        <f t="shared" si="56"/>
        <v>1775205.2853233737</v>
      </c>
      <c r="E511" s="25">
        <f>$C511/((1+'How much will I make'!$C$5/12)^(Calculations!$B$1*12-Calculations!$A511))</f>
        <v>3880.793777558717</v>
      </c>
      <c r="F511" s="25">
        <f t="shared" si="57"/>
        <v>823032.88794676773</v>
      </c>
      <c r="G511" s="25">
        <f t="shared" si="48"/>
        <v>3101.7672774736307</v>
      </c>
      <c r="H511" s="25">
        <f t="shared" si="58"/>
        <v>5445592.1191457175</v>
      </c>
      <c r="I511" s="25">
        <f>G511/((1+'How much will I make'!$C$5/12)^(Calculations!$B$1*12-Calculations!$A511))</f>
        <v>3470.2905157532314</v>
      </c>
      <c r="J511" s="25">
        <f t="shared" si="59"/>
        <v>1768255.981179263</v>
      </c>
      <c r="K511" s="25">
        <f t="shared" si="49"/>
        <v>2774.9470740307283</v>
      </c>
      <c r="L511" s="25">
        <f t="shared" si="60"/>
        <v>22241145.60504334</v>
      </c>
      <c r="M511" s="25">
        <f>K511/((1+'How much will I make'!$C$5/12)^(Calculations!$B$1*12-Calculations!$A511))</f>
        <v>3104.6405649651078</v>
      </c>
      <c r="N511" s="25">
        <f t="shared" si="61"/>
        <v>5387982.0362060564</v>
      </c>
      <c r="O511" s="25">
        <f t="shared" si="50"/>
        <v>2483.6979585057002</v>
      </c>
      <c r="P511" s="25">
        <f t="shared" si="62"/>
        <v>108239958.63826275</v>
      </c>
      <c r="Q511" s="25">
        <f>O511/((1+'How much will I make'!$C$5/12)^(Calculations!$B$1*12-Calculations!$A511))</f>
        <v>2778.7879290603128</v>
      </c>
      <c r="R511" s="25">
        <f t="shared" si="63"/>
        <v>21826850.203466341</v>
      </c>
      <c r="S511" s="25">
        <f t="shared" si="51"/>
        <v>2224.0257622846757</v>
      </c>
      <c r="T511" s="25">
        <f t="shared" si="64"/>
        <v>580258677.67507815</v>
      </c>
      <c r="U511" s="25">
        <f>S511/((1+'How much will I make'!$C$5/12)^(Calculations!$B$1*12-Calculations!$A511))</f>
        <v>2488.2638893313861</v>
      </c>
      <c r="V511" s="25">
        <f t="shared" si="65"/>
        <v>105334292.97761391</v>
      </c>
      <c r="W511" s="25">
        <f t="shared" si="52"/>
        <v>1992.398470632713</v>
      </c>
      <c r="X511" s="25">
        <f t="shared" si="66"/>
        <v>3284685024.7395706</v>
      </c>
      <c r="Y511" s="25">
        <f>W511/((1+'How much will I make'!$C$5/12)^(Calculations!$B$1*12-Calculations!$A511))</f>
        <v>2229.1167897900837</v>
      </c>
      <c r="Z511" s="25">
        <f t="shared" si="67"/>
        <v>560025724.56617355</v>
      </c>
      <c r="AA511" s="25">
        <f t="shared" si="53"/>
        <v>1785.6911797595644</v>
      </c>
      <c r="AB511" s="25">
        <f t="shared" si="68"/>
        <v>19205017924.979733</v>
      </c>
      <c r="AC511" s="25">
        <f>AA511/((1+'How much will I make'!$C$5/12)^(Calculations!$B$1*12-Calculations!$A511))</f>
        <v>1997.8504545418775</v>
      </c>
      <c r="AD511" s="25">
        <f t="shared" si="69"/>
        <v>3144495271.0944672</v>
      </c>
      <c r="AE511" s="25">
        <f t="shared" si="54"/>
        <v>1601.1377949072353</v>
      </c>
      <c r="AF511" s="25">
        <f t="shared" si="70"/>
        <v>114564992970.26274</v>
      </c>
      <c r="AG511" s="25">
        <f>AE511/((1+'How much will I make'!$C$5/12)^(Calculations!$B$1*12-Calculations!$A511))</f>
        <v>1791.3701470879801</v>
      </c>
      <c r="AH511" s="25">
        <f t="shared" si="71"/>
        <v>18238817691.791958</v>
      </c>
    </row>
    <row r="512" spans="1:34" ht="15.75" customHeight="1">
      <c r="A512" s="22">
        <f t="shared" si="55"/>
        <v>508</v>
      </c>
      <c r="B512" s="22">
        <f t="shared" si="92"/>
        <v>3880.793777558717</v>
      </c>
      <c r="C512" s="25">
        <f t="shared" si="47"/>
        <v>3454.2847963518375</v>
      </c>
      <c r="D512" s="25">
        <f t="shared" si="56"/>
        <v>1778659.5701197255</v>
      </c>
      <c r="E512" s="25">
        <f>$C512/((1+'How much will I make'!$C$5/12)^(Calculations!$B$1*12-Calculations!$A512))</f>
        <v>3880.793777558717</v>
      </c>
      <c r="F512" s="25">
        <f t="shared" si="57"/>
        <v>826913.68172432645</v>
      </c>
      <c r="G512" s="25">
        <f t="shared" si="48"/>
        <v>3076.1328371639315</v>
      </c>
      <c r="H512" s="25">
        <f t="shared" si="58"/>
        <v>5448668.2519828817</v>
      </c>
      <c r="I512" s="25">
        <f>G512/((1+'How much will I make'!$C$5/12)^(Calculations!$B$1*12-Calculations!$A512))</f>
        <v>3455.9504722997062</v>
      </c>
      <c r="J512" s="25">
        <f t="shared" si="59"/>
        <v>1771711.9316515627</v>
      </c>
      <c r="K512" s="25">
        <f t="shared" si="49"/>
        <v>2740.6884681784964</v>
      </c>
      <c r="L512" s="25">
        <f t="shared" si="60"/>
        <v>22243886.293511517</v>
      </c>
      <c r="M512" s="25">
        <f>K512/((1+'How much will I make'!$C$5/12)^(Calculations!$B$1*12-Calculations!$A512))</f>
        <v>3079.0879677225957</v>
      </c>
      <c r="N512" s="25">
        <f t="shared" si="61"/>
        <v>5391061.124173779</v>
      </c>
      <c r="O512" s="25">
        <f t="shared" si="50"/>
        <v>2442.9815985301966</v>
      </c>
      <c r="P512" s="25">
        <f t="shared" si="62"/>
        <v>108242401.61986127</v>
      </c>
      <c r="Q512" s="25">
        <f>O512/((1+'How much will I make'!$C$5/12)^(Calculations!$B$1*12-Calculations!$A512))</f>
        <v>2744.6225037030135</v>
      </c>
      <c r="R512" s="25">
        <f t="shared" si="63"/>
        <v>21829594.825970042</v>
      </c>
      <c r="S512" s="25">
        <f t="shared" si="51"/>
        <v>2178.6374814217234</v>
      </c>
      <c r="T512" s="25">
        <f t="shared" si="64"/>
        <v>580260856.3125596</v>
      </c>
      <c r="U512" s="25">
        <f>S512/((1+'How much will I make'!$C$5/12)^(Calculations!$B$1*12-Calculations!$A512))</f>
        <v>2447.6391727708742</v>
      </c>
      <c r="V512" s="25">
        <f t="shared" si="65"/>
        <v>105336740.61678669</v>
      </c>
      <c r="W512" s="25">
        <f t="shared" si="52"/>
        <v>1943.8033859831348</v>
      </c>
      <c r="X512" s="25">
        <f t="shared" si="66"/>
        <v>3284686968.5429568</v>
      </c>
      <c r="Y512" s="25">
        <f>W512/((1+'How much will I make'!$C$5/12)^(Calculations!$B$1*12-Calculations!$A512))</f>
        <v>2183.8095379650822</v>
      </c>
      <c r="Z512" s="25">
        <f t="shared" si="67"/>
        <v>560027908.37571156</v>
      </c>
      <c r="AA512" s="25">
        <f t="shared" si="53"/>
        <v>1735.0845471347998</v>
      </c>
      <c r="AB512" s="25">
        <f t="shared" si="68"/>
        <v>19205019660.064281</v>
      </c>
      <c r="AC512" s="25">
        <f>AA512/((1+'How much will I make'!$C$5/12)^(Calculations!$B$1*12-Calculations!$A512))</f>
        <v>1949.3196742696057</v>
      </c>
      <c r="AD512" s="25">
        <f t="shared" si="69"/>
        <v>3144497220.4141417</v>
      </c>
      <c r="AE512" s="25">
        <f t="shared" si="54"/>
        <v>1549.4881886199043</v>
      </c>
      <c r="AF512" s="25">
        <f t="shared" si="70"/>
        <v>114564994519.75093</v>
      </c>
      <c r="AG512" s="25">
        <f>AE512/((1+'How much will I make'!$C$5/12)^(Calculations!$B$1*12-Calculations!$A512))</f>
        <v>1740.8072800330767</v>
      </c>
      <c r="AH512" s="25">
        <f t="shared" si="71"/>
        <v>18238819432.599239</v>
      </c>
    </row>
    <row r="513" spans="1:34" ht="15.75" customHeight="1">
      <c r="A513" s="22">
        <f t="shared" si="55"/>
        <v>509</v>
      </c>
      <c r="B513" s="22">
        <f t="shared" si="92"/>
        <v>3880.793777558717</v>
      </c>
      <c r="C513" s="25">
        <f t="shared" si="47"/>
        <v>3439.9516644167679</v>
      </c>
      <c r="D513" s="25">
        <f t="shared" si="56"/>
        <v>1782099.5217841424</v>
      </c>
      <c r="E513" s="25">
        <f>$C513/((1+'How much will I make'!$C$5/12)^(Calculations!$B$1*12-Calculations!$A513))</f>
        <v>3880.793777558717</v>
      </c>
      <c r="F513" s="25">
        <f t="shared" si="57"/>
        <v>830794.47550188517</v>
      </c>
      <c r="G513" s="25">
        <f t="shared" si="48"/>
        <v>3050.7102517328253</v>
      </c>
      <c r="H513" s="25">
        <f t="shared" si="58"/>
        <v>5451718.9622346144</v>
      </c>
      <c r="I513" s="25">
        <f>G513/((1+'How much will I make'!$C$5/12)^(Calculations!$B$1*12-Calculations!$A513))</f>
        <v>3441.669685224088</v>
      </c>
      <c r="J513" s="25">
        <f t="shared" si="59"/>
        <v>1775153.6013367868</v>
      </c>
      <c r="K513" s="25">
        <f t="shared" si="49"/>
        <v>2706.8528080775277</v>
      </c>
      <c r="L513" s="25">
        <f t="shared" si="60"/>
        <v>22246593.146319594</v>
      </c>
      <c r="M513" s="25">
        <f>K513/((1+'How much will I make'!$C$5/12)^(Calculations!$B$1*12-Calculations!$A513))</f>
        <v>3053.7456799224101</v>
      </c>
      <c r="N513" s="25">
        <f t="shared" si="61"/>
        <v>5394114.8698537014</v>
      </c>
      <c r="O513" s="25">
        <f t="shared" si="50"/>
        <v>2402.932719865767</v>
      </c>
      <c r="P513" s="25">
        <f t="shared" si="62"/>
        <v>108244804.55258115</v>
      </c>
      <c r="Q513" s="25">
        <f>O513/((1+'How much will I make'!$C$5/12)^(Calculations!$B$1*12-Calculations!$A513))</f>
        <v>2710.8771450509271</v>
      </c>
      <c r="R513" s="25">
        <f t="shared" si="63"/>
        <v>21832305.703115094</v>
      </c>
      <c r="S513" s="25">
        <f t="shared" si="51"/>
        <v>2134.1754920049534</v>
      </c>
      <c r="T513" s="25">
        <f t="shared" si="64"/>
        <v>580262990.48805165</v>
      </c>
      <c r="U513" s="25">
        <f>S513/((1+'How much will I make'!$C$5/12)^(Calculations!$B$1*12-Calculations!$A513))</f>
        <v>2407.6777168889002</v>
      </c>
      <c r="V513" s="25">
        <f t="shared" si="65"/>
        <v>105339148.29450358</v>
      </c>
      <c r="W513" s="25">
        <f t="shared" si="52"/>
        <v>1896.393547300619</v>
      </c>
      <c r="X513" s="25">
        <f t="shared" si="66"/>
        <v>3284688864.9365044</v>
      </c>
      <c r="Y513" s="25">
        <f>W513/((1+'How much will I make'!$C$5/12)^(Calculations!$B$1*12-Calculations!$A513))</f>
        <v>2139.4231652422141</v>
      </c>
      <c r="Z513" s="25">
        <f t="shared" si="67"/>
        <v>560030047.79887676</v>
      </c>
      <c r="AA513" s="25">
        <f t="shared" si="53"/>
        <v>1685.9121105763238</v>
      </c>
      <c r="AB513" s="25">
        <f t="shared" si="68"/>
        <v>19205021345.976391</v>
      </c>
      <c r="AC513" s="25">
        <f>AA513/((1+'How much will I make'!$C$5/12)^(Calculations!$B$1*12-Calculations!$A513))</f>
        <v>1901.9677793480769</v>
      </c>
      <c r="AD513" s="25">
        <f t="shared" si="69"/>
        <v>3144499122.3819208</v>
      </c>
      <c r="AE513" s="25">
        <f t="shared" si="54"/>
        <v>1499.5046986644236</v>
      </c>
      <c r="AF513" s="25">
        <f t="shared" si="70"/>
        <v>114564996019.25563</v>
      </c>
      <c r="AG513" s="25">
        <f>AE513/((1+'How much will I make'!$C$5/12)^(Calculations!$B$1*12-Calculations!$A513))</f>
        <v>1691.6715906773043</v>
      </c>
      <c r="AH513" s="25">
        <f t="shared" si="71"/>
        <v>18238821124.270828</v>
      </c>
    </row>
    <row r="514" spans="1:34" ht="15.75" customHeight="1">
      <c r="A514" s="22">
        <f t="shared" si="55"/>
        <v>510</v>
      </c>
      <c r="B514" s="22">
        <f t="shared" si="92"/>
        <v>3880.793777558717</v>
      </c>
      <c r="C514" s="25">
        <f t="shared" si="47"/>
        <v>3425.6780060581923</v>
      </c>
      <c r="D514" s="25">
        <f t="shared" si="56"/>
        <v>1785525.1997902005</v>
      </c>
      <c r="E514" s="25">
        <f>$C514/((1+'How much will I make'!$C$5/12)^(Calculations!$B$1*12-Calculations!$A514))</f>
        <v>3880.793777558717</v>
      </c>
      <c r="F514" s="25">
        <f t="shared" si="57"/>
        <v>834675.26927944389</v>
      </c>
      <c r="G514" s="25">
        <f t="shared" si="48"/>
        <v>3025.4977703135455</v>
      </c>
      <c r="H514" s="25">
        <f t="shared" si="58"/>
        <v>5454744.4600049276</v>
      </c>
      <c r="I514" s="25">
        <f>G514/((1+'How much will I make'!$C$5/12)^(Calculations!$B$1*12-Calculations!$A514))</f>
        <v>3427.4479096653104</v>
      </c>
      <c r="J514" s="25">
        <f t="shared" si="59"/>
        <v>1778581.0492464521</v>
      </c>
      <c r="K514" s="25">
        <f t="shared" si="49"/>
        <v>2673.4348721753354</v>
      </c>
      <c r="L514" s="25">
        <f t="shared" si="60"/>
        <v>22249266.581191771</v>
      </c>
      <c r="M514" s="25">
        <f>K514/((1+'How much will I make'!$C$5/12)^(Calculations!$B$1*12-Calculations!$A514))</f>
        <v>3028.6119706226364</v>
      </c>
      <c r="N514" s="25">
        <f t="shared" si="61"/>
        <v>5397143.4818243245</v>
      </c>
      <c r="O514" s="25">
        <f t="shared" si="50"/>
        <v>2363.5403801958369</v>
      </c>
      <c r="P514" s="25">
        <f t="shared" si="62"/>
        <v>108247168.09296134</v>
      </c>
      <c r="Q514" s="25">
        <f>O514/((1+'How much will I make'!$C$5/12)^(Calculations!$B$1*12-Calculations!$A514))</f>
        <v>2677.5466883494814</v>
      </c>
      <c r="R514" s="25">
        <f t="shared" si="63"/>
        <v>21834983.249803443</v>
      </c>
      <c r="S514" s="25">
        <f t="shared" si="51"/>
        <v>2090.6208901273017</v>
      </c>
      <c r="T514" s="25">
        <f t="shared" si="64"/>
        <v>580265081.10894179</v>
      </c>
      <c r="U514" s="25">
        <f>S514/((1+'How much will I make'!$C$5/12)^(Calculations!$B$1*12-Calculations!$A514))</f>
        <v>2368.368692939694</v>
      </c>
      <c r="V514" s="25">
        <f t="shared" si="65"/>
        <v>105341516.66319652</v>
      </c>
      <c r="W514" s="25">
        <f t="shared" si="52"/>
        <v>1850.1400461469461</v>
      </c>
      <c r="X514" s="25">
        <f t="shared" si="66"/>
        <v>3284690715.0765505</v>
      </c>
      <c r="Y514" s="25">
        <f>W514/((1+'How much will I make'!$C$5/12)^(Calculations!$B$1*12-Calculations!$A514))</f>
        <v>2095.9389545665604</v>
      </c>
      <c r="Z514" s="25">
        <f t="shared" si="67"/>
        <v>560032143.73783135</v>
      </c>
      <c r="AA514" s="25">
        <f t="shared" si="53"/>
        <v>1638.1332248514889</v>
      </c>
      <c r="AB514" s="25">
        <f t="shared" si="68"/>
        <v>19205022984.109615</v>
      </c>
      <c r="AC514" s="25">
        <f>AA514/((1+'How much will I make'!$C$5/12)^(Calculations!$B$1*12-Calculations!$A514))</f>
        <v>1855.7661328861805</v>
      </c>
      <c r="AD514" s="25">
        <f t="shared" si="69"/>
        <v>3144500978.1480536</v>
      </c>
      <c r="AE514" s="25">
        <f t="shared" si="54"/>
        <v>1451.133579352668</v>
      </c>
      <c r="AF514" s="25">
        <f t="shared" si="70"/>
        <v>114564997470.38921</v>
      </c>
      <c r="AG514" s="25">
        <f>AE514/((1+'How much will I make'!$C$5/12)^(Calculations!$B$1*12-Calculations!$A514))</f>
        <v>1643.9227957791545</v>
      </c>
      <c r="AH514" s="25">
        <f t="shared" si="71"/>
        <v>18238822768.193623</v>
      </c>
    </row>
    <row r="515" spans="1:34" ht="15.75" customHeight="1">
      <c r="A515" s="22">
        <f t="shared" si="55"/>
        <v>511</v>
      </c>
      <c r="B515" s="22">
        <f t="shared" si="92"/>
        <v>3880.793777558717</v>
      </c>
      <c r="C515" s="25">
        <f t="shared" ref="C515:C654" si="93">$B515*(1+$C$3/12)^($B$1*12-$A515)</f>
        <v>3411.4635744977832</v>
      </c>
      <c r="D515" s="25">
        <f t="shared" si="56"/>
        <v>1788936.6633646982</v>
      </c>
      <c r="E515" s="25">
        <f>$C515/((1+'How much will I make'!$C$5/12)^(Calculations!$B$1*12-Calculations!$A515))</f>
        <v>3880.793777558717</v>
      </c>
      <c r="F515" s="25">
        <f t="shared" si="57"/>
        <v>838556.06305700261</v>
      </c>
      <c r="G515" s="25">
        <f t="shared" ref="G515:G654" si="94">$B515*(1+G$3/12)^($B$1*12-$A515)</f>
        <v>3000.4936565093012</v>
      </c>
      <c r="H515" s="25">
        <f t="shared" si="58"/>
        <v>5457744.9536614371</v>
      </c>
      <c r="I515" s="25">
        <f>G515/((1+'How much will I make'!$C$5/12)^(Calculations!$B$1*12-Calculations!$A515))</f>
        <v>3413.2849017741332</v>
      </c>
      <c r="J515" s="25">
        <f t="shared" si="59"/>
        <v>1781994.3341482261</v>
      </c>
      <c r="K515" s="25">
        <f t="shared" ref="K515:K654" si="95">$B515*(1+K$3/12)^($B$1*12-$A515)</f>
        <v>2640.4295033830485</v>
      </c>
      <c r="L515" s="25">
        <f t="shared" si="60"/>
        <v>22251907.010695152</v>
      </c>
      <c r="M515" s="25">
        <f>K515/((1+'How much will I make'!$C$5/12)^(Calculations!$B$1*12-Calculations!$A515))</f>
        <v>3003.6851231278029</v>
      </c>
      <c r="N515" s="25">
        <f t="shared" si="61"/>
        <v>5400147.1669474524</v>
      </c>
      <c r="O515" s="25">
        <f t="shared" ref="O515:O654" si="96">$B515*(1+O$3/12)^($B$1*12-$A515)</f>
        <v>2324.7938165860696</v>
      </c>
      <c r="P515" s="25">
        <f t="shared" si="62"/>
        <v>108249492.88677792</v>
      </c>
      <c r="Q515" s="25">
        <f>O515/((1+'How much will I make'!$C$5/12)^(Calculations!$B$1*12-Calculations!$A515))</f>
        <v>2644.6260323451866</v>
      </c>
      <c r="R515" s="25">
        <f t="shared" si="63"/>
        <v>21837627.875835788</v>
      </c>
      <c r="S515" s="25">
        <f t="shared" ref="S515:S654" si="97">$B515*(1+S$3/12)^($B$1*12-$A515)</f>
        <v>2047.9551576757242</v>
      </c>
      <c r="T515" s="25">
        <f t="shared" si="64"/>
        <v>580267129.06409943</v>
      </c>
      <c r="U515" s="25">
        <f>S515/((1+'How much will I make'!$C$5/12)^(Calculations!$B$1*12-Calculations!$A515))</f>
        <v>2329.7014489733333</v>
      </c>
      <c r="V515" s="25">
        <f t="shared" si="65"/>
        <v>105343846.3646455</v>
      </c>
      <c r="W515" s="25">
        <f t="shared" ref="W515:W654" si="98">$B515*(1+W$3/12)^($B$1*12-$A515)</f>
        <v>1805.0146791677516</v>
      </c>
      <c r="X515" s="25">
        <f t="shared" si="66"/>
        <v>3284692520.0912294</v>
      </c>
      <c r="Y515" s="25">
        <f>W515/((1+'How much will I make'!$C$5/12)^(Calculations!$B$1*12-Calculations!$A515))</f>
        <v>2053.3385693111427</v>
      </c>
      <c r="Z515" s="25">
        <f t="shared" si="67"/>
        <v>560034197.07640064</v>
      </c>
      <c r="AA515" s="25">
        <f t="shared" ref="AA515:AA654" si="99">$B515*(1+AA$3/12)^($B$1*12-$A515)</f>
        <v>1591.7083966168314</v>
      </c>
      <c r="AB515" s="25">
        <f t="shared" si="68"/>
        <v>19205024575.818012</v>
      </c>
      <c r="AC515" s="25">
        <f>AA515/((1+'How much will I make'!$C$5/12)^(Calculations!$B$1*12-Calculations!$A515))</f>
        <v>1810.6867936257884</v>
      </c>
      <c r="AD515" s="25">
        <f t="shared" si="69"/>
        <v>3144502788.8348475</v>
      </c>
      <c r="AE515" s="25">
        <f t="shared" ref="AE515:AE654" si="100">$B515*(1+AE$3/12)^($B$1*12-$A515)</f>
        <v>1404.322818728388</v>
      </c>
      <c r="AF515" s="25">
        <f t="shared" si="70"/>
        <v>114564998874.71202</v>
      </c>
      <c r="AG515" s="25">
        <f>AE515/((1+'How much will I make'!$C$5/12)^(Calculations!$B$1*12-Calculations!$A515))</f>
        <v>1597.5217491240981</v>
      </c>
      <c r="AH515" s="25">
        <f t="shared" si="71"/>
        <v>18238824365.71537</v>
      </c>
    </row>
    <row r="516" spans="1:34" ht="15.75" customHeight="1">
      <c r="A516" s="22">
        <f t="shared" ref="A516:A654" si="101">A515+1</f>
        <v>512</v>
      </c>
      <c r="B516" s="22">
        <f t="shared" si="92"/>
        <v>3880.793777558717</v>
      </c>
      <c r="C516" s="25">
        <f t="shared" si="93"/>
        <v>3397.3081239811954</v>
      </c>
      <c r="D516" s="25">
        <f t="shared" ref="D516:D654" si="102">C516+D515</f>
        <v>1792333.9714886793</v>
      </c>
      <c r="E516" s="25">
        <f>$C516/((1+'How much will I make'!$C$5/12)^(Calculations!$B$1*12-Calculations!$A516))</f>
        <v>3880.793777558717</v>
      </c>
      <c r="F516" s="25">
        <f t="shared" ref="F516:F654" si="103">E516+F515</f>
        <v>842436.85683456133</v>
      </c>
      <c r="G516" s="25">
        <f t="shared" si="94"/>
        <v>2975.6961882736873</v>
      </c>
      <c r="H516" s="25">
        <f t="shared" ref="H516:H654" si="104">G516+H515</f>
        <v>5460720.649849711</v>
      </c>
      <c r="I516" s="25">
        <f>G516/((1+'How much will I make'!$C$5/12)^(Calculations!$B$1*12-Calculations!$A516))</f>
        <v>3399.1804187089501</v>
      </c>
      <c r="J516" s="25">
        <f t="shared" ref="J516:J654" si="105">I516+J515</f>
        <v>1785393.5145669351</v>
      </c>
      <c r="K516" s="25">
        <f t="shared" si="95"/>
        <v>2607.8316082795532</v>
      </c>
      <c r="L516" s="25">
        <f t="shared" ref="L516:L654" si="106">K516+L515</f>
        <v>22254514.842303433</v>
      </c>
      <c r="M516" s="25">
        <f>K516/((1+'How much will I make'!$C$5/12)^(Calculations!$B$1*12-Calculations!$A516))</f>
        <v>2978.9634348716054</v>
      </c>
      <c r="N516" s="25">
        <f t="shared" ref="N516:N654" si="107">M516+N515</f>
        <v>5403126.1303823236</v>
      </c>
      <c r="O516" s="25">
        <f t="shared" si="96"/>
        <v>2286.6824425436748</v>
      </c>
      <c r="P516" s="25">
        <f t="shared" ref="P516:P654" si="108">O516+P515</f>
        <v>108251779.56922047</v>
      </c>
      <c r="Q516" s="25">
        <f>O516/((1+'How much will I make'!$C$5/12)^(Calculations!$B$1*12-Calculations!$A516))</f>
        <v>2612.110138504876</v>
      </c>
      <c r="R516" s="25">
        <f t="shared" ref="R516:R654" si="109">Q516+R515</f>
        <v>21840239.985974293</v>
      </c>
      <c r="S516" s="25">
        <f t="shared" si="97"/>
        <v>2006.1601544578527</v>
      </c>
      <c r="T516" s="25">
        <f t="shared" ref="T516:T654" si="110">S516+T515</f>
        <v>580269135.22425389</v>
      </c>
      <c r="U516" s="25">
        <f>S516/((1+'How much will I make'!$C$5/12)^(Calculations!$B$1*12-Calculations!$A516))</f>
        <v>2291.6655069492786</v>
      </c>
      <c r="V516" s="25">
        <f t="shared" ref="V516:V654" si="111">U516+V515</f>
        <v>105346138.03015244</v>
      </c>
      <c r="W516" s="25">
        <f t="shared" si="98"/>
        <v>1760.9899308953677</v>
      </c>
      <c r="X516" s="25">
        <f t="shared" ref="X516:X654" si="112">W516+X515</f>
        <v>3284694281.0811605</v>
      </c>
      <c r="Y516" s="25">
        <f>W516/((1+'How much will I make'!$C$5/12)^(Calculations!$B$1*12-Calculations!$A516))</f>
        <v>2011.6040455446557</v>
      </c>
      <c r="Z516" s="25">
        <f t="shared" ref="Z516:Z654" si="113">Y516+Z515</f>
        <v>560036208.68044615</v>
      </c>
      <c r="AA516" s="25">
        <f t="shared" si="99"/>
        <v>1546.5992517734398</v>
      </c>
      <c r="AB516" s="25">
        <f t="shared" ref="AB516:AB654" si="114">AA516+AB515</f>
        <v>19205026122.417263</v>
      </c>
      <c r="AC516" s="25">
        <f>AA516/((1+'How much will I make'!$C$5/12)^(Calculations!$B$1*12-Calculations!$A516))</f>
        <v>1766.7024990437856</v>
      </c>
      <c r="AD516" s="25">
        <f t="shared" ref="AD516:AD654" si="115">AC516+AD515</f>
        <v>3144504555.5373464</v>
      </c>
      <c r="AE516" s="25">
        <f t="shared" si="100"/>
        <v>1359.0220826403754</v>
      </c>
      <c r="AF516" s="25">
        <f t="shared" ref="AF516:AF654" si="116">AE516+AF515</f>
        <v>114565000233.7341</v>
      </c>
      <c r="AG516" s="25">
        <f>AE516/((1+'How much will I make'!$C$5/12)^(Calculations!$B$1*12-Calculations!$A516))</f>
        <v>1552.4304094310787</v>
      </c>
      <c r="AH516" s="25">
        <f t="shared" ref="AH516:AH654" si="117">AG516+AH515</f>
        <v>18238825918.145779</v>
      </c>
    </row>
    <row r="517" spans="1:34" ht="15.75" customHeight="1">
      <c r="A517" s="22">
        <f t="shared" si="101"/>
        <v>513</v>
      </c>
      <c r="B517" s="22">
        <f t="shared" si="92"/>
        <v>3880.793777558717</v>
      </c>
      <c r="C517" s="25">
        <f t="shared" si="93"/>
        <v>3383.2114097738045</v>
      </c>
      <c r="D517" s="25">
        <f t="shared" si="102"/>
        <v>1795717.1828984532</v>
      </c>
      <c r="E517" s="25">
        <f>$C517/((1+'How much will I make'!$C$5/12)^(Calculations!$B$1*12-Calculations!$A517))</f>
        <v>3880.793777558717</v>
      </c>
      <c r="F517" s="25">
        <f t="shared" si="103"/>
        <v>846317.65061212005</v>
      </c>
      <c r="G517" s="25">
        <f t="shared" si="94"/>
        <v>2951.1036577920872</v>
      </c>
      <c r="H517" s="25">
        <f t="shared" si="104"/>
        <v>5463671.7535075033</v>
      </c>
      <c r="I517" s="25">
        <f>G517/((1+'How much will I make'!$C$5/12)^(Calculations!$B$1*12-Calculations!$A517))</f>
        <v>3385.1342186316415</v>
      </c>
      <c r="J517" s="25">
        <f t="shared" si="105"/>
        <v>1788778.6487855667</v>
      </c>
      <c r="K517" s="25">
        <f t="shared" si="95"/>
        <v>2575.636156325485</v>
      </c>
      <c r="L517" s="25">
        <f t="shared" si="106"/>
        <v>22257090.478459757</v>
      </c>
      <c r="M517" s="25">
        <f>K517/((1+'How much will I make'!$C$5/12)^(Calculations!$B$1*12-Calculations!$A517))</f>
        <v>2954.4452173006462</v>
      </c>
      <c r="N517" s="25">
        <f t="shared" si="107"/>
        <v>5406080.5755996238</v>
      </c>
      <c r="O517" s="25">
        <f t="shared" si="96"/>
        <v>2249.1958451249261</v>
      </c>
      <c r="P517" s="25">
        <f t="shared" si="108"/>
        <v>108254028.7650656</v>
      </c>
      <c r="Q517" s="25">
        <f>O517/((1+'How much will I make'!$C$5/12)^(Calculations!$B$1*12-Calculations!$A517))</f>
        <v>2579.9940302445707</v>
      </c>
      <c r="R517" s="25">
        <f t="shared" si="109"/>
        <v>21842819.980004538</v>
      </c>
      <c r="S517" s="25">
        <f t="shared" si="97"/>
        <v>1965.2181104893255</v>
      </c>
      <c r="T517" s="25">
        <f t="shared" si="110"/>
        <v>580271100.44236434</v>
      </c>
      <c r="U517" s="25">
        <f>S517/((1+'How much will I make'!$C$5/12)^(Calculations!$B$1*12-Calculations!$A517))</f>
        <v>2254.2505598970461</v>
      </c>
      <c r="V517" s="25">
        <f t="shared" si="111"/>
        <v>105348392.28071234</v>
      </c>
      <c r="W517" s="25">
        <f t="shared" si="98"/>
        <v>1718.0389569710906</v>
      </c>
      <c r="X517" s="25">
        <f t="shared" si="112"/>
        <v>3284695999.1201177</v>
      </c>
      <c r="Y517" s="25">
        <f>W517/((1+'How much will I make'!$C$5/12)^(Calculations!$B$1*12-Calculations!$A517))</f>
        <v>1970.71778445635</v>
      </c>
      <c r="Z517" s="25">
        <f t="shared" si="113"/>
        <v>560038179.39823055</v>
      </c>
      <c r="AA517" s="25">
        <f t="shared" si="99"/>
        <v>1502.7685037474721</v>
      </c>
      <c r="AB517" s="25">
        <f t="shared" si="114"/>
        <v>19205027625.185768</v>
      </c>
      <c r="AC517" s="25">
        <f>AA517/((1+'How much will I make'!$C$5/12)^(Calculations!$B$1*12-Calculations!$A517))</f>
        <v>1723.7866488645845</v>
      </c>
      <c r="AD517" s="25">
        <f t="shared" si="115"/>
        <v>3144506279.3239951</v>
      </c>
      <c r="AE517" s="25">
        <f t="shared" si="100"/>
        <v>1315.182660619718</v>
      </c>
      <c r="AF517" s="25">
        <f t="shared" si="116"/>
        <v>114565001548.91676</v>
      </c>
      <c r="AG517" s="25">
        <f>AE517/((1+'How much will I make'!$C$5/12)^(Calculations!$B$1*12-Calculations!$A517))</f>
        <v>1508.6118091648789</v>
      </c>
      <c r="AH517" s="25">
        <f t="shared" si="117"/>
        <v>18238827426.757587</v>
      </c>
    </row>
    <row r="518" spans="1:34" ht="15.75" customHeight="1">
      <c r="A518" s="22">
        <f t="shared" si="101"/>
        <v>514</v>
      </c>
      <c r="B518" s="22">
        <f t="shared" si="92"/>
        <v>3880.793777558717</v>
      </c>
      <c r="C518" s="25">
        <f t="shared" si="93"/>
        <v>3369.173188156486</v>
      </c>
      <c r="D518" s="25">
        <f t="shared" si="102"/>
        <v>1799086.3560866097</v>
      </c>
      <c r="E518" s="25">
        <f>$C518/((1+'How much will I make'!$C$5/12)^(Calculations!$B$1*12-Calculations!$A518))</f>
        <v>3880.7937775587166</v>
      </c>
      <c r="F518" s="25">
        <f t="shared" si="103"/>
        <v>850198.44438967877</v>
      </c>
      <c r="G518" s="25">
        <f t="shared" si="94"/>
        <v>2926.714371364053</v>
      </c>
      <c r="H518" s="25">
        <f t="shared" si="104"/>
        <v>5466598.4678788669</v>
      </c>
      <c r="I518" s="25">
        <f>G518/((1+'How much will I make'!$C$5/12)^(Calculations!$B$1*12-Calculations!$A518))</f>
        <v>3371.1460607034105</v>
      </c>
      <c r="J518" s="25">
        <f t="shared" si="105"/>
        <v>1792149.79484627</v>
      </c>
      <c r="K518" s="25">
        <f t="shared" si="95"/>
        <v>2543.8381790868984</v>
      </c>
      <c r="L518" s="25">
        <f t="shared" si="106"/>
        <v>22259634.316638842</v>
      </c>
      <c r="M518" s="25">
        <f>K518/((1+'How much will I make'!$C$5/12)^(Calculations!$B$1*12-Calculations!$A518))</f>
        <v>2930.1287957590762</v>
      </c>
      <c r="N518" s="25">
        <f t="shared" si="107"/>
        <v>5409010.7043953827</v>
      </c>
      <c r="O518" s="25">
        <f t="shared" si="96"/>
        <v>2212.3237820900913</v>
      </c>
      <c r="P518" s="25">
        <f t="shared" si="108"/>
        <v>108256241.08884768</v>
      </c>
      <c r="Q518" s="25">
        <f>O518/((1+'How much will I make'!$C$5/12)^(Calculations!$B$1*12-Calculations!$A518))</f>
        <v>2548.2727921677929</v>
      </c>
      <c r="R518" s="25">
        <f t="shared" si="109"/>
        <v>21845368.252796706</v>
      </c>
      <c r="S518" s="25">
        <f t="shared" si="97"/>
        <v>1925.111618438523</v>
      </c>
      <c r="T518" s="25">
        <f t="shared" si="110"/>
        <v>580273025.55398273</v>
      </c>
      <c r="U518" s="25">
        <f>S518/((1+'How much will I make'!$C$5/12)^(Calculations!$B$1*12-Calculations!$A518))</f>
        <v>2217.4464691232165</v>
      </c>
      <c r="V518" s="25">
        <f t="shared" si="111"/>
        <v>105350609.72718146</v>
      </c>
      <c r="W518" s="25">
        <f t="shared" si="98"/>
        <v>1676.135567776674</v>
      </c>
      <c r="X518" s="25">
        <f t="shared" si="112"/>
        <v>3284697675.2556853</v>
      </c>
      <c r="Y518" s="25">
        <f>W518/((1+'How much will I make'!$C$5/12)^(Calculations!$B$1*12-Calculations!$A518))</f>
        <v>1930.6625449348794</v>
      </c>
      <c r="Z518" s="25">
        <f t="shared" si="113"/>
        <v>560040110.06077552</v>
      </c>
      <c r="AA518" s="25">
        <f t="shared" si="99"/>
        <v>1460.1799226696085</v>
      </c>
      <c r="AB518" s="25">
        <f t="shared" si="114"/>
        <v>19205029085.365692</v>
      </c>
      <c r="AC518" s="25">
        <f>AA518/((1+'How much will I make'!$C$5/12)^(Calculations!$B$1*12-Calculations!$A518))</f>
        <v>1681.9132889731368</v>
      </c>
      <c r="AD518" s="25">
        <f t="shared" si="115"/>
        <v>3144507961.2372842</v>
      </c>
      <c r="AE518" s="25">
        <f t="shared" si="100"/>
        <v>1272.7574135029529</v>
      </c>
      <c r="AF518" s="25">
        <f t="shared" si="116"/>
        <v>114565002821.67418</v>
      </c>
      <c r="AG518" s="25">
        <f>AE518/((1+'How much will I make'!$C$5/12)^(Calculations!$B$1*12-Calculations!$A518))</f>
        <v>1466.0300242287731</v>
      </c>
      <c r="AH518" s="25">
        <f t="shared" si="117"/>
        <v>18238828892.787613</v>
      </c>
    </row>
    <row r="519" spans="1:34" ht="15.75" customHeight="1">
      <c r="A519" s="22">
        <f t="shared" si="101"/>
        <v>515</v>
      </c>
      <c r="B519" s="22">
        <f t="shared" si="92"/>
        <v>3880.793777558717</v>
      </c>
      <c r="C519" s="25">
        <f t="shared" si="93"/>
        <v>3355.1932164213968</v>
      </c>
      <c r="D519" s="25">
        <f t="shared" si="102"/>
        <v>1802441.5493030311</v>
      </c>
      <c r="E519" s="25">
        <f>$C519/((1+'How much will I make'!$C$5/12)^(Calculations!$B$1*12-Calculations!$A519))</f>
        <v>3880.7937775587175</v>
      </c>
      <c r="F519" s="25">
        <f t="shared" si="103"/>
        <v>854079.23816723749</v>
      </c>
      <c r="G519" s="25">
        <f t="shared" si="94"/>
        <v>2902.5266492866645</v>
      </c>
      <c r="H519" s="25">
        <f t="shared" si="104"/>
        <v>5469500.9945281539</v>
      </c>
      <c r="I519" s="25">
        <f>G519/((1+'How much will I make'!$C$5/12)^(Calculations!$B$1*12-Calculations!$A519))</f>
        <v>3357.21570508067</v>
      </c>
      <c r="J519" s="25">
        <f t="shared" si="105"/>
        <v>1795507.0105513507</v>
      </c>
      <c r="K519" s="25">
        <f t="shared" si="95"/>
        <v>2512.4327694685421</v>
      </c>
      <c r="L519" s="25">
        <f t="shared" si="106"/>
        <v>22262146.749408312</v>
      </c>
      <c r="M519" s="25">
        <f>K519/((1+'How much will I make'!$C$5/12)^(Calculations!$B$1*12-Calculations!$A519))</f>
        <v>2906.012509374229</v>
      </c>
      <c r="N519" s="25">
        <f t="shared" si="107"/>
        <v>5411916.7169047566</v>
      </c>
      <c r="O519" s="25">
        <f t="shared" si="96"/>
        <v>2176.0561791050081</v>
      </c>
      <c r="P519" s="25">
        <f t="shared" si="108"/>
        <v>108258417.14502679</v>
      </c>
      <c r="Q519" s="25">
        <f>O519/((1+'How much will I make'!$C$5/12)^(Calculations!$B$1*12-Calculations!$A519))</f>
        <v>2516.9415693132714</v>
      </c>
      <c r="R519" s="25">
        <f t="shared" si="109"/>
        <v>21847885.194366019</v>
      </c>
      <c r="S519" s="25">
        <f t="shared" si="97"/>
        <v>1885.8236262254925</v>
      </c>
      <c r="T519" s="25">
        <f t="shared" si="110"/>
        <v>580274911.37760901</v>
      </c>
      <c r="U519" s="25">
        <f>S519/((1+'How much will I make'!$C$5/12)^(Calculations!$B$1*12-Calculations!$A519))</f>
        <v>2181.2432614640629</v>
      </c>
      <c r="V519" s="25">
        <f t="shared" si="111"/>
        <v>105352790.97044294</v>
      </c>
      <c r="W519" s="25">
        <f t="shared" si="98"/>
        <v>1635.2542124650479</v>
      </c>
      <c r="X519" s="25">
        <f t="shared" si="112"/>
        <v>3284699310.5098977</v>
      </c>
      <c r="Y519" s="25">
        <f>W519/((1+'How much will I make'!$C$5/12)^(Calculations!$B$1*12-Calculations!$A519))</f>
        <v>1891.4214362979922</v>
      </c>
      <c r="Z519" s="25">
        <f t="shared" si="113"/>
        <v>560042001.48221183</v>
      </c>
      <c r="AA519" s="25">
        <f t="shared" si="99"/>
        <v>1418.7983054279598</v>
      </c>
      <c r="AB519" s="25">
        <f t="shared" si="114"/>
        <v>19205030504.163998</v>
      </c>
      <c r="AC519" s="25">
        <f>AA519/((1+'How much will I make'!$C$5/12)^(Calculations!$B$1*12-Calculations!$A519))</f>
        <v>1641.0570957187292</v>
      </c>
      <c r="AD519" s="25">
        <f t="shared" si="115"/>
        <v>3144509602.2943797</v>
      </c>
      <c r="AE519" s="25">
        <f t="shared" si="100"/>
        <v>1231.7007227447932</v>
      </c>
      <c r="AF519" s="25">
        <f t="shared" si="116"/>
        <v>114565004053.37491</v>
      </c>
      <c r="AG519" s="25">
        <f>AE519/((1+'How much will I make'!$C$5/12)^(Calculations!$B$1*12-Calculations!$A519))</f>
        <v>1424.6501445126389</v>
      </c>
      <c r="AH519" s="25">
        <f t="shared" si="117"/>
        <v>18238830317.437756</v>
      </c>
    </row>
    <row r="520" spans="1:34" ht="15.75" customHeight="1">
      <c r="A520" s="22">
        <f t="shared" si="101"/>
        <v>516</v>
      </c>
      <c r="B520" s="22">
        <f t="shared" si="92"/>
        <v>3880.793777558717</v>
      </c>
      <c r="C520" s="25">
        <f t="shared" si="93"/>
        <v>3341.2712528677812</v>
      </c>
      <c r="D520" s="25">
        <f t="shared" si="102"/>
        <v>1805782.8205558988</v>
      </c>
      <c r="E520" s="25">
        <f>$C520/((1+'How much will I make'!$C$5/12)^(Calculations!$B$1*12-Calculations!$A520))</f>
        <v>3880.793777558717</v>
      </c>
      <c r="F520" s="25">
        <f t="shared" si="103"/>
        <v>857960.03194479621</v>
      </c>
      <c r="G520" s="25">
        <f t="shared" si="94"/>
        <v>2878.5388257388408</v>
      </c>
      <c r="H520" s="25">
        <f t="shared" si="104"/>
        <v>5472379.5333538931</v>
      </c>
      <c r="I520" s="25">
        <f>G520/((1+'How much will I make'!$C$5/12)^(Calculations!$B$1*12-Calculations!$A520))</f>
        <v>3343.3429129109149</v>
      </c>
      <c r="J520" s="25">
        <f t="shared" si="105"/>
        <v>1798850.3534642616</v>
      </c>
      <c r="K520" s="25">
        <f t="shared" si="95"/>
        <v>2481.4150809565849</v>
      </c>
      <c r="L520" s="25">
        <f t="shared" si="106"/>
        <v>22264628.164489269</v>
      </c>
      <c r="M520" s="25">
        <f>K520/((1+'How much will I make'!$C$5/12)^(Calculations!$B$1*12-Calculations!$A520))</f>
        <v>2882.094710943165</v>
      </c>
      <c r="N520" s="25">
        <f t="shared" si="107"/>
        <v>5414798.8116156999</v>
      </c>
      <c r="O520" s="25">
        <f t="shared" si="96"/>
        <v>2140.3831269885327</v>
      </c>
      <c r="P520" s="25">
        <f t="shared" si="108"/>
        <v>108260557.52815378</v>
      </c>
      <c r="Q520" s="25">
        <f>O520/((1+'How much will I make'!$C$5/12)^(Calculations!$B$1*12-Calculations!$A520))</f>
        <v>2485.9955664118784</v>
      </c>
      <c r="R520" s="25">
        <f t="shared" si="109"/>
        <v>21850371.189932432</v>
      </c>
      <c r="S520" s="25">
        <f t="shared" si="97"/>
        <v>1847.3374297719108</v>
      </c>
      <c r="T520" s="25">
        <f t="shared" si="110"/>
        <v>580276758.71503878</v>
      </c>
      <c r="U520" s="25">
        <f>S520/((1+'How much will I make'!$C$5/12)^(Calculations!$B$1*12-Calculations!$A520))</f>
        <v>2145.6311265830168</v>
      </c>
      <c r="V520" s="25">
        <f t="shared" si="111"/>
        <v>105354936.60156952</v>
      </c>
      <c r="W520" s="25">
        <f t="shared" si="98"/>
        <v>1595.3699633805343</v>
      </c>
      <c r="X520" s="25">
        <f t="shared" si="112"/>
        <v>3284700905.8798609</v>
      </c>
      <c r="Y520" s="25">
        <f>W520/((1+'How much will I make'!$C$5/12)^(Calculations!$B$1*12-Calculations!$A520))</f>
        <v>1852.9779111699836</v>
      </c>
      <c r="Z520" s="25">
        <f t="shared" si="113"/>
        <v>560043854.46012294</v>
      </c>
      <c r="AA520" s="25">
        <f t="shared" si="99"/>
        <v>1378.5894465696776</v>
      </c>
      <c r="AB520" s="25">
        <f t="shared" si="114"/>
        <v>19205031882.753445</v>
      </c>
      <c r="AC520" s="25">
        <f>AA520/((1+'How much will I make'!$C$5/12)^(Calculations!$B$1*12-Calculations!$A520))</f>
        <v>1601.1933606000555</v>
      </c>
      <c r="AD520" s="25">
        <f t="shared" si="115"/>
        <v>3144511203.4877405</v>
      </c>
      <c r="AE520" s="25">
        <f t="shared" si="100"/>
        <v>1191.9684413659284</v>
      </c>
      <c r="AF520" s="25">
        <f t="shared" si="116"/>
        <v>114565005245.34335</v>
      </c>
      <c r="AG520" s="25">
        <f>AE520/((1+'How much will I make'!$C$5/12)^(Calculations!$B$1*12-Calculations!$A520))</f>
        <v>1384.4382452723619</v>
      </c>
      <c r="AH520" s="25">
        <f t="shared" si="117"/>
        <v>18238831701.875999</v>
      </c>
    </row>
    <row r="521" spans="1:34" ht="15.75" customHeight="1">
      <c r="A521" s="22">
        <f t="shared" si="101"/>
        <v>517</v>
      </c>
      <c r="B521" s="22">
        <f>B520*(1+'How much will I make'!$C$4)</f>
        <v>4074.833466436653</v>
      </c>
      <c r="C521" s="25">
        <f t="shared" si="93"/>
        <v>3493.7774096376802</v>
      </c>
      <c r="D521" s="25">
        <f t="shared" si="102"/>
        <v>1809276.5979655364</v>
      </c>
      <c r="E521" s="25">
        <f>$C521/((1+'How much will I make'!$C$5/12)^(Calculations!$B$1*12-Calculations!$A521))</f>
        <v>4074.833466436653</v>
      </c>
      <c r="F521" s="25">
        <f t="shared" si="103"/>
        <v>862034.86541123281</v>
      </c>
      <c r="G521" s="25">
        <f t="shared" si="94"/>
        <v>2997.4867110999503</v>
      </c>
      <c r="H521" s="25">
        <f t="shared" si="104"/>
        <v>5475377.0200649928</v>
      </c>
      <c r="I521" s="25">
        <f>G521/((1+'How much will I make'!$C$5/12)^(Calculations!$B$1*12-Calculations!$A521))</f>
        <v>3496.0038186450702</v>
      </c>
      <c r="J521" s="25">
        <f t="shared" si="105"/>
        <v>1802346.3572829068</v>
      </c>
      <c r="K521" s="25">
        <f t="shared" si="95"/>
        <v>2573.3193432142361</v>
      </c>
      <c r="L521" s="25">
        <f t="shared" si="106"/>
        <v>22267201.483832482</v>
      </c>
      <c r="M521" s="25">
        <f>K521/((1+'How much will I make'!$C$5/12)^(Calculations!$B$1*12-Calculations!$A521))</f>
        <v>3001.2924551611845</v>
      </c>
      <c r="N521" s="25">
        <f t="shared" si="107"/>
        <v>5417800.1040708609</v>
      </c>
      <c r="O521" s="25">
        <f t="shared" si="96"/>
        <v>2210.5596229553698</v>
      </c>
      <c r="P521" s="25">
        <f t="shared" si="108"/>
        <v>108262768.08777674</v>
      </c>
      <c r="Q521" s="25">
        <f>O521/((1+'How much will I make'!$C$5/12)^(Calculations!$B$1*12-Calculations!$A521))</f>
        <v>2578.2015495103519</v>
      </c>
      <c r="R521" s="25">
        <f t="shared" si="109"/>
        <v>21852949.391481943</v>
      </c>
      <c r="S521" s="25">
        <f t="shared" si="97"/>
        <v>1900.1184991939656</v>
      </c>
      <c r="T521" s="25">
        <f t="shared" si="110"/>
        <v>580278658.83353794</v>
      </c>
      <c r="U521" s="25">
        <f>S521/((1+'How much will I make'!$C$5/12)^(Calculations!$B$1*12-Calculations!$A521))</f>
        <v>2216.1304350278874</v>
      </c>
      <c r="V521" s="25">
        <f t="shared" si="111"/>
        <v>105357152.73200455</v>
      </c>
      <c r="W521" s="25">
        <f t="shared" si="98"/>
        <v>1634.2814259020111</v>
      </c>
      <c r="X521" s="25">
        <f t="shared" si="112"/>
        <v>3284702540.1612868</v>
      </c>
      <c r="Y521" s="25">
        <f>W521/((1+'How much will I make'!$C$5/12)^(Calculations!$B$1*12-Calculations!$A521))</f>
        <v>1906.0815464291236</v>
      </c>
      <c r="Z521" s="25">
        <f t="shared" si="113"/>
        <v>560045760.54166937</v>
      </c>
      <c r="AA521" s="25">
        <f t="shared" si="99"/>
        <v>1406.4961155285785</v>
      </c>
      <c r="AB521" s="25">
        <f t="shared" si="114"/>
        <v>19205033289.249561</v>
      </c>
      <c r="AC521" s="25">
        <f>AA521/((1+'How much will I make'!$C$5/12)^(Calculations!$B$1*12-Calculations!$A521))</f>
        <v>1640.4128740884378</v>
      </c>
      <c r="AD521" s="25">
        <f t="shared" si="115"/>
        <v>3144512843.9006147</v>
      </c>
      <c r="AE521" s="25">
        <f t="shared" si="100"/>
        <v>1211.1937388073145</v>
      </c>
      <c r="AF521" s="25">
        <f t="shared" si="116"/>
        <v>114565006456.53709</v>
      </c>
      <c r="AG521" s="25">
        <f>AE521/((1+'How much will I make'!$C$5/12)^(Calculations!$B$1*12-Calculations!$A521))</f>
        <v>1412.6294272829484</v>
      </c>
      <c r="AH521" s="25">
        <f t="shared" si="117"/>
        <v>18238833114.505428</v>
      </c>
    </row>
    <row r="522" spans="1:34" ht="15.75" customHeight="1">
      <c r="A522" s="22">
        <f t="shared" si="101"/>
        <v>518</v>
      </c>
      <c r="B522" s="22">
        <f t="shared" ref="B522:B532" si="118">B521</f>
        <v>4074.833466436653</v>
      </c>
      <c r="C522" s="25">
        <f t="shared" si="93"/>
        <v>3479.2804079379384</v>
      </c>
      <c r="D522" s="25">
        <f t="shared" si="102"/>
        <v>1812755.8783734743</v>
      </c>
      <c r="E522" s="25">
        <f>$C522/((1+'How much will I make'!$C$5/12)^(Calculations!$B$1*12-Calculations!$A522))</f>
        <v>4074.833466436653</v>
      </c>
      <c r="F522" s="25">
        <f t="shared" si="103"/>
        <v>866109.69887766941</v>
      </c>
      <c r="G522" s="25">
        <f t="shared" si="94"/>
        <v>2972.7140936528431</v>
      </c>
      <c r="H522" s="25">
        <f t="shared" si="104"/>
        <v>5478349.7341586454</v>
      </c>
      <c r="I522" s="25">
        <f>G522/((1+'How much will I make'!$C$5/12)^(Calculations!$B$1*12-Calculations!$A522))</f>
        <v>3481.5575218738099</v>
      </c>
      <c r="J522" s="25">
        <f t="shared" si="105"/>
        <v>1805827.9148047806</v>
      </c>
      <c r="K522" s="25">
        <f t="shared" si="95"/>
        <v>2541.5499686066528</v>
      </c>
      <c r="L522" s="25">
        <f t="shared" si="106"/>
        <v>22269743.03380109</v>
      </c>
      <c r="M522" s="25">
        <f>K522/((1+'How much will I make'!$C$5/12)^(Calculations!$B$1*12-Calculations!$A522))</f>
        <v>2976.5904596454548</v>
      </c>
      <c r="N522" s="25">
        <f t="shared" si="107"/>
        <v>5420776.6945305066</v>
      </c>
      <c r="O522" s="25">
        <f t="shared" si="96"/>
        <v>2174.3209406118394</v>
      </c>
      <c r="P522" s="25">
        <f t="shared" si="108"/>
        <v>108264942.40871735</v>
      </c>
      <c r="Q522" s="25">
        <f>O522/((1+'How much will I make'!$C$5/12)^(Calculations!$B$1*12-Calculations!$A522))</f>
        <v>2546.5023501311266</v>
      </c>
      <c r="R522" s="25">
        <f t="shared" si="109"/>
        <v>21855495.893832076</v>
      </c>
      <c r="S522" s="25">
        <f t="shared" si="97"/>
        <v>1861.3405706389869</v>
      </c>
      <c r="T522" s="25">
        <f t="shared" si="110"/>
        <v>580280520.17410862</v>
      </c>
      <c r="U522" s="25">
        <f>S522/((1+'How much will I make'!$C$5/12)^(Calculations!$B$1*12-Calculations!$A522))</f>
        <v>2179.9487136396774</v>
      </c>
      <c r="V522" s="25">
        <f t="shared" si="111"/>
        <v>105359332.6807182</v>
      </c>
      <c r="W522" s="25">
        <f t="shared" si="98"/>
        <v>1594.4209033190357</v>
      </c>
      <c r="X522" s="25">
        <f t="shared" si="112"/>
        <v>3284704134.58219</v>
      </c>
      <c r="Y522" s="25">
        <f>W522/((1+'How much will I make'!$C$5/12)^(Calculations!$B$1*12-Calculations!$A522))</f>
        <v>1867.3400515830042</v>
      </c>
      <c r="Z522" s="25">
        <f t="shared" si="113"/>
        <v>560047627.8817209</v>
      </c>
      <c r="AA522" s="25">
        <f t="shared" si="99"/>
        <v>1366.6359017281736</v>
      </c>
      <c r="AB522" s="25">
        <f t="shared" si="114"/>
        <v>19205034655.885464</v>
      </c>
      <c r="AC522" s="25">
        <f>AA522/((1+'How much will I make'!$C$5/12)^(Calculations!$B$1*12-Calculations!$A522))</f>
        <v>1600.5647880781928</v>
      </c>
      <c r="AD522" s="25">
        <f t="shared" si="115"/>
        <v>3144514444.4654026</v>
      </c>
      <c r="AE522" s="25">
        <f t="shared" si="100"/>
        <v>1172.1229730393363</v>
      </c>
      <c r="AF522" s="25">
        <f t="shared" si="116"/>
        <v>114565007628.66006</v>
      </c>
      <c r="AG522" s="25">
        <f>AE522/((1+'How much will I make'!$C$5/12)^(Calculations!$B$1*12-Calculations!$A522))</f>
        <v>1372.7568224806071</v>
      </c>
      <c r="AH522" s="25">
        <f t="shared" si="117"/>
        <v>18238834487.262249</v>
      </c>
    </row>
    <row r="523" spans="1:34" ht="15.75" customHeight="1">
      <c r="A523" s="22">
        <f t="shared" si="101"/>
        <v>519</v>
      </c>
      <c r="B523" s="22">
        <f t="shared" si="118"/>
        <v>4074.833466436653</v>
      </c>
      <c r="C523" s="25">
        <f t="shared" si="93"/>
        <v>3464.8435597722205</v>
      </c>
      <c r="D523" s="25">
        <f t="shared" si="102"/>
        <v>1816220.7219332466</v>
      </c>
      <c r="E523" s="25">
        <f>$C523/((1+'How much will I make'!$C$5/12)^(Calculations!$B$1*12-Calculations!$A523))</f>
        <v>4074.833466436653</v>
      </c>
      <c r="F523" s="25">
        <f t="shared" si="103"/>
        <v>870184.532344106</v>
      </c>
      <c r="G523" s="25">
        <f t="shared" si="94"/>
        <v>2948.1462085813328</v>
      </c>
      <c r="H523" s="25">
        <f t="shared" si="104"/>
        <v>5481297.8803672269</v>
      </c>
      <c r="I523" s="25">
        <f>G523/((1+'How much will I make'!$C$5/12)^(Calculations!$B$1*12-Calculations!$A523))</f>
        <v>3467.1709205437542</v>
      </c>
      <c r="J523" s="25">
        <f t="shared" si="105"/>
        <v>1809295.0857253245</v>
      </c>
      <c r="K523" s="25">
        <f t="shared" si="95"/>
        <v>2510.1728085003983</v>
      </c>
      <c r="L523" s="25">
        <f t="shared" si="106"/>
        <v>22272253.206609592</v>
      </c>
      <c r="M523" s="25">
        <f>K523/((1+'How much will I make'!$C$5/12)^(Calculations!$B$1*12-Calculations!$A523))</f>
        <v>2952.0917727347933</v>
      </c>
      <c r="N523" s="25">
        <f t="shared" si="107"/>
        <v>5423728.7863032417</v>
      </c>
      <c r="O523" s="25">
        <f t="shared" si="96"/>
        <v>2138.6763350280389</v>
      </c>
      <c r="P523" s="25">
        <f t="shared" si="108"/>
        <v>108267081.08505237</v>
      </c>
      <c r="Q523" s="25">
        <f>O523/((1+'How much will I make'!$C$5/12)^(Calculations!$B$1*12-Calculations!$A523))</f>
        <v>2515.192895006564</v>
      </c>
      <c r="R523" s="25">
        <f t="shared" si="109"/>
        <v>21858011.086727083</v>
      </c>
      <c r="S523" s="25">
        <f t="shared" si="97"/>
        <v>1823.3540283810491</v>
      </c>
      <c r="T523" s="25">
        <f t="shared" si="110"/>
        <v>580282343.52813697</v>
      </c>
      <c r="U523" s="25">
        <f>S523/((1+'How much will I make'!$C$5/12)^(Calculations!$B$1*12-Calculations!$A523))</f>
        <v>2144.3577142333165</v>
      </c>
      <c r="V523" s="25">
        <f t="shared" si="111"/>
        <v>105361477.03843243</v>
      </c>
      <c r="W523" s="25">
        <f t="shared" si="98"/>
        <v>1555.532588603937</v>
      </c>
      <c r="X523" s="25">
        <f t="shared" si="112"/>
        <v>3284705690.1147785</v>
      </c>
      <c r="Y523" s="25">
        <f>W523/((1+'How much will I make'!$C$5/12)^(Calculations!$B$1*12-Calculations!$A523))</f>
        <v>1829.3859854939185</v>
      </c>
      <c r="Z523" s="25">
        <f t="shared" si="113"/>
        <v>560049457.26770639</v>
      </c>
      <c r="AA523" s="25">
        <f t="shared" si="99"/>
        <v>1327.9053296144195</v>
      </c>
      <c r="AB523" s="25">
        <f t="shared" si="114"/>
        <v>19205035983.790794</v>
      </c>
      <c r="AC523" s="25">
        <f>AA523/((1+'How much will I make'!$C$5/12)^(Calculations!$B$1*12-Calculations!$A523))</f>
        <v>1561.684671768601</v>
      </c>
      <c r="AD523" s="25">
        <f t="shared" si="115"/>
        <v>3144516006.1500745</v>
      </c>
      <c r="AE523" s="25">
        <f t="shared" si="100"/>
        <v>1134.3125545541964</v>
      </c>
      <c r="AF523" s="25">
        <f t="shared" si="116"/>
        <v>114565008762.97263</v>
      </c>
      <c r="AG523" s="25">
        <f>AE523/((1+'How much will I make'!$C$5/12)^(Calculations!$B$1*12-Calculations!$A523))</f>
        <v>1334.0096541041382</v>
      </c>
      <c r="AH523" s="25">
        <f t="shared" si="117"/>
        <v>18238835821.271904</v>
      </c>
    </row>
    <row r="524" spans="1:34" ht="15.75" customHeight="1">
      <c r="A524" s="22">
        <f t="shared" si="101"/>
        <v>520</v>
      </c>
      <c r="B524" s="22">
        <f t="shared" si="118"/>
        <v>4074.833466436653</v>
      </c>
      <c r="C524" s="25">
        <f t="shared" si="93"/>
        <v>3450.4666155408008</v>
      </c>
      <c r="D524" s="25">
        <f t="shared" si="102"/>
        <v>1819671.1885487875</v>
      </c>
      <c r="E524" s="25">
        <f>$C524/((1+'How much will I make'!$C$5/12)^(Calculations!$B$1*12-Calculations!$A524))</f>
        <v>4074.833466436653</v>
      </c>
      <c r="F524" s="25">
        <f t="shared" si="103"/>
        <v>874259.3658105426</v>
      </c>
      <c r="G524" s="25">
        <f t="shared" si="94"/>
        <v>2923.7813638823131</v>
      </c>
      <c r="H524" s="25">
        <f t="shared" si="104"/>
        <v>5484221.661731109</v>
      </c>
      <c r="I524" s="25">
        <f>G524/((1+'How much will I make'!$C$5/12)^(Calculations!$B$1*12-Calculations!$A524))</f>
        <v>3452.8437679795229</v>
      </c>
      <c r="J524" s="25">
        <f t="shared" si="105"/>
        <v>1812747.9294933039</v>
      </c>
      <c r="K524" s="25">
        <f t="shared" si="95"/>
        <v>2479.183020741134</v>
      </c>
      <c r="L524" s="25">
        <f t="shared" si="106"/>
        <v>22274732.389630333</v>
      </c>
      <c r="M524" s="25">
        <f>K524/((1+'How much will I make'!$C$5/12)^(Calculations!$B$1*12-Calculations!$A524))</f>
        <v>2927.794721107346</v>
      </c>
      <c r="N524" s="25">
        <f t="shared" si="107"/>
        <v>5426656.5810243487</v>
      </c>
      <c r="O524" s="25">
        <f t="shared" si="96"/>
        <v>2103.6160672406941</v>
      </c>
      <c r="P524" s="25">
        <f t="shared" si="108"/>
        <v>108269184.70111962</v>
      </c>
      <c r="Q524" s="25">
        <f>O524/((1+'How much will I make'!$C$5/12)^(Calculations!$B$1*12-Calculations!$A524))</f>
        <v>2484.2683921991061</v>
      </c>
      <c r="R524" s="25">
        <f t="shared" si="109"/>
        <v>21860495.355119281</v>
      </c>
      <c r="S524" s="25">
        <f t="shared" si="97"/>
        <v>1786.142721679395</v>
      </c>
      <c r="T524" s="25">
        <f t="shared" si="110"/>
        <v>580284129.67085862</v>
      </c>
      <c r="U524" s="25">
        <f>S524/((1+'How much will I make'!$C$5/12)^(Calculations!$B$1*12-Calculations!$A524))</f>
        <v>2109.3477923682822</v>
      </c>
      <c r="V524" s="25">
        <f t="shared" si="111"/>
        <v>105363586.38622481</v>
      </c>
      <c r="W524" s="25">
        <f t="shared" si="98"/>
        <v>1517.5927693696949</v>
      </c>
      <c r="X524" s="25">
        <f t="shared" si="112"/>
        <v>3284707207.7075477</v>
      </c>
      <c r="Y524" s="25">
        <f>W524/((1+'How much will I make'!$C$5/12)^(Calculations!$B$1*12-Calculations!$A524))</f>
        <v>1792.2033435123349</v>
      </c>
      <c r="Z524" s="25">
        <f t="shared" si="113"/>
        <v>560051249.4710499</v>
      </c>
      <c r="AA524" s="25">
        <f t="shared" si="99"/>
        <v>1290.2723850504485</v>
      </c>
      <c r="AB524" s="25">
        <f t="shared" si="114"/>
        <v>19205037274.063179</v>
      </c>
      <c r="AC524" s="25">
        <f>AA524/((1+'How much will I make'!$C$5/12)^(Calculations!$B$1*12-Calculations!$A524))</f>
        <v>1523.7490117256393</v>
      </c>
      <c r="AD524" s="25">
        <f t="shared" si="115"/>
        <v>3144517529.899086</v>
      </c>
      <c r="AE524" s="25">
        <f t="shared" si="100"/>
        <v>1097.721826987932</v>
      </c>
      <c r="AF524" s="25">
        <f t="shared" si="116"/>
        <v>114565009860.69446</v>
      </c>
      <c r="AG524" s="25">
        <f>AE524/((1+'How much will I make'!$C$5/12)^(Calculations!$B$1*12-Calculations!$A524))</f>
        <v>1296.3561558028116</v>
      </c>
      <c r="AH524" s="25">
        <f t="shared" si="117"/>
        <v>18238837117.628059</v>
      </c>
    </row>
    <row r="525" spans="1:34" ht="15.75" customHeight="1">
      <c r="A525" s="22">
        <f t="shared" si="101"/>
        <v>521</v>
      </c>
      <c r="B525" s="22">
        <f t="shared" si="118"/>
        <v>4074.833466436653</v>
      </c>
      <c r="C525" s="25">
        <f t="shared" si="93"/>
        <v>3436.149326679636</v>
      </c>
      <c r="D525" s="25">
        <f t="shared" si="102"/>
        <v>1823107.337875467</v>
      </c>
      <c r="E525" s="25">
        <f>$C525/((1+'How much will I make'!$C$5/12)^(Calculations!$B$1*12-Calculations!$A525))</f>
        <v>4074.833466436653</v>
      </c>
      <c r="F525" s="25">
        <f t="shared" si="103"/>
        <v>878334.1992769792</v>
      </c>
      <c r="G525" s="25">
        <f t="shared" si="94"/>
        <v>2899.6178815361786</v>
      </c>
      <c r="H525" s="25">
        <f t="shared" si="104"/>
        <v>5487121.2796126455</v>
      </c>
      <c r="I525" s="25">
        <f>G525/((1+'How much will I make'!$C$5/12)^(Calculations!$B$1*12-Calculations!$A525))</f>
        <v>3438.5758185250625</v>
      </c>
      <c r="J525" s="25">
        <f t="shared" si="105"/>
        <v>1816186.505311829</v>
      </c>
      <c r="K525" s="25">
        <f t="shared" si="95"/>
        <v>2448.5758229542062</v>
      </c>
      <c r="L525" s="25">
        <f t="shared" si="106"/>
        <v>22277180.965453286</v>
      </c>
      <c r="M525" s="25">
        <f>K525/((1+'How much will I make'!$C$5/12)^(Calculations!$B$1*12-Calculations!$A525))</f>
        <v>2903.6976452134581</v>
      </c>
      <c r="N525" s="25">
        <f t="shared" si="107"/>
        <v>5429560.2786695622</v>
      </c>
      <c r="O525" s="25">
        <f t="shared" si="96"/>
        <v>2069.1305579416662</v>
      </c>
      <c r="P525" s="25">
        <f t="shared" si="108"/>
        <v>108271253.83167756</v>
      </c>
      <c r="Q525" s="25">
        <f>O525/((1+'How much will I make'!$C$5/12)^(Calculations!$B$1*12-Calculations!$A525))</f>
        <v>2453.724108688461</v>
      </c>
      <c r="R525" s="25">
        <f t="shared" si="109"/>
        <v>21862949.079227969</v>
      </c>
      <c r="S525" s="25">
        <f t="shared" si="97"/>
        <v>1749.6908294002237</v>
      </c>
      <c r="T525" s="25">
        <f t="shared" si="110"/>
        <v>580285879.36168802</v>
      </c>
      <c r="U525" s="25">
        <f>S525/((1+'How much will I make'!$C$5/12)^(Calculations!$B$1*12-Calculations!$A525))</f>
        <v>2074.9094610643101</v>
      </c>
      <c r="V525" s="25">
        <f t="shared" si="111"/>
        <v>105365661.29568587</v>
      </c>
      <c r="W525" s="25">
        <f t="shared" si="98"/>
        <v>1480.5783115801901</v>
      </c>
      <c r="X525" s="25">
        <f t="shared" si="112"/>
        <v>3284708688.2858591</v>
      </c>
      <c r="Y525" s="25">
        <f>W525/((1+'How much will I make'!$C$5/12)^(Calculations!$B$1*12-Calculations!$A525))</f>
        <v>1755.7764462864743</v>
      </c>
      <c r="Z525" s="25">
        <f t="shared" si="113"/>
        <v>560053005.24749625</v>
      </c>
      <c r="AA525" s="25">
        <f t="shared" si="99"/>
        <v>1253.7059611826223</v>
      </c>
      <c r="AB525" s="25">
        <f t="shared" si="114"/>
        <v>19205038527.769138</v>
      </c>
      <c r="AC525" s="25">
        <f>AA525/((1+'How much will I make'!$C$5/12)^(Calculations!$B$1*12-Calculations!$A525))</f>
        <v>1486.7348656918184</v>
      </c>
      <c r="AD525" s="25">
        <f t="shared" si="115"/>
        <v>3144519016.6339517</v>
      </c>
      <c r="AE525" s="25">
        <f t="shared" si="100"/>
        <v>1062.3114454721922</v>
      </c>
      <c r="AF525" s="25">
        <f t="shared" si="116"/>
        <v>114565010923.00591</v>
      </c>
      <c r="AG525" s="25">
        <f>AE525/((1+'How much will I make'!$C$5/12)^(Calculations!$B$1*12-Calculations!$A525))</f>
        <v>1259.7654578567644</v>
      </c>
      <c r="AH525" s="25">
        <f t="shared" si="117"/>
        <v>18238838377.393517</v>
      </c>
    </row>
    <row r="526" spans="1:34" ht="15.75" customHeight="1">
      <c r="A526" s="22">
        <f t="shared" si="101"/>
        <v>522</v>
      </c>
      <c r="B526" s="22">
        <f t="shared" si="118"/>
        <v>4074.833466436653</v>
      </c>
      <c r="C526" s="25">
        <f t="shared" si="93"/>
        <v>3421.8914456560678</v>
      </c>
      <c r="D526" s="25">
        <f t="shared" si="102"/>
        <v>1826529.2293211231</v>
      </c>
      <c r="E526" s="25">
        <f>$C526/((1+'How much will I make'!$C$5/12)^(Calculations!$B$1*12-Calculations!$A526))</f>
        <v>4074.833466436653</v>
      </c>
      <c r="F526" s="25">
        <f t="shared" si="103"/>
        <v>882409.0327434158</v>
      </c>
      <c r="G526" s="25">
        <f t="shared" si="94"/>
        <v>2875.6540973912511</v>
      </c>
      <c r="H526" s="25">
        <f t="shared" si="104"/>
        <v>5489996.9337100368</v>
      </c>
      <c r="I526" s="25">
        <f>G526/((1+'How much will I make'!$C$5/12)^(Calculations!$B$1*12-Calculations!$A526))</f>
        <v>3424.366827539422</v>
      </c>
      <c r="J526" s="25">
        <f t="shared" si="105"/>
        <v>1819610.8721393684</v>
      </c>
      <c r="K526" s="25">
        <f t="shared" si="95"/>
        <v>2418.3464918066234</v>
      </c>
      <c r="L526" s="25">
        <f t="shared" si="106"/>
        <v>22279599.311945092</v>
      </c>
      <c r="M526" s="25">
        <f>K526/((1+'How much will I make'!$C$5/12)^(Calculations!$B$1*12-Calculations!$A526))</f>
        <v>2879.7988991623197</v>
      </c>
      <c r="N526" s="25">
        <f t="shared" si="107"/>
        <v>5432440.0775687248</v>
      </c>
      <c r="O526" s="25">
        <f t="shared" si="96"/>
        <v>2035.2103848606555</v>
      </c>
      <c r="P526" s="25">
        <f t="shared" si="108"/>
        <v>108273289.04206242</v>
      </c>
      <c r="Q526" s="25">
        <f>O526/((1+'How much will I make'!$C$5/12)^(Calculations!$B$1*12-Calculations!$A526))</f>
        <v>2423.5553696472107</v>
      </c>
      <c r="R526" s="25">
        <f t="shared" si="109"/>
        <v>21865372.634597614</v>
      </c>
      <c r="S526" s="25">
        <f t="shared" si="97"/>
        <v>1713.9828532900151</v>
      </c>
      <c r="T526" s="25">
        <f t="shared" si="110"/>
        <v>580287593.34454131</v>
      </c>
      <c r="U526" s="25">
        <f>S526/((1+'How much will I make'!$C$5/12)^(Calculations!$B$1*12-Calculations!$A526))</f>
        <v>2041.0333882306081</v>
      </c>
      <c r="V526" s="25">
        <f t="shared" si="111"/>
        <v>105367702.3290741</v>
      </c>
      <c r="W526" s="25">
        <f t="shared" si="98"/>
        <v>1444.4666454440878</v>
      </c>
      <c r="X526" s="25">
        <f t="shared" si="112"/>
        <v>3284710132.7525043</v>
      </c>
      <c r="Y526" s="25">
        <f>W526/((1+'How much will I make'!$C$5/12)^(Calculations!$B$1*12-Calculations!$A526))</f>
        <v>1720.0899331505709</v>
      </c>
      <c r="Z526" s="25">
        <f t="shared" si="113"/>
        <v>560054725.3374294</v>
      </c>
      <c r="AA526" s="25">
        <f t="shared" si="99"/>
        <v>1218.175832728054</v>
      </c>
      <c r="AB526" s="25">
        <f t="shared" si="114"/>
        <v>19205039745.944969</v>
      </c>
      <c r="AC526" s="25">
        <f>AA526/((1+'How much will I make'!$C$5/12)^(Calculations!$B$1*12-Calculations!$A526))</f>
        <v>1450.6198487114509</v>
      </c>
      <c r="AD526" s="25">
        <f t="shared" si="115"/>
        <v>3144520467.2538004</v>
      </c>
      <c r="AE526" s="25">
        <f t="shared" si="100"/>
        <v>1028.0433343279278</v>
      </c>
      <c r="AF526" s="25">
        <f t="shared" si="116"/>
        <v>114565011951.04924</v>
      </c>
      <c r="AG526" s="25">
        <f>AE526/((1+'How much will I make'!$C$5/12)^(Calculations!$B$1*12-Calculations!$A526))</f>
        <v>1224.2075618688723</v>
      </c>
      <c r="AH526" s="25">
        <f t="shared" si="117"/>
        <v>18238839601.601078</v>
      </c>
    </row>
    <row r="527" spans="1:34" ht="15.75" customHeight="1">
      <c r="A527" s="22">
        <f t="shared" si="101"/>
        <v>523</v>
      </c>
      <c r="B527" s="22">
        <f t="shared" si="118"/>
        <v>4074.833466436653</v>
      </c>
      <c r="C527" s="25">
        <f t="shared" si="93"/>
        <v>3407.6927259645495</v>
      </c>
      <c r="D527" s="25">
        <f t="shared" si="102"/>
        <v>1829936.9220470877</v>
      </c>
      <c r="E527" s="25">
        <f>$C527/((1+'How much will I make'!$C$5/12)^(Calculations!$B$1*12-Calculations!$A527))</f>
        <v>4074.8334664366525</v>
      </c>
      <c r="F527" s="25">
        <f t="shared" si="103"/>
        <v>886483.86620985239</v>
      </c>
      <c r="G527" s="25">
        <f t="shared" si="94"/>
        <v>2851.8883610491753</v>
      </c>
      <c r="H527" s="25">
        <f t="shared" si="104"/>
        <v>5492848.8220710857</v>
      </c>
      <c r="I527" s="25">
        <f>G527/((1+'How much will I make'!$C$5/12)^(Calculations!$B$1*12-Calculations!$A527))</f>
        <v>3410.2165513925652</v>
      </c>
      <c r="J527" s="25">
        <f t="shared" si="105"/>
        <v>1823021.088690761</v>
      </c>
      <c r="K527" s="25">
        <f t="shared" si="95"/>
        <v>2388.4903622781467</v>
      </c>
      <c r="L527" s="25">
        <f t="shared" si="106"/>
        <v>22281987.802307371</v>
      </c>
      <c r="M527" s="25">
        <f>K527/((1+'How much will I make'!$C$5/12)^(Calculations!$B$1*12-Calculations!$A527))</f>
        <v>2856.0968506095428</v>
      </c>
      <c r="N527" s="25">
        <f t="shared" si="107"/>
        <v>5435296.1744193342</v>
      </c>
      <c r="O527" s="25">
        <f t="shared" si="96"/>
        <v>2001.8462801908092</v>
      </c>
      <c r="P527" s="25">
        <f t="shared" si="108"/>
        <v>108275290.8883426</v>
      </c>
      <c r="Q527" s="25">
        <f>O527/((1+'How much will I make'!$C$5/12)^(Calculations!$B$1*12-Calculations!$A527))</f>
        <v>2393.7575577253187</v>
      </c>
      <c r="R527" s="25">
        <f t="shared" si="109"/>
        <v>21867766.392155338</v>
      </c>
      <c r="S527" s="25">
        <f t="shared" si="97"/>
        <v>1679.0036113861377</v>
      </c>
      <c r="T527" s="25">
        <f t="shared" si="110"/>
        <v>580289272.34815276</v>
      </c>
      <c r="U527" s="25">
        <f>S527/((1+'How much will I make'!$C$5/12)^(Calculations!$B$1*12-Calculations!$A527))</f>
        <v>2007.7103941370472</v>
      </c>
      <c r="V527" s="25">
        <f t="shared" si="111"/>
        <v>105369710.03946824</v>
      </c>
      <c r="W527" s="25">
        <f t="shared" si="98"/>
        <v>1409.2357516527686</v>
      </c>
      <c r="X527" s="25">
        <f t="shared" si="112"/>
        <v>3284711541.988256</v>
      </c>
      <c r="Y527" s="25">
        <f>W527/((1+'How much will I make'!$C$5/12)^(Calculations!$B$1*12-Calculations!$A527))</f>
        <v>1685.1287556475102</v>
      </c>
      <c r="Z527" s="25">
        <f t="shared" si="113"/>
        <v>560056410.46618509</v>
      </c>
      <c r="AA527" s="25">
        <f t="shared" si="99"/>
        <v>1183.6526309908215</v>
      </c>
      <c r="AB527" s="25">
        <f t="shared" si="114"/>
        <v>19205040929.597599</v>
      </c>
      <c r="AC527" s="25">
        <f>AA527/((1+'How much will I make'!$C$5/12)^(Calculations!$B$1*12-Calculations!$A527))</f>
        <v>1415.3821195929534</v>
      </c>
      <c r="AD527" s="25">
        <f t="shared" si="115"/>
        <v>3144521882.63592</v>
      </c>
      <c r="AE527" s="25">
        <f t="shared" si="100"/>
        <v>994.88064612380106</v>
      </c>
      <c r="AF527" s="25">
        <f t="shared" si="116"/>
        <v>114565012945.92989</v>
      </c>
      <c r="AG527" s="25">
        <f>AE527/((1+'How much will I make'!$C$5/12)^(Calculations!$B$1*12-Calculations!$A527))</f>
        <v>1189.6533161709601</v>
      </c>
      <c r="AH527" s="25">
        <f t="shared" si="117"/>
        <v>18238840791.254395</v>
      </c>
    </row>
    <row r="528" spans="1:34" ht="15.75" customHeight="1">
      <c r="A528" s="22">
        <f t="shared" si="101"/>
        <v>524</v>
      </c>
      <c r="B528" s="22">
        <f t="shared" si="118"/>
        <v>4074.833466436653</v>
      </c>
      <c r="C528" s="25">
        <f t="shared" si="93"/>
        <v>3393.5529221223728</v>
      </c>
      <c r="D528" s="25">
        <f t="shared" si="102"/>
        <v>1833330.4749692101</v>
      </c>
      <c r="E528" s="25">
        <f>$C528/((1+'How much will I make'!$C$5/12)^(Calculations!$B$1*12-Calculations!$A528))</f>
        <v>4074.833466436653</v>
      </c>
      <c r="F528" s="25">
        <f t="shared" si="103"/>
        <v>890558.69967628899</v>
      </c>
      <c r="G528" s="25">
        <f t="shared" si="94"/>
        <v>2828.3190357512481</v>
      </c>
      <c r="H528" s="25">
        <f t="shared" si="104"/>
        <v>5495677.1411068365</v>
      </c>
      <c r="I528" s="25">
        <f>G528/((1+'How much will I make'!$C$5/12)^(Calculations!$B$1*12-Calculations!$A528))</f>
        <v>3396.124747461191</v>
      </c>
      <c r="J528" s="25">
        <f t="shared" si="105"/>
        <v>1826417.2134382222</v>
      </c>
      <c r="K528" s="25">
        <f t="shared" si="95"/>
        <v>2359.0028269413792</v>
      </c>
      <c r="L528" s="25">
        <f t="shared" si="106"/>
        <v>22284346.805134311</v>
      </c>
      <c r="M528" s="25">
        <f>K528/((1+'How much will I make'!$C$5/12)^(Calculations!$B$1*12-Calculations!$A528))</f>
        <v>2832.589880645678</v>
      </c>
      <c r="N528" s="25">
        <f t="shared" si="107"/>
        <v>5438128.7642999794</v>
      </c>
      <c r="O528" s="25">
        <f t="shared" si="96"/>
        <v>1969.0291280565332</v>
      </c>
      <c r="P528" s="25">
        <f t="shared" si="108"/>
        <v>108277259.91747066</v>
      </c>
      <c r="Q528" s="25">
        <f>O528/((1+'How much will I make'!$C$5/12)^(Calculations!$B$1*12-Calculations!$A528))</f>
        <v>2364.3261123434499</v>
      </c>
      <c r="R528" s="25">
        <f t="shared" si="109"/>
        <v>21870130.718267683</v>
      </c>
      <c r="S528" s="25">
        <f t="shared" si="97"/>
        <v>1644.7382315619311</v>
      </c>
      <c r="T528" s="25">
        <f t="shared" si="110"/>
        <v>580290917.0863843</v>
      </c>
      <c r="U528" s="25">
        <f>S528/((1+'How much will I make'!$C$5/12)^(Calculations!$B$1*12-Calculations!$A528))</f>
        <v>1974.9314489266469</v>
      </c>
      <c r="V528" s="25">
        <f t="shared" si="111"/>
        <v>105371684.97091717</v>
      </c>
      <c r="W528" s="25">
        <f t="shared" si="98"/>
        <v>1374.864147953921</v>
      </c>
      <c r="X528" s="25">
        <f t="shared" si="112"/>
        <v>3284712916.8524041</v>
      </c>
      <c r="Y528" s="25">
        <f>W528/((1+'How much will I make'!$C$5/12)^(Calculations!$B$1*12-Calculations!$A528))</f>
        <v>1650.8781711831305</v>
      </c>
      <c r="Z528" s="25">
        <f t="shared" si="113"/>
        <v>560058061.3443563</v>
      </c>
      <c r="AA528" s="25">
        <f t="shared" si="99"/>
        <v>1150.107819586224</v>
      </c>
      <c r="AB528" s="25">
        <f t="shared" si="114"/>
        <v>19205042079.705418</v>
      </c>
      <c r="AC528" s="25">
        <f>AA528/((1+'How much will I make'!$C$5/12)^(Calculations!$B$1*12-Calculations!$A528))</f>
        <v>1381.0003677000082</v>
      </c>
      <c r="AD528" s="25">
        <f t="shared" si="115"/>
        <v>3144523263.6362877</v>
      </c>
      <c r="AE528" s="25">
        <f t="shared" si="100"/>
        <v>962.78772205529106</v>
      </c>
      <c r="AF528" s="25">
        <f t="shared" si="116"/>
        <v>114565013908.71761</v>
      </c>
      <c r="AG528" s="25">
        <f>AE528/((1+'How much will I make'!$C$5/12)^(Calculations!$B$1*12-Calculations!$A528))</f>
        <v>1156.0743919241988</v>
      </c>
      <c r="AH528" s="25">
        <f t="shared" si="117"/>
        <v>18238841947.328785</v>
      </c>
    </row>
    <row r="529" spans="1:34" ht="15.75" customHeight="1">
      <c r="A529" s="22">
        <f t="shared" si="101"/>
        <v>525</v>
      </c>
      <c r="B529" s="22">
        <f t="shared" si="118"/>
        <v>4074.833466436653</v>
      </c>
      <c r="C529" s="25">
        <f t="shared" si="93"/>
        <v>3379.4717896654342</v>
      </c>
      <c r="D529" s="25">
        <f t="shared" si="102"/>
        <v>1836709.9467588756</v>
      </c>
      <c r="E529" s="25">
        <f>$C529/((1+'How much will I make'!$C$5/12)^(Calculations!$B$1*12-Calculations!$A529))</f>
        <v>4074.8334664366535</v>
      </c>
      <c r="F529" s="25">
        <f t="shared" si="103"/>
        <v>894633.53314272559</v>
      </c>
      <c r="G529" s="25">
        <f t="shared" si="94"/>
        <v>2804.9444982657014</v>
      </c>
      <c r="H529" s="25">
        <f t="shared" si="104"/>
        <v>5498482.0856051026</v>
      </c>
      <c r="I529" s="25">
        <f>G529/((1+'How much will I make'!$C$5/12)^(Calculations!$B$1*12-Calculations!$A529))</f>
        <v>3382.091174124575</v>
      </c>
      <c r="J529" s="25">
        <f t="shared" si="105"/>
        <v>1829799.3046123467</v>
      </c>
      <c r="K529" s="25">
        <f t="shared" si="95"/>
        <v>2329.8793352507455</v>
      </c>
      <c r="L529" s="25">
        <f t="shared" si="106"/>
        <v>22286676.684469562</v>
      </c>
      <c r="M529" s="25">
        <f>K529/((1+'How much will I make'!$C$5/12)^(Calculations!$B$1*12-Calculations!$A529))</f>
        <v>2809.2763836856316</v>
      </c>
      <c r="N529" s="25">
        <f t="shared" si="107"/>
        <v>5440938.0406836653</v>
      </c>
      <c r="O529" s="25">
        <f t="shared" si="96"/>
        <v>1936.7499620228195</v>
      </c>
      <c r="P529" s="25">
        <f t="shared" si="108"/>
        <v>108279196.66743268</v>
      </c>
      <c r="Q529" s="25">
        <f>O529/((1+'How much will I make'!$C$5/12)^(Calculations!$B$1*12-Calculations!$A529))</f>
        <v>2335.2565289949644</v>
      </c>
      <c r="R529" s="25">
        <f t="shared" si="109"/>
        <v>21872465.974796679</v>
      </c>
      <c r="S529" s="25">
        <f t="shared" si="97"/>
        <v>1611.1721452035242</v>
      </c>
      <c r="T529" s="25">
        <f t="shared" si="110"/>
        <v>580292528.25852954</v>
      </c>
      <c r="U529" s="25">
        <f>S529/((1+'How much will I make'!$C$5/12)^(Calculations!$B$1*12-Calculations!$A529))</f>
        <v>1942.6876701686604</v>
      </c>
      <c r="V529" s="25">
        <f t="shared" si="111"/>
        <v>105373627.65858734</v>
      </c>
      <c r="W529" s="25">
        <f t="shared" si="98"/>
        <v>1341.3308760526058</v>
      </c>
      <c r="X529" s="25">
        <f t="shared" si="112"/>
        <v>3284714258.18328</v>
      </c>
      <c r="Y529" s="25">
        <f>W529/((1+'How much will I make'!$C$5/12)^(Calculations!$B$1*12-Calculations!$A529))</f>
        <v>1617.3237368094894</v>
      </c>
      <c r="Z529" s="25">
        <f t="shared" si="113"/>
        <v>560059678.66809309</v>
      </c>
      <c r="AA529" s="25">
        <f t="shared" si="99"/>
        <v>1117.5136708530115</v>
      </c>
      <c r="AB529" s="25">
        <f t="shared" si="114"/>
        <v>19205043197.21909</v>
      </c>
      <c r="AC529" s="25">
        <f>AA529/((1+'How much will I make'!$C$5/12)^(Calculations!$B$1*12-Calculations!$A529))</f>
        <v>1347.453800063571</v>
      </c>
      <c r="AD529" s="25">
        <f t="shared" si="115"/>
        <v>3144524611.0900879</v>
      </c>
      <c r="AE529" s="25">
        <f t="shared" si="100"/>
        <v>931.7300536018945</v>
      </c>
      <c r="AF529" s="25">
        <f t="shared" si="116"/>
        <v>114565014840.44766</v>
      </c>
      <c r="AG529" s="25">
        <f>AE529/((1+'How much will I make'!$C$5/12)^(Calculations!$B$1*12-Calculations!$A529))</f>
        <v>1123.44325989408</v>
      </c>
      <c r="AH529" s="25">
        <f t="shared" si="117"/>
        <v>18238843070.772045</v>
      </c>
    </row>
    <row r="530" spans="1:34" ht="15.75" customHeight="1">
      <c r="A530" s="22">
        <f t="shared" si="101"/>
        <v>526</v>
      </c>
      <c r="B530" s="22">
        <f t="shared" si="118"/>
        <v>4074.833466436653</v>
      </c>
      <c r="C530" s="25">
        <f t="shared" si="93"/>
        <v>3365.4490851440005</v>
      </c>
      <c r="D530" s="25">
        <f t="shared" si="102"/>
        <v>1840075.3958440197</v>
      </c>
      <c r="E530" s="25">
        <f>$C530/((1+'How much will I make'!$C$5/12)^(Calculations!$B$1*12-Calculations!$A530))</f>
        <v>4074.833466436653</v>
      </c>
      <c r="F530" s="25">
        <f t="shared" si="103"/>
        <v>898708.36660916219</v>
      </c>
      <c r="G530" s="25">
        <f t="shared" si="94"/>
        <v>2781.7631387759016</v>
      </c>
      <c r="H530" s="25">
        <f t="shared" si="104"/>
        <v>5501263.8487438783</v>
      </c>
      <c r="I530" s="25">
        <f>G530/((1+'How much will I make'!$C$5/12)^(Calculations!$B$1*12-Calculations!$A530))</f>
        <v>3368.1155907604229</v>
      </c>
      <c r="J530" s="25">
        <f t="shared" si="105"/>
        <v>1833167.4202031072</v>
      </c>
      <c r="K530" s="25">
        <f t="shared" si="95"/>
        <v>2301.1153928402418</v>
      </c>
      <c r="L530" s="25">
        <f t="shared" si="106"/>
        <v>22288977.799862403</v>
      </c>
      <c r="M530" s="25">
        <f>K530/((1+'How much will I make'!$C$5/12)^(Calculations!$B$1*12-Calculations!$A530))</f>
        <v>2786.1547673590003</v>
      </c>
      <c r="N530" s="25">
        <f t="shared" si="107"/>
        <v>5443724.195451024</v>
      </c>
      <c r="O530" s="25">
        <f t="shared" si="96"/>
        <v>1904.999962645396</v>
      </c>
      <c r="P530" s="25">
        <f t="shared" si="108"/>
        <v>108281101.66739532</v>
      </c>
      <c r="Q530" s="25">
        <f>O530/((1+'How much will I make'!$C$5/12)^(Calculations!$B$1*12-Calculations!$A530))</f>
        <v>2306.5443585565013</v>
      </c>
      <c r="R530" s="25">
        <f t="shared" si="109"/>
        <v>21874772.519155234</v>
      </c>
      <c r="S530" s="25">
        <f t="shared" si="97"/>
        <v>1578.2910810156975</v>
      </c>
      <c r="T530" s="25">
        <f t="shared" si="110"/>
        <v>580294106.54961061</v>
      </c>
      <c r="U530" s="25">
        <f>S530/((1+'How much will I make'!$C$5/12)^(Calculations!$B$1*12-Calculations!$A530))</f>
        <v>1910.9703204516215</v>
      </c>
      <c r="V530" s="25">
        <f t="shared" si="111"/>
        <v>105375538.62890778</v>
      </c>
      <c r="W530" s="25">
        <f t="shared" si="98"/>
        <v>1308.6154888318106</v>
      </c>
      <c r="X530" s="25">
        <f t="shared" si="112"/>
        <v>3284715566.798769</v>
      </c>
      <c r="Y530" s="25">
        <f>W530/((1+'How much will I make'!$C$5/12)^(Calculations!$B$1*12-Calculations!$A530))</f>
        <v>1584.4513031344998</v>
      </c>
      <c r="Z530" s="25">
        <f t="shared" si="113"/>
        <v>560061263.11939621</v>
      </c>
      <c r="AA530" s="25">
        <f t="shared" si="99"/>
        <v>1085.8432429340999</v>
      </c>
      <c r="AB530" s="25">
        <f t="shared" si="114"/>
        <v>19205044283.062332</v>
      </c>
      <c r="AC530" s="25">
        <f>AA530/((1+'How much will I make'!$C$5/12)^(Calculations!$B$1*12-Calculations!$A530))</f>
        <v>1314.7221288069654</v>
      </c>
      <c r="AD530" s="25">
        <f t="shared" si="115"/>
        <v>3144525925.8122168</v>
      </c>
      <c r="AE530" s="25">
        <f t="shared" si="100"/>
        <v>901.67424542118829</v>
      </c>
      <c r="AF530" s="25">
        <f t="shared" si="116"/>
        <v>114565015742.1219</v>
      </c>
      <c r="AG530" s="25">
        <f>AE530/((1+'How much will I make'!$C$5/12)^(Calculations!$B$1*12-Calculations!$A530))</f>
        <v>1091.733167880941</v>
      </c>
      <c r="AH530" s="25">
        <f t="shared" si="117"/>
        <v>18238844162.505215</v>
      </c>
    </row>
    <row r="531" spans="1:34" ht="15.75" customHeight="1">
      <c r="A531" s="22">
        <f t="shared" si="101"/>
        <v>527</v>
      </c>
      <c r="B531" s="22">
        <f t="shared" si="118"/>
        <v>4074.833466436653</v>
      </c>
      <c r="C531" s="25">
        <f t="shared" si="93"/>
        <v>3351.4845661185054</v>
      </c>
      <c r="D531" s="25">
        <f t="shared" si="102"/>
        <v>1843426.8804101383</v>
      </c>
      <c r="E531" s="25">
        <f>$C531/((1+'How much will I make'!$C$5/12)^(Calculations!$B$1*12-Calculations!$A531))</f>
        <v>4074.833466436653</v>
      </c>
      <c r="F531" s="25">
        <f t="shared" si="103"/>
        <v>902783.20007559878</v>
      </c>
      <c r="G531" s="25">
        <f t="shared" si="94"/>
        <v>2758.7733607694895</v>
      </c>
      <c r="H531" s="25">
        <f t="shared" si="104"/>
        <v>5504022.6221046476</v>
      </c>
      <c r="I531" s="25">
        <f>G531/((1+'How much will I make'!$C$5/12)^(Calculations!$B$1*12-Calculations!$A531))</f>
        <v>3354.1977577407538</v>
      </c>
      <c r="J531" s="25">
        <f t="shared" si="105"/>
        <v>1836521.6179608479</v>
      </c>
      <c r="K531" s="25">
        <f t="shared" si="95"/>
        <v>2272.7065608298694</v>
      </c>
      <c r="L531" s="25">
        <f t="shared" si="106"/>
        <v>22291250.506423235</v>
      </c>
      <c r="M531" s="25">
        <f>K531/((1+'How much will I make'!$C$5/12)^(Calculations!$B$1*12-Calculations!$A531))</f>
        <v>2763.2234524013152</v>
      </c>
      <c r="N531" s="25">
        <f t="shared" si="107"/>
        <v>5446487.4189034253</v>
      </c>
      <c r="O531" s="25">
        <f t="shared" si="96"/>
        <v>1873.7704550610463</v>
      </c>
      <c r="P531" s="25">
        <f t="shared" si="108"/>
        <v>108282975.43785039</v>
      </c>
      <c r="Q531" s="25">
        <f>O531/((1+'How much will I make'!$C$5/12)^(Calculations!$B$1*12-Calculations!$A531))</f>
        <v>2278.1852066070383</v>
      </c>
      <c r="R531" s="25">
        <f t="shared" si="109"/>
        <v>21877050.704361841</v>
      </c>
      <c r="S531" s="25">
        <f t="shared" si="97"/>
        <v>1546.0810589541529</v>
      </c>
      <c r="T531" s="25">
        <f t="shared" si="110"/>
        <v>580295652.63066959</v>
      </c>
      <c r="U531" s="25">
        <f>S531/((1+'How much will I make'!$C$5/12)^(Calculations!$B$1*12-Calculations!$A531))</f>
        <v>1879.7708050156775</v>
      </c>
      <c r="V531" s="25">
        <f t="shared" si="111"/>
        <v>105377418.3997128</v>
      </c>
      <c r="W531" s="25">
        <f t="shared" si="98"/>
        <v>1276.6980378846931</v>
      </c>
      <c r="X531" s="25">
        <f t="shared" si="112"/>
        <v>3284716843.4968071</v>
      </c>
      <c r="Y531" s="25">
        <f>W531/((1+'How much will I make'!$C$5/12)^(Calculations!$B$1*12-Calculations!$A531))</f>
        <v>1552.2470083553437</v>
      </c>
      <c r="Z531" s="25">
        <f t="shared" si="113"/>
        <v>560062815.36640453</v>
      </c>
      <c r="AA531" s="25">
        <f t="shared" si="99"/>
        <v>1055.070357506818</v>
      </c>
      <c r="AB531" s="25">
        <f t="shared" si="114"/>
        <v>19205045338.13269</v>
      </c>
      <c r="AC531" s="25">
        <f>AA531/((1+'How much will I make'!$C$5/12)^(Calculations!$B$1*12-Calculations!$A531))</f>
        <v>1282.7855588764328</v>
      </c>
      <c r="AD531" s="25">
        <f t="shared" si="115"/>
        <v>3144527208.5977755</v>
      </c>
      <c r="AE531" s="25">
        <f t="shared" si="100"/>
        <v>872.58797943985962</v>
      </c>
      <c r="AF531" s="25">
        <f t="shared" si="116"/>
        <v>114565016614.70988</v>
      </c>
      <c r="AG531" s="25">
        <f>AE531/((1+'How much will I make'!$C$5/12)^(Calculations!$B$1*12-Calculations!$A531))</f>
        <v>1060.9181187875276</v>
      </c>
      <c r="AH531" s="25">
        <f t="shared" si="117"/>
        <v>18238845223.423332</v>
      </c>
    </row>
    <row r="532" spans="1:34" ht="15.75" customHeight="1">
      <c r="A532" s="22">
        <f t="shared" si="101"/>
        <v>528</v>
      </c>
      <c r="B532" s="22">
        <f t="shared" si="118"/>
        <v>4074.833466436653</v>
      </c>
      <c r="C532" s="25">
        <f t="shared" si="93"/>
        <v>3337.5779911553586</v>
      </c>
      <c r="D532" s="25">
        <f t="shared" si="102"/>
        <v>1846764.4584012937</v>
      </c>
      <c r="E532" s="25">
        <f>$C532/((1+'How much will I make'!$C$5/12)^(Calculations!$B$1*12-Calculations!$A532))</f>
        <v>4074.833466436653</v>
      </c>
      <c r="F532" s="25">
        <f t="shared" si="103"/>
        <v>906858.03354203538</v>
      </c>
      <c r="G532" s="25">
        <f t="shared" si="94"/>
        <v>2735.9735809284193</v>
      </c>
      <c r="H532" s="25">
        <f t="shared" si="104"/>
        <v>5506758.5956855761</v>
      </c>
      <c r="I532" s="25">
        <f>G532/((1+'How much will I make'!$C$5/12)^(Calculations!$B$1*12-Calculations!$A532))</f>
        <v>3340.3374364277747</v>
      </c>
      <c r="J532" s="25">
        <f t="shared" si="105"/>
        <v>1839861.9553972757</v>
      </c>
      <c r="K532" s="25">
        <f t="shared" si="95"/>
        <v>2244.6484551406111</v>
      </c>
      <c r="L532" s="25">
        <f t="shared" si="106"/>
        <v>22293495.154878374</v>
      </c>
      <c r="M532" s="25">
        <f>K532/((1+'How much will I make'!$C$5/12)^(Calculations!$B$1*12-Calculations!$A532))</f>
        <v>2740.4808725461589</v>
      </c>
      <c r="N532" s="25">
        <f t="shared" si="107"/>
        <v>5449227.8997759717</v>
      </c>
      <c r="O532" s="25">
        <f t="shared" si="96"/>
        <v>1843.0529066174224</v>
      </c>
      <c r="P532" s="25">
        <f t="shared" si="108"/>
        <v>108284818.490757</v>
      </c>
      <c r="Q532" s="25">
        <f>O532/((1+'How much will I make'!$C$5/12)^(Calculations!$B$1*12-Calculations!$A532))</f>
        <v>2250.1747327553121</v>
      </c>
      <c r="R532" s="25">
        <f t="shared" si="109"/>
        <v>21879300.879094597</v>
      </c>
      <c r="S532" s="25">
        <f t="shared" si="97"/>
        <v>1514.5283842816195</v>
      </c>
      <c r="T532" s="25">
        <f t="shared" si="110"/>
        <v>580297167.15905392</v>
      </c>
      <c r="U532" s="25">
        <f>S532/((1+'How much will I make'!$C$5/12)^(Calculations!$B$1*12-Calculations!$A532))</f>
        <v>1849.0806694235851</v>
      </c>
      <c r="V532" s="25">
        <f t="shared" si="111"/>
        <v>105379267.48038222</v>
      </c>
      <c r="W532" s="25">
        <f t="shared" si="98"/>
        <v>1245.5590613509203</v>
      </c>
      <c r="X532" s="25">
        <f t="shared" si="112"/>
        <v>3284718089.0558686</v>
      </c>
      <c r="Y532" s="25">
        <f>W532/((1+'How much will I make'!$C$5/12)^(Calculations!$B$1*12-Calculations!$A532))</f>
        <v>1520.697272413162</v>
      </c>
      <c r="Z532" s="25">
        <f t="shared" si="113"/>
        <v>560064336.06367695</v>
      </c>
      <c r="AA532" s="25">
        <f t="shared" si="99"/>
        <v>1025.1695781442768</v>
      </c>
      <c r="AB532" s="25">
        <f t="shared" si="114"/>
        <v>19205046363.302269</v>
      </c>
      <c r="AC532" s="25">
        <f>AA532/((1+'How much will I make'!$C$5/12)^(Calculations!$B$1*12-Calculations!$A532))</f>
        <v>1251.6247760697179</v>
      </c>
      <c r="AD532" s="25">
        <f t="shared" si="115"/>
        <v>3144528460.2225513</v>
      </c>
      <c r="AE532" s="25">
        <f t="shared" si="100"/>
        <v>844.43998010308974</v>
      </c>
      <c r="AF532" s="25">
        <f t="shared" si="116"/>
        <v>114565017459.14987</v>
      </c>
      <c r="AG532" s="25">
        <f>AE532/((1+'How much will I make'!$C$5/12)^(Calculations!$B$1*12-Calculations!$A532))</f>
        <v>1030.9728493056211</v>
      </c>
      <c r="AH532" s="25">
        <f t="shared" si="117"/>
        <v>18238846254.396183</v>
      </c>
    </row>
    <row r="533" spans="1:34" ht="15.75" customHeight="1">
      <c r="A533" s="22">
        <f t="shared" si="101"/>
        <v>529</v>
      </c>
      <c r="B533" s="22">
        <f>B532*(1+'How much will I make'!$C$4)</f>
        <v>4278.5751397584854</v>
      </c>
      <c r="C533" s="25">
        <f t="shared" si="93"/>
        <v>3489.9155758139023</v>
      </c>
      <c r="D533" s="25">
        <f t="shared" si="102"/>
        <v>1850254.3739771077</v>
      </c>
      <c r="E533" s="25">
        <f>$C533/((1+'How much will I make'!$C$5/12)^(Calculations!$B$1*12-Calculations!$A533))</f>
        <v>4278.5751397584854</v>
      </c>
      <c r="F533" s="25">
        <f t="shared" si="103"/>
        <v>911136.60868179391</v>
      </c>
      <c r="G533" s="25">
        <f t="shared" si="94"/>
        <v>2849.0303404709157</v>
      </c>
      <c r="H533" s="25">
        <f t="shared" si="104"/>
        <v>5509607.6260260474</v>
      </c>
      <c r="I533" s="25">
        <f>G533/((1+'How much will I make'!$C$5/12)^(Calculations!$B$1*12-Calculations!$A533))</f>
        <v>3492.8611086282986</v>
      </c>
      <c r="J533" s="25">
        <f t="shared" si="105"/>
        <v>1843354.8165059041</v>
      </c>
      <c r="K533" s="25">
        <f t="shared" si="95"/>
        <v>2327.7835831087823</v>
      </c>
      <c r="L533" s="25">
        <f t="shared" si="106"/>
        <v>22295822.938461483</v>
      </c>
      <c r="M533" s="25">
        <f>K533/((1+'How much will I make'!$C$5/12)^(Calculations!$B$1*12-Calculations!$A533))</f>
        <v>2853.821748139118</v>
      </c>
      <c r="N533" s="25">
        <f t="shared" si="107"/>
        <v>5452081.721524111</v>
      </c>
      <c r="O533" s="25">
        <f t="shared" si="96"/>
        <v>1903.4808707688132</v>
      </c>
      <c r="P533" s="25">
        <f t="shared" si="108"/>
        <v>108286721.97162777</v>
      </c>
      <c r="Q533" s="25">
        <f>O533/((1+'How much will I make'!$C$5/12)^(Calculations!$B$1*12-Calculations!$A533))</f>
        <v>2333.6340824743102</v>
      </c>
      <c r="R533" s="25">
        <f t="shared" si="109"/>
        <v>21881634.513177071</v>
      </c>
      <c r="S533" s="25">
        <f t="shared" si="97"/>
        <v>1557.8006238325227</v>
      </c>
      <c r="T533" s="25">
        <f t="shared" si="110"/>
        <v>580298724.9596777</v>
      </c>
      <c r="U533" s="25">
        <f>S533/((1+'How much will I make'!$C$5/12)^(Calculations!$B$1*12-Calculations!$A533))</f>
        <v>1909.8361771332166</v>
      </c>
      <c r="V533" s="25">
        <f t="shared" si="111"/>
        <v>105381177.31655936</v>
      </c>
      <c r="W533" s="25">
        <f t="shared" si="98"/>
        <v>1275.9385506521623</v>
      </c>
      <c r="X533" s="25">
        <f t="shared" si="112"/>
        <v>3284719364.9944191</v>
      </c>
      <c r="Y533" s="25">
        <f>W533/((1+'How much will I make'!$C$5/12)^(Calculations!$B$1*12-Calculations!$A533))</f>
        <v>1564.2782308298806</v>
      </c>
      <c r="Z533" s="25">
        <f t="shared" si="113"/>
        <v>560065900.34190774</v>
      </c>
      <c r="AA533" s="25">
        <f t="shared" si="99"/>
        <v>1045.9219987544848</v>
      </c>
      <c r="AB533" s="25">
        <f t="shared" si="114"/>
        <v>19205047409.224266</v>
      </c>
      <c r="AC533" s="25">
        <f>AA533/((1+'How much will I make'!$C$5/12)^(Calculations!$B$1*12-Calculations!$A533))</f>
        <v>1282.2819821232472</v>
      </c>
      <c r="AD533" s="25">
        <f t="shared" si="115"/>
        <v>3144529742.5045333</v>
      </c>
      <c r="AE533" s="25">
        <f t="shared" si="100"/>
        <v>858.05997978217158</v>
      </c>
      <c r="AF533" s="25">
        <f t="shared" si="116"/>
        <v>114565018317.20985</v>
      </c>
      <c r="AG533" s="25">
        <f>AE533/((1+'How much will I make'!$C$5/12)^(Calculations!$B$1*12-Calculations!$A533))</f>
        <v>1051.966449664465</v>
      </c>
      <c r="AH533" s="25">
        <f t="shared" si="117"/>
        <v>18238847306.362633</v>
      </c>
    </row>
    <row r="534" spans="1:34" ht="15.75" customHeight="1">
      <c r="A534" s="22">
        <f t="shared" si="101"/>
        <v>530</v>
      </c>
      <c r="B534" s="22">
        <f t="shared" ref="B534:B544" si="119">B533</f>
        <v>4278.5751397584854</v>
      </c>
      <c r="C534" s="25">
        <f t="shared" si="93"/>
        <v>3475.4345983208987</v>
      </c>
      <c r="D534" s="25">
        <f t="shared" si="102"/>
        <v>1853729.8085754286</v>
      </c>
      <c r="E534" s="25">
        <f>$C534/((1+'How much will I make'!$C$5/12)^(Calculations!$B$1*12-Calculations!$A534))</f>
        <v>4278.5751397584854</v>
      </c>
      <c r="F534" s="25">
        <f t="shared" si="103"/>
        <v>915415.18382155243</v>
      </c>
      <c r="G534" s="25">
        <f t="shared" si="94"/>
        <v>2825.4846351777678</v>
      </c>
      <c r="H534" s="25">
        <f t="shared" si="104"/>
        <v>5512433.1106612254</v>
      </c>
      <c r="I534" s="25">
        <f>G534/((1+'How much will I make'!$C$5/12)^(Calculations!$B$1*12-Calculations!$A534))</f>
        <v>3478.4277982620656</v>
      </c>
      <c r="J534" s="25">
        <f t="shared" si="105"/>
        <v>1846833.2443041662</v>
      </c>
      <c r="K534" s="25">
        <f t="shared" si="95"/>
        <v>2299.0455141815128</v>
      </c>
      <c r="L534" s="25">
        <f t="shared" si="106"/>
        <v>22298121.983975664</v>
      </c>
      <c r="M534" s="25">
        <f>K534/((1+'How much will I make'!$C$5/12)^(Calculations!$B$1*12-Calculations!$A534))</f>
        <v>2830.3335032984655</v>
      </c>
      <c r="N534" s="25">
        <f t="shared" si="107"/>
        <v>5454912.0550274095</v>
      </c>
      <c r="O534" s="25">
        <f t="shared" si="96"/>
        <v>1872.2762663299802</v>
      </c>
      <c r="P534" s="25">
        <f t="shared" si="108"/>
        <v>108288594.24789411</v>
      </c>
      <c r="Q534" s="25">
        <f>O534/((1+'How much will I make'!$C$5/12)^(Calculations!$B$1*12-Calculations!$A534))</f>
        <v>2304.941860148806</v>
      </c>
      <c r="R534" s="25">
        <f t="shared" si="109"/>
        <v>21883939.455037221</v>
      </c>
      <c r="S534" s="25">
        <f t="shared" si="97"/>
        <v>1526.0087743665531</v>
      </c>
      <c r="T534" s="25">
        <f t="shared" si="110"/>
        <v>580300250.9684521</v>
      </c>
      <c r="U534" s="25">
        <f>S534/((1+'How much will I make'!$C$5/12)^(Calculations!$B$1*12-Calculations!$A534))</f>
        <v>1878.6551783228786</v>
      </c>
      <c r="V534" s="25">
        <f t="shared" si="111"/>
        <v>105383055.97173768</v>
      </c>
      <c r="W534" s="25">
        <f t="shared" si="98"/>
        <v>1244.8180981972314</v>
      </c>
      <c r="X534" s="25">
        <f t="shared" si="112"/>
        <v>3284720609.8125172</v>
      </c>
      <c r="Y534" s="25">
        <f>W534/((1+'How much will I make'!$C$5/12)^(Calculations!$B$1*12-Calculations!$A534))</f>
        <v>1532.483957845533</v>
      </c>
      <c r="Z534" s="25">
        <f t="shared" si="113"/>
        <v>560067432.82586563</v>
      </c>
      <c r="AA534" s="25">
        <f t="shared" si="99"/>
        <v>1016.2804846197425</v>
      </c>
      <c r="AB534" s="25">
        <f t="shared" si="114"/>
        <v>19205048425.504749</v>
      </c>
      <c r="AC534" s="25">
        <f>AA534/((1+'How much will I make'!$C$5/12)^(Calculations!$B$1*12-Calculations!$A534))</f>
        <v>1251.133431950213</v>
      </c>
      <c r="AD534" s="25">
        <f t="shared" si="115"/>
        <v>3144530993.6379652</v>
      </c>
      <c r="AE534" s="25">
        <f t="shared" si="100"/>
        <v>830.3806255956498</v>
      </c>
      <c r="AF534" s="25">
        <f t="shared" si="116"/>
        <v>114565019147.59048</v>
      </c>
      <c r="AG534" s="25">
        <f>AE534/((1+'How much will I make'!$C$5/12)^(Calculations!$B$1*12-Calculations!$A534))</f>
        <v>1022.2738482626453</v>
      </c>
      <c r="AH534" s="25">
        <f t="shared" si="117"/>
        <v>18238848328.636482</v>
      </c>
    </row>
    <row r="535" spans="1:34" ht="15.75" customHeight="1">
      <c r="A535" s="22">
        <f t="shared" si="101"/>
        <v>531</v>
      </c>
      <c r="B535" s="22">
        <f t="shared" si="119"/>
        <v>4278.5751397584854</v>
      </c>
      <c r="C535" s="25">
        <f t="shared" si="93"/>
        <v>3461.0137078714342</v>
      </c>
      <c r="D535" s="25">
        <f t="shared" si="102"/>
        <v>1857190.8222833001</v>
      </c>
      <c r="E535" s="25">
        <f>$C535/((1+'How much will I make'!$C$5/12)^(Calculations!$B$1*12-Calculations!$A535))</f>
        <v>4278.5751397584854</v>
      </c>
      <c r="F535" s="25">
        <f t="shared" si="103"/>
        <v>919693.75896131096</v>
      </c>
      <c r="G535" s="25">
        <f t="shared" si="94"/>
        <v>2802.1335224903482</v>
      </c>
      <c r="H535" s="25">
        <f t="shared" si="104"/>
        <v>5515235.2441837154</v>
      </c>
      <c r="I535" s="25">
        <f>G535/((1+'How much will I make'!$C$5/12)^(Calculations!$B$1*12-Calculations!$A535))</f>
        <v>3464.0541296742063</v>
      </c>
      <c r="J535" s="25">
        <f t="shared" si="105"/>
        <v>1850297.2984338403</v>
      </c>
      <c r="K535" s="25">
        <f t="shared" si="95"/>
        <v>2270.6622362286548</v>
      </c>
      <c r="L535" s="25">
        <f t="shared" si="106"/>
        <v>22300392.646211892</v>
      </c>
      <c r="M535" s="25">
        <f>K535/((1+'How much will I make'!$C$5/12)^(Calculations!$B$1*12-Calculations!$A535))</f>
        <v>2807.0385773453922</v>
      </c>
      <c r="N535" s="25">
        <f t="shared" si="107"/>
        <v>5457719.0936047547</v>
      </c>
      <c r="O535" s="25">
        <f t="shared" si="96"/>
        <v>1841.5832127835877</v>
      </c>
      <c r="P535" s="25">
        <f t="shared" si="108"/>
        <v>108290435.83110689</v>
      </c>
      <c r="Q535" s="25">
        <f>O535/((1+'How much will I make'!$C$5/12)^(Calculations!$B$1*12-Calculations!$A535))</f>
        <v>2276.6024110486164</v>
      </c>
      <c r="R535" s="25">
        <f t="shared" si="109"/>
        <v>21886216.057448272</v>
      </c>
      <c r="S535" s="25">
        <f t="shared" si="97"/>
        <v>1494.865738154991</v>
      </c>
      <c r="T535" s="25">
        <f t="shared" si="110"/>
        <v>580301745.83419025</v>
      </c>
      <c r="U535" s="25">
        <f>S535/((1+'How much will I make'!$C$5/12)^(Calculations!$B$1*12-Calculations!$A535))</f>
        <v>1847.9832570441383</v>
      </c>
      <c r="V535" s="25">
        <f t="shared" si="111"/>
        <v>105384903.95499472</v>
      </c>
      <c r="W535" s="25">
        <f t="shared" si="98"/>
        <v>1214.4566811680306</v>
      </c>
      <c r="X535" s="25">
        <f t="shared" si="112"/>
        <v>3284721824.2691984</v>
      </c>
      <c r="Y535" s="25">
        <f>W535/((1+'How much will I make'!$C$5/12)^(Calculations!$B$1*12-Calculations!$A535))</f>
        <v>1501.3359099218435</v>
      </c>
      <c r="Z535" s="25">
        <f t="shared" si="113"/>
        <v>560068934.16177559</v>
      </c>
      <c r="AA535" s="25">
        <f t="shared" si="99"/>
        <v>987.47901339570114</v>
      </c>
      <c r="AB535" s="25">
        <f t="shared" si="114"/>
        <v>19205049412.983761</v>
      </c>
      <c r="AC535" s="25">
        <f>AA535/((1+'How much will I make'!$C$5/12)^(Calculations!$B$1*12-Calculations!$A535))</f>
        <v>1220.7415267206532</v>
      </c>
      <c r="AD535" s="25">
        <f t="shared" si="115"/>
        <v>3144532214.3794918</v>
      </c>
      <c r="AE535" s="25">
        <f t="shared" si="100"/>
        <v>803.59415380224175</v>
      </c>
      <c r="AF535" s="25">
        <f t="shared" si="116"/>
        <v>114565019951.18463</v>
      </c>
      <c r="AG535" s="25">
        <f>AE535/((1+'How much will I make'!$C$5/12)^(Calculations!$B$1*12-Calculations!$A535))</f>
        <v>993.41934448103848</v>
      </c>
      <c r="AH535" s="25">
        <f t="shared" si="117"/>
        <v>18238849322.055828</v>
      </c>
    </row>
    <row r="536" spans="1:34" ht="15.75" customHeight="1">
      <c r="A536" s="22">
        <f t="shared" si="101"/>
        <v>532</v>
      </c>
      <c r="B536" s="22">
        <f t="shared" si="119"/>
        <v>4278.5751397584854</v>
      </c>
      <c r="C536" s="25">
        <f t="shared" si="93"/>
        <v>3446.6526551416764</v>
      </c>
      <c r="D536" s="25">
        <f t="shared" si="102"/>
        <v>1860637.4749384418</v>
      </c>
      <c r="E536" s="25">
        <f>$C536/((1+'How much will I make'!$C$5/12)^(Calculations!$B$1*12-Calculations!$A536))</f>
        <v>4278.5751397584854</v>
      </c>
      <c r="F536" s="25">
        <f t="shared" si="103"/>
        <v>923972.33410106949</v>
      </c>
      <c r="G536" s="25">
        <f t="shared" si="94"/>
        <v>2778.9753942053044</v>
      </c>
      <c r="H536" s="25">
        <f t="shared" si="104"/>
        <v>5518014.2195779206</v>
      </c>
      <c r="I536" s="25">
        <f>G536/((1+'How much will I make'!$C$5/12)^(Calculations!$B$1*12-Calculations!$A536))</f>
        <v>3449.7398564110908</v>
      </c>
      <c r="J536" s="25">
        <f t="shared" si="105"/>
        <v>1853747.0382902513</v>
      </c>
      <c r="K536" s="25">
        <f t="shared" si="95"/>
        <v>2242.6293691147207</v>
      </c>
      <c r="L536" s="25">
        <f t="shared" si="106"/>
        <v>22302635.275581006</v>
      </c>
      <c r="M536" s="25">
        <f>K536/((1+'How much will I make'!$C$5/12)^(Calculations!$B$1*12-Calculations!$A536))</f>
        <v>2783.9353791779408</v>
      </c>
      <c r="N536" s="25">
        <f t="shared" si="107"/>
        <v>5460503.0289839329</v>
      </c>
      <c r="O536" s="25">
        <f t="shared" si="96"/>
        <v>1811.39332404943</v>
      </c>
      <c r="P536" s="25">
        <f t="shared" si="108"/>
        <v>108292247.22443093</v>
      </c>
      <c r="Q536" s="25">
        <f>O536/((1+'How much will I make'!$C$5/12)^(Calculations!$B$1*12-Calculations!$A536))</f>
        <v>2248.6113977980185</v>
      </c>
      <c r="R536" s="25">
        <f t="shared" si="109"/>
        <v>21888464.668846071</v>
      </c>
      <c r="S536" s="25">
        <f t="shared" si="97"/>
        <v>1464.3582741110117</v>
      </c>
      <c r="T536" s="25">
        <f t="shared" si="110"/>
        <v>580303210.19246435</v>
      </c>
      <c r="U536" s="25">
        <f>S536/((1+'How much will I make'!$C$5/12)^(Calculations!$B$1*12-Calculations!$A536))</f>
        <v>1817.8121018270915</v>
      </c>
      <c r="V536" s="25">
        <f t="shared" si="111"/>
        <v>105386721.76709655</v>
      </c>
      <c r="W536" s="25">
        <f t="shared" si="98"/>
        <v>1184.8357865053958</v>
      </c>
      <c r="X536" s="25">
        <f t="shared" si="112"/>
        <v>3284723009.1049848</v>
      </c>
      <c r="Y536" s="25">
        <f>W536/((1+'How much will I make'!$C$5/12)^(Calculations!$B$1*12-Calculations!$A536))</f>
        <v>1470.8209524031072</v>
      </c>
      <c r="Z536" s="25">
        <f t="shared" si="113"/>
        <v>560070404.982728</v>
      </c>
      <c r="AA536" s="25">
        <f t="shared" si="99"/>
        <v>959.49377819825236</v>
      </c>
      <c r="AB536" s="25">
        <f t="shared" si="114"/>
        <v>19205050372.477539</v>
      </c>
      <c r="AC536" s="25">
        <f>AA536/((1+'How much will I make'!$C$5/12)^(Calculations!$B$1*12-Calculations!$A536))</f>
        <v>1191.0878863954556</v>
      </c>
      <c r="AD536" s="25">
        <f t="shared" si="115"/>
        <v>3144533405.4673781</v>
      </c>
      <c r="AE536" s="25">
        <f t="shared" si="100"/>
        <v>777.67176174410486</v>
      </c>
      <c r="AF536" s="25">
        <f t="shared" si="116"/>
        <v>114565020728.8564</v>
      </c>
      <c r="AG536" s="25">
        <f>AE536/((1+'How much will I make'!$C$5/12)^(Calculations!$B$1*12-Calculations!$A536))</f>
        <v>965.37928233842854</v>
      </c>
      <c r="AH536" s="25">
        <f t="shared" si="117"/>
        <v>18238850287.435112</v>
      </c>
    </row>
    <row r="537" spans="1:34" ht="15.75" customHeight="1">
      <c r="A537" s="22">
        <f t="shared" si="101"/>
        <v>533</v>
      </c>
      <c r="B537" s="22">
        <f t="shared" si="119"/>
        <v>4278.5751397584854</v>
      </c>
      <c r="C537" s="25">
        <f t="shared" si="93"/>
        <v>3432.3511918423337</v>
      </c>
      <c r="D537" s="25">
        <f t="shared" si="102"/>
        <v>1864069.826130284</v>
      </c>
      <c r="E537" s="25">
        <f>$C537/((1+'How much will I make'!$C$5/12)^(Calculations!$B$1*12-Calculations!$A537))</f>
        <v>4278.5751397584854</v>
      </c>
      <c r="F537" s="25">
        <f t="shared" si="103"/>
        <v>928250.90924082801</v>
      </c>
      <c r="G537" s="25">
        <f t="shared" si="94"/>
        <v>2756.0086554102195</v>
      </c>
      <c r="H537" s="25">
        <f t="shared" si="104"/>
        <v>5520770.2282333309</v>
      </c>
      <c r="I537" s="25">
        <f>G537/((1+'How much will I make'!$C$5/12)^(Calculations!$B$1*12-Calculations!$A537))</f>
        <v>3435.4847330374914</v>
      </c>
      <c r="J537" s="25">
        <f t="shared" si="105"/>
        <v>1857182.5230232887</v>
      </c>
      <c r="K537" s="25">
        <f t="shared" si="95"/>
        <v>2214.9425867799719</v>
      </c>
      <c r="L537" s="25">
        <f t="shared" si="106"/>
        <v>22304850.218167786</v>
      </c>
      <c r="M537" s="25">
        <f>K537/((1+'How much will I make'!$C$5/12)^(Calculations!$B$1*12-Calculations!$A537))</f>
        <v>2761.0223307896458</v>
      </c>
      <c r="N537" s="25">
        <f t="shared" si="107"/>
        <v>5463264.0513147227</v>
      </c>
      <c r="O537" s="25">
        <f t="shared" si="96"/>
        <v>1781.6983515240297</v>
      </c>
      <c r="P537" s="25">
        <f t="shared" si="108"/>
        <v>108294028.92278245</v>
      </c>
      <c r="Q537" s="25">
        <f>O537/((1+'How much will I make'!$C$5/12)^(Calculations!$B$1*12-Calculations!$A537))</f>
        <v>2220.9645363496825</v>
      </c>
      <c r="R537" s="25">
        <f t="shared" si="109"/>
        <v>21890685.633382421</v>
      </c>
      <c r="S537" s="25">
        <f t="shared" si="97"/>
        <v>1434.4734113740521</v>
      </c>
      <c r="T537" s="25">
        <f t="shared" si="110"/>
        <v>580304644.66587567</v>
      </c>
      <c r="U537" s="25">
        <f>S537/((1+'How much will I make'!$C$5/12)^(Calculations!$B$1*12-Calculations!$A537))</f>
        <v>1788.133536899302</v>
      </c>
      <c r="V537" s="25">
        <f t="shared" si="111"/>
        <v>105388509.90063345</v>
      </c>
      <c r="W537" s="25">
        <f t="shared" si="98"/>
        <v>1155.9373526881911</v>
      </c>
      <c r="X537" s="25">
        <f t="shared" si="112"/>
        <v>3284724165.0423374</v>
      </c>
      <c r="Y537" s="25">
        <f>W537/((1+'How much will I make'!$C$5/12)^(Calculations!$B$1*12-Calculations!$A537))</f>
        <v>1440.926217598166</v>
      </c>
      <c r="Z537" s="25">
        <f t="shared" si="113"/>
        <v>560071845.90894556</v>
      </c>
      <c r="AA537" s="25">
        <f t="shared" si="99"/>
        <v>932.3016468323101</v>
      </c>
      <c r="AB537" s="25">
        <f t="shared" si="114"/>
        <v>19205051304.779186</v>
      </c>
      <c r="AC537" s="25">
        <f>AA537/((1+'How much will I make'!$C$5/12)^(Calculations!$B$1*12-Calculations!$A537))</f>
        <v>1162.1545774141896</v>
      </c>
      <c r="AD537" s="25">
        <f t="shared" si="115"/>
        <v>3144534567.6219554</v>
      </c>
      <c r="AE537" s="25">
        <f t="shared" si="100"/>
        <v>752.58557588139172</v>
      </c>
      <c r="AF537" s="25">
        <f t="shared" si="116"/>
        <v>114565021481.44197</v>
      </c>
      <c r="AG537" s="25">
        <f>AE537/((1+'How much will I make'!$C$5/12)^(Calculations!$B$1*12-Calculations!$A537))</f>
        <v>938.13067356274701</v>
      </c>
      <c r="AH537" s="25">
        <f t="shared" si="117"/>
        <v>18238851225.565784</v>
      </c>
    </row>
    <row r="538" spans="1:34" ht="15.75" customHeight="1">
      <c r="A538" s="22">
        <f t="shared" si="101"/>
        <v>534</v>
      </c>
      <c r="B538" s="22">
        <f t="shared" si="119"/>
        <v>4278.5751397584854</v>
      </c>
      <c r="C538" s="25">
        <f t="shared" si="93"/>
        <v>3418.1090707143571</v>
      </c>
      <c r="D538" s="25">
        <f t="shared" si="102"/>
        <v>1867487.9352009983</v>
      </c>
      <c r="E538" s="25">
        <f>$C538/((1+'How much will I make'!$C$5/12)^(Calculations!$B$1*12-Calculations!$A538))</f>
        <v>4278.5751397584854</v>
      </c>
      <c r="F538" s="25">
        <f t="shared" si="103"/>
        <v>932529.48438058654</v>
      </c>
      <c r="G538" s="25">
        <f t="shared" si="94"/>
        <v>2733.2317243737712</v>
      </c>
      <c r="H538" s="25">
        <f t="shared" si="104"/>
        <v>5523503.4599577049</v>
      </c>
      <c r="I538" s="25">
        <f>G538/((1+'How much will I make'!$C$5/12)^(Calculations!$B$1*12-Calculations!$A538))</f>
        <v>3421.2885151323776</v>
      </c>
      <c r="J538" s="25">
        <f t="shared" si="105"/>
        <v>1860603.8115384211</v>
      </c>
      <c r="K538" s="25">
        <f t="shared" si="95"/>
        <v>2187.5976165728111</v>
      </c>
      <c r="L538" s="25">
        <f t="shared" si="106"/>
        <v>22307037.815784357</v>
      </c>
      <c r="M538" s="25">
        <f>K538/((1+'How much will I make'!$C$5/12)^(Calculations!$B$1*12-Calculations!$A538))</f>
        <v>2738.297867161747</v>
      </c>
      <c r="N538" s="25">
        <f t="shared" si="107"/>
        <v>5466002.3491818849</v>
      </c>
      <c r="O538" s="25">
        <f t="shared" si="96"/>
        <v>1752.4901818269141</v>
      </c>
      <c r="P538" s="25">
        <f t="shared" si="108"/>
        <v>108295781.41296428</v>
      </c>
      <c r="Q538" s="25">
        <f>O538/((1+'How much will I make'!$C$5/12)^(Calculations!$B$1*12-Calculations!$A538))</f>
        <v>2193.6575953289889</v>
      </c>
      <c r="R538" s="25">
        <f t="shared" si="109"/>
        <v>21892879.29097775</v>
      </c>
      <c r="S538" s="25">
        <f t="shared" si="97"/>
        <v>1405.1984437949902</v>
      </c>
      <c r="T538" s="25">
        <f t="shared" si="110"/>
        <v>580306049.86431944</v>
      </c>
      <c r="U538" s="25">
        <f>S538/((1+'How much will I make'!$C$5/12)^(Calculations!$B$1*12-Calculations!$A538))</f>
        <v>1758.9395199703342</v>
      </c>
      <c r="V538" s="25">
        <f t="shared" si="111"/>
        <v>105390268.84015343</v>
      </c>
      <c r="W538" s="25">
        <f t="shared" si="98"/>
        <v>1127.7437587201866</v>
      </c>
      <c r="X538" s="25">
        <f t="shared" si="112"/>
        <v>3284725292.7860961</v>
      </c>
      <c r="Y538" s="25">
        <f>W538/((1+'How much will I make'!$C$5/12)^(Calculations!$B$1*12-Calculations!$A538))</f>
        <v>1411.6390993543012</v>
      </c>
      <c r="Z538" s="25">
        <f t="shared" si="113"/>
        <v>560073257.54804492</v>
      </c>
      <c r="AA538" s="25">
        <f t="shared" si="99"/>
        <v>905.88014267107064</v>
      </c>
      <c r="AB538" s="25">
        <f t="shared" si="114"/>
        <v>19205052210.659328</v>
      </c>
      <c r="AC538" s="25">
        <f>AA538/((1+'How much will I make'!$C$5/12)^(Calculations!$B$1*12-Calculations!$A538))</f>
        <v>1133.9241018494727</v>
      </c>
      <c r="AD538" s="25">
        <f t="shared" si="115"/>
        <v>3144535701.5460572</v>
      </c>
      <c r="AE538" s="25">
        <f t="shared" si="100"/>
        <v>728.30862182070155</v>
      </c>
      <c r="AF538" s="25">
        <f t="shared" si="116"/>
        <v>114565022209.7506</v>
      </c>
      <c r="AG538" s="25">
        <f>AE538/((1+'How much will I make'!$C$5/12)^(Calculations!$B$1*12-Calculations!$A538))</f>
        <v>911.65117874444354</v>
      </c>
      <c r="AH538" s="25">
        <f t="shared" si="117"/>
        <v>18238852137.216965</v>
      </c>
    </row>
    <row r="539" spans="1:34" ht="15.75" customHeight="1">
      <c r="A539" s="22">
        <f t="shared" si="101"/>
        <v>535</v>
      </c>
      <c r="B539" s="22">
        <f t="shared" si="119"/>
        <v>4278.5751397584854</v>
      </c>
      <c r="C539" s="25">
        <f t="shared" si="93"/>
        <v>3403.9260455246699</v>
      </c>
      <c r="D539" s="25">
        <f t="shared" si="102"/>
        <v>1870891.861246523</v>
      </c>
      <c r="E539" s="25">
        <f>$C539/((1+'How much will I make'!$C$5/12)^(Calculations!$B$1*12-Calculations!$A539))</f>
        <v>4278.5751397584854</v>
      </c>
      <c r="F539" s="25">
        <f t="shared" si="103"/>
        <v>936808.05952034506</v>
      </c>
      <c r="G539" s="25">
        <f t="shared" si="94"/>
        <v>2710.643032436798</v>
      </c>
      <c r="H539" s="25">
        <f t="shared" si="104"/>
        <v>5526214.1029901421</v>
      </c>
      <c r="I539" s="25">
        <f>G539/((1+'How much will I make'!$C$5/12)^(Calculations!$B$1*12-Calculations!$A539))</f>
        <v>3407.1509592847242</v>
      </c>
      <c r="J539" s="25">
        <f t="shared" si="105"/>
        <v>1864010.9624977058</v>
      </c>
      <c r="K539" s="25">
        <f t="shared" si="95"/>
        <v>2160.5902385904315</v>
      </c>
      <c r="L539" s="25">
        <f t="shared" si="106"/>
        <v>22309198.406022947</v>
      </c>
      <c r="M539" s="25">
        <f>K539/((1+'How much will I make'!$C$5/12)^(Calculations!$B$1*12-Calculations!$A539))</f>
        <v>2715.7604361563021</v>
      </c>
      <c r="N539" s="25">
        <f t="shared" si="107"/>
        <v>5468718.1096180417</v>
      </c>
      <c r="O539" s="25">
        <f t="shared" si="96"/>
        <v>1723.7608345838505</v>
      </c>
      <c r="P539" s="25">
        <f t="shared" si="108"/>
        <v>108297505.17379887</v>
      </c>
      <c r="Q539" s="25">
        <f>O539/((1+'How much will I make'!$C$5/12)^(Calculations!$B$1*12-Calculations!$A539))</f>
        <v>2166.6863953864208</v>
      </c>
      <c r="R539" s="25">
        <f t="shared" si="109"/>
        <v>21895045.977373138</v>
      </c>
      <c r="S539" s="25">
        <f t="shared" si="97"/>
        <v>1376.5209245338683</v>
      </c>
      <c r="T539" s="25">
        <f t="shared" si="110"/>
        <v>580307426.38524401</v>
      </c>
      <c r="U539" s="25">
        <f>S539/((1+'How much will I make'!$C$5/12)^(Calculations!$B$1*12-Calculations!$A539))</f>
        <v>1730.222140052452</v>
      </c>
      <c r="V539" s="25">
        <f t="shared" si="111"/>
        <v>105391999.06229348</v>
      </c>
      <c r="W539" s="25">
        <f t="shared" si="98"/>
        <v>1100.237813385548</v>
      </c>
      <c r="X539" s="25">
        <f t="shared" si="112"/>
        <v>3284726393.0239096</v>
      </c>
      <c r="Y539" s="25">
        <f>W539/((1+'How much will I make'!$C$5/12)^(Calculations!$B$1*12-Calculations!$A539))</f>
        <v>1382.9472477414092</v>
      </c>
      <c r="Z539" s="25">
        <f t="shared" si="113"/>
        <v>560074640.49529266</v>
      </c>
      <c r="AA539" s="25">
        <f t="shared" si="99"/>
        <v>880.20742607715351</v>
      </c>
      <c r="AB539" s="25">
        <f t="shared" si="114"/>
        <v>19205053090.866756</v>
      </c>
      <c r="AC539" s="25">
        <f>AA539/((1+'How much will I make'!$C$5/12)^(Calculations!$B$1*12-Calculations!$A539))</f>
        <v>1106.3793868247892</v>
      </c>
      <c r="AD539" s="25">
        <f t="shared" si="115"/>
        <v>3144536807.9254441</v>
      </c>
      <c r="AE539" s="25">
        <f t="shared" si="100"/>
        <v>704.81479531035643</v>
      </c>
      <c r="AF539" s="25">
        <f t="shared" si="116"/>
        <v>114565022914.56538</v>
      </c>
      <c r="AG539" s="25">
        <f>AE539/((1+'How much will I make'!$C$5/12)^(Calculations!$B$1*12-Calculations!$A539))</f>
        <v>885.91908902181842</v>
      </c>
      <c r="AH539" s="25">
        <f t="shared" si="117"/>
        <v>18238853023.136055</v>
      </c>
    </row>
    <row r="540" spans="1:34" ht="15.75" customHeight="1">
      <c r="A540" s="22">
        <f t="shared" si="101"/>
        <v>536</v>
      </c>
      <c r="B540" s="22">
        <f t="shared" si="119"/>
        <v>4278.5751397584854</v>
      </c>
      <c r="C540" s="25">
        <f t="shared" si="93"/>
        <v>3389.8018710619131</v>
      </c>
      <c r="D540" s="25">
        <f t="shared" si="102"/>
        <v>1874281.663117585</v>
      </c>
      <c r="E540" s="25">
        <f>$C540/((1+'How much will I make'!$C$5/12)^(Calculations!$B$1*12-Calculations!$A540))</f>
        <v>4278.5751397584854</v>
      </c>
      <c r="F540" s="25">
        <f t="shared" si="103"/>
        <v>941086.63466010359</v>
      </c>
      <c r="G540" s="25">
        <f t="shared" si="94"/>
        <v>2688.2410239042624</v>
      </c>
      <c r="H540" s="25">
        <f t="shared" si="104"/>
        <v>5528902.3440140467</v>
      </c>
      <c r="I540" s="25">
        <f>G540/((1+'How much will I make'!$C$5/12)^(Calculations!$B$1*12-Calculations!$A540))</f>
        <v>3393.0718230893322</v>
      </c>
      <c r="J540" s="25">
        <f t="shared" si="105"/>
        <v>1867404.0343207952</v>
      </c>
      <c r="K540" s="25">
        <f t="shared" si="95"/>
        <v>2133.9162850275866</v>
      </c>
      <c r="L540" s="25">
        <f t="shared" si="106"/>
        <v>22311332.322307974</v>
      </c>
      <c r="M540" s="25">
        <f>K540/((1+'How much will I make'!$C$5/12)^(Calculations!$B$1*12-Calculations!$A540))</f>
        <v>2693.4084984101592</v>
      </c>
      <c r="N540" s="25">
        <f t="shared" si="107"/>
        <v>5471411.5181164518</v>
      </c>
      <c r="O540" s="25">
        <f t="shared" si="96"/>
        <v>1695.5024602464102</v>
      </c>
      <c r="P540" s="25">
        <f t="shared" si="108"/>
        <v>108299200.67625912</v>
      </c>
      <c r="Q540" s="25">
        <f>O540/((1+'How much will I make'!$C$5/12)^(Calculations!$B$1*12-Calculations!$A540))</f>
        <v>2140.0468085578987</v>
      </c>
      <c r="R540" s="25">
        <f t="shared" si="109"/>
        <v>21897186.024181698</v>
      </c>
      <c r="S540" s="25">
        <f t="shared" si="97"/>
        <v>1348.428660767871</v>
      </c>
      <c r="T540" s="25">
        <f t="shared" si="110"/>
        <v>580308774.81390476</v>
      </c>
      <c r="U540" s="25">
        <f>S540/((1+'How much will I make'!$C$5/12)^(Calculations!$B$1*12-Calculations!$A540))</f>
        <v>1701.9736153169015</v>
      </c>
      <c r="V540" s="25">
        <f t="shared" si="111"/>
        <v>105393701.0359088</v>
      </c>
      <c r="W540" s="25">
        <f t="shared" si="98"/>
        <v>1073.4027447663884</v>
      </c>
      <c r="X540" s="25">
        <f t="shared" si="112"/>
        <v>3284727466.4266543</v>
      </c>
      <c r="Y540" s="25">
        <f>W540/((1+'How much will I make'!$C$5/12)^(Calculations!$B$1*12-Calculations!$A540))</f>
        <v>1354.838563844226</v>
      </c>
      <c r="Z540" s="25">
        <f t="shared" si="113"/>
        <v>560075995.33385646</v>
      </c>
      <c r="AA540" s="25">
        <f t="shared" si="99"/>
        <v>855.26227635027101</v>
      </c>
      <c r="AB540" s="25">
        <f t="shared" si="114"/>
        <v>19205053946.129032</v>
      </c>
      <c r="AC540" s="25">
        <f>AA540/((1+'How much will I make'!$C$5/12)^(Calculations!$B$1*12-Calculations!$A540))</f>
        <v>1079.5037741893693</v>
      </c>
      <c r="AD540" s="25">
        <f t="shared" si="115"/>
        <v>3144537887.4292183</v>
      </c>
      <c r="AE540" s="25">
        <f t="shared" si="100"/>
        <v>682.07883417131245</v>
      </c>
      <c r="AF540" s="25">
        <f t="shared" si="116"/>
        <v>114565023596.64421</v>
      </c>
      <c r="AG540" s="25">
        <f>AE540/((1+'How much will I make'!$C$5/12)^(Calculations!$B$1*12-Calculations!$A540))</f>
        <v>860.91330828329887</v>
      </c>
      <c r="AH540" s="25">
        <f t="shared" si="117"/>
        <v>18238853884.049362</v>
      </c>
    </row>
    <row r="541" spans="1:34" ht="15.75" customHeight="1">
      <c r="A541" s="22">
        <f t="shared" si="101"/>
        <v>537</v>
      </c>
      <c r="B541" s="22">
        <f t="shared" si="119"/>
        <v>4278.5751397584854</v>
      </c>
      <c r="C541" s="25">
        <f t="shared" si="93"/>
        <v>3375.7363031321961</v>
      </c>
      <c r="D541" s="25">
        <f t="shared" si="102"/>
        <v>1877657.3994207173</v>
      </c>
      <c r="E541" s="25">
        <f>$C541/((1+'How much will I make'!$C$5/12)^(Calculations!$B$1*12-Calculations!$A541))</f>
        <v>4278.5751397584854</v>
      </c>
      <c r="F541" s="25">
        <f t="shared" si="103"/>
        <v>945365.20979986212</v>
      </c>
      <c r="G541" s="25">
        <f t="shared" si="94"/>
        <v>2666.024155938112</v>
      </c>
      <c r="H541" s="25">
        <f t="shared" si="104"/>
        <v>5531568.3681699848</v>
      </c>
      <c r="I541" s="25">
        <f>G541/((1+'How much will I make'!$C$5/12)^(Calculations!$B$1*12-Calculations!$A541))</f>
        <v>3379.0508651426817</v>
      </c>
      <c r="J541" s="25">
        <f t="shared" si="105"/>
        <v>1870783.0851859378</v>
      </c>
      <c r="K541" s="25">
        <f t="shared" si="95"/>
        <v>2107.5716395334189</v>
      </c>
      <c r="L541" s="25">
        <f t="shared" si="106"/>
        <v>22313439.893947508</v>
      </c>
      <c r="M541" s="25">
        <f>K541/((1+'How much will I make'!$C$5/12)^(Calculations!$B$1*12-Calculations!$A541))</f>
        <v>2671.2405272298279</v>
      </c>
      <c r="N541" s="25">
        <f t="shared" si="107"/>
        <v>5474082.7586436812</v>
      </c>
      <c r="O541" s="25">
        <f t="shared" si="96"/>
        <v>1667.707337947289</v>
      </c>
      <c r="P541" s="25">
        <f t="shared" si="108"/>
        <v>108300868.38359706</v>
      </c>
      <c r="Q541" s="25">
        <f>O541/((1+'How much will I make'!$C$5/12)^(Calculations!$B$1*12-Calculations!$A541))</f>
        <v>2113.7347576330067</v>
      </c>
      <c r="R541" s="25">
        <f t="shared" si="109"/>
        <v>21899299.75893933</v>
      </c>
      <c r="S541" s="25">
        <f t="shared" si="97"/>
        <v>1320.9097085073024</v>
      </c>
      <c r="T541" s="25">
        <f t="shared" si="110"/>
        <v>580310095.72361326</v>
      </c>
      <c r="U541" s="25">
        <f>S541/((1+'How much will I make'!$C$5/12)^(Calculations!$B$1*12-Calculations!$A541))</f>
        <v>1674.1862909851968</v>
      </c>
      <c r="V541" s="25">
        <f t="shared" si="111"/>
        <v>105395375.22219978</v>
      </c>
      <c r="W541" s="25">
        <f t="shared" si="98"/>
        <v>1047.2221900159886</v>
      </c>
      <c r="X541" s="25">
        <f t="shared" si="112"/>
        <v>3284728513.6488442</v>
      </c>
      <c r="Y541" s="25">
        <f>W541/((1+'How much will I make'!$C$5/12)^(Calculations!$B$1*12-Calculations!$A541))</f>
        <v>1327.3011946603999</v>
      </c>
      <c r="Z541" s="25">
        <f t="shared" si="113"/>
        <v>560077322.63505113</v>
      </c>
      <c r="AA541" s="25">
        <f t="shared" si="99"/>
        <v>831.02407418649818</v>
      </c>
      <c r="AB541" s="25">
        <f t="shared" si="114"/>
        <v>19205054777.153107</v>
      </c>
      <c r="AC541" s="25">
        <f>AA541/((1+'How much will I make'!$C$5/12)^(Calculations!$B$1*12-Calculations!$A541))</f>
        <v>1053.2810104438784</v>
      </c>
      <c r="AD541" s="25">
        <f t="shared" si="115"/>
        <v>3144538940.7102289</v>
      </c>
      <c r="AE541" s="25">
        <f t="shared" si="100"/>
        <v>660.076291133528</v>
      </c>
      <c r="AF541" s="25">
        <f t="shared" si="116"/>
        <v>114565024256.7205</v>
      </c>
      <c r="AG541" s="25">
        <f>AE541/((1+'How much will I make'!$C$5/12)^(Calculations!$B$1*12-Calculations!$A541))</f>
        <v>836.61333587207628</v>
      </c>
      <c r="AH541" s="25">
        <f t="shared" si="117"/>
        <v>18238854720.662697</v>
      </c>
    </row>
    <row r="542" spans="1:34" ht="15.75" customHeight="1">
      <c r="A542" s="22">
        <f t="shared" si="101"/>
        <v>538</v>
      </c>
      <c r="B542" s="22">
        <f t="shared" si="119"/>
        <v>4278.5751397584854</v>
      </c>
      <c r="C542" s="25">
        <f t="shared" si="93"/>
        <v>3361.729098554883</v>
      </c>
      <c r="D542" s="25">
        <f t="shared" si="102"/>
        <v>1881019.1285192722</v>
      </c>
      <c r="E542" s="25">
        <f>$C542/((1+'How much will I make'!$C$5/12)^(Calculations!$B$1*12-Calculations!$A542))</f>
        <v>4278.5751397584854</v>
      </c>
      <c r="F542" s="25">
        <f t="shared" si="103"/>
        <v>949643.78493962064</v>
      </c>
      <c r="G542" s="25">
        <f t="shared" si="94"/>
        <v>2643.9908984510207</v>
      </c>
      <c r="H542" s="25">
        <f t="shared" si="104"/>
        <v>5534212.3590684356</v>
      </c>
      <c r="I542" s="25">
        <f>G542/((1+'How much will I make'!$C$5/12)^(Calculations!$B$1*12-Calculations!$A542))</f>
        <v>3365.0878450387881</v>
      </c>
      <c r="J542" s="25">
        <f t="shared" si="105"/>
        <v>1874148.1730309767</v>
      </c>
      <c r="K542" s="25">
        <f t="shared" si="95"/>
        <v>2081.5522365762154</v>
      </c>
      <c r="L542" s="25">
        <f t="shared" si="106"/>
        <v>22315521.446184084</v>
      </c>
      <c r="M542" s="25">
        <f>K542/((1+'How much will I make'!$C$5/12)^(Calculations!$B$1*12-Calculations!$A542))</f>
        <v>2649.2550084871955</v>
      </c>
      <c r="N542" s="25">
        <f t="shared" si="107"/>
        <v>5476732.0136521682</v>
      </c>
      <c r="O542" s="25">
        <f t="shared" si="96"/>
        <v>1640.3678733907759</v>
      </c>
      <c r="P542" s="25">
        <f t="shared" si="108"/>
        <v>108302508.75147045</v>
      </c>
      <c r="Q542" s="25">
        <f>O542/((1+'How much will I make'!$C$5/12)^(Calculations!$B$1*12-Calculations!$A542))</f>
        <v>2087.7462155309618</v>
      </c>
      <c r="R542" s="25">
        <f t="shared" si="109"/>
        <v>21901387.505154859</v>
      </c>
      <c r="S542" s="25">
        <f t="shared" si="97"/>
        <v>1293.9523675173575</v>
      </c>
      <c r="T542" s="25">
        <f t="shared" si="110"/>
        <v>580311389.67598081</v>
      </c>
      <c r="U542" s="25">
        <f>S542/((1+'How much will I make'!$C$5/12)^(Calculations!$B$1*12-Calculations!$A542))</f>
        <v>1646.852637254827</v>
      </c>
      <c r="V542" s="25">
        <f t="shared" si="111"/>
        <v>105397022.07483704</v>
      </c>
      <c r="W542" s="25">
        <f t="shared" si="98"/>
        <v>1021.6801853814524</v>
      </c>
      <c r="X542" s="25">
        <f t="shared" si="112"/>
        <v>3284729535.3290296</v>
      </c>
      <c r="Y542" s="25">
        <f>W542/((1+'How much will I make'!$C$5/12)^(Calculations!$B$1*12-Calculations!$A542))</f>
        <v>1300.3235281022621</v>
      </c>
      <c r="Z542" s="25">
        <f t="shared" si="113"/>
        <v>560078622.95857918</v>
      </c>
      <c r="AA542" s="25">
        <f t="shared" si="99"/>
        <v>807.47278463465398</v>
      </c>
      <c r="AB542" s="25">
        <f t="shared" si="114"/>
        <v>19205055584.625893</v>
      </c>
      <c r="AC542" s="25">
        <f>AA542/((1+'How much will I make'!$C$5/12)^(Calculations!$B$1*12-Calculations!$A542))</f>
        <v>1027.695236910829</v>
      </c>
      <c r="AD542" s="25">
        <f t="shared" si="115"/>
        <v>3144539968.4054656</v>
      </c>
      <c r="AE542" s="25">
        <f t="shared" si="100"/>
        <v>638.78350754857559</v>
      </c>
      <c r="AF542" s="25">
        <f t="shared" si="116"/>
        <v>114565024895.50401</v>
      </c>
      <c r="AG542" s="25">
        <f>AE542/((1+'How much will I make'!$C$5/12)^(Calculations!$B$1*12-Calculations!$A542))</f>
        <v>812.99924977891328</v>
      </c>
      <c r="AH542" s="25">
        <f t="shared" si="117"/>
        <v>18238855533.661945</v>
      </c>
    </row>
    <row r="543" spans="1:34" ht="15.75" customHeight="1">
      <c r="A543" s="22">
        <f t="shared" si="101"/>
        <v>539</v>
      </c>
      <c r="B543" s="22">
        <f t="shared" si="119"/>
        <v>4278.5751397584854</v>
      </c>
      <c r="C543" s="25">
        <f t="shared" si="93"/>
        <v>3347.7800151583906</v>
      </c>
      <c r="D543" s="25">
        <f t="shared" si="102"/>
        <v>1884366.9085344307</v>
      </c>
      <c r="E543" s="25">
        <f>$C543/((1+'How much will I make'!$C$5/12)^(Calculations!$B$1*12-Calculations!$A543))</f>
        <v>4278.5751397584854</v>
      </c>
      <c r="F543" s="25">
        <f t="shared" si="103"/>
        <v>953922.36007937917</v>
      </c>
      <c r="G543" s="25">
        <f t="shared" si="94"/>
        <v>2622.1397340010117</v>
      </c>
      <c r="H543" s="25">
        <f t="shared" si="104"/>
        <v>5536834.4988024365</v>
      </c>
      <c r="I543" s="25">
        <f>G543/((1+'How much will I make'!$C$5/12)^(Calculations!$B$1*12-Calculations!$A543))</f>
        <v>3351.1825233650725</v>
      </c>
      <c r="J543" s="25">
        <f t="shared" si="105"/>
        <v>1877499.3555543418</v>
      </c>
      <c r="K543" s="25">
        <f t="shared" si="95"/>
        <v>2055.854060816016</v>
      </c>
      <c r="L543" s="25">
        <f t="shared" si="106"/>
        <v>22317577.300244901</v>
      </c>
      <c r="M543" s="25">
        <f>K543/((1+'How much will I make'!$C$5/12)^(Calculations!$B$1*12-Calculations!$A543))</f>
        <v>2627.4504405161078</v>
      </c>
      <c r="N543" s="25">
        <f t="shared" si="107"/>
        <v>5479359.464092684</v>
      </c>
      <c r="O543" s="25">
        <f t="shared" si="96"/>
        <v>1613.4765967778128</v>
      </c>
      <c r="P543" s="25">
        <f t="shared" si="108"/>
        <v>108304122.22806722</v>
      </c>
      <c r="Q543" s="25">
        <f>O543/((1+'How much will I make'!$C$5/12)^(Calculations!$B$1*12-Calculations!$A543))</f>
        <v>2062.0772046842694</v>
      </c>
      <c r="R543" s="25">
        <f t="shared" si="109"/>
        <v>21903449.582359545</v>
      </c>
      <c r="S543" s="25">
        <f t="shared" si="97"/>
        <v>1267.5451763435342</v>
      </c>
      <c r="T543" s="25">
        <f t="shared" si="110"/>
        <v>580312657.22115719</v>
      </c>
      <c r="U543" s="25">
        <f>S543/((1+'How much will I make'!$C$5/12)^(Calculations!$B$1*12-Calculations!$A543))</f>
        <v>1619.9652472588298</v>
      </c>
      <c r="V543" s="25">
        <f t="shared" si="111"/>
        <v>105398642.0400843</v>
      </c>
      <c r="W543" s="25">
        <f t="shared" si="98"/>
        <v>996.7611564697097</v>
      </c>
      <c r="X543" s="25">
        <f t="shared" si="112"/>
        <v>3284730532.0901861</v>
      </c>
      <c r="Y543" s="25">
        <f>W543/((1+'How much will I make'!$C$5/12)^(Calculations!$B$1*12-Calculations!$A543))</f>
        <v>1273.8941881001836</v>
      </c>
      <c r="Z543" s="25">
        <f t="shared" si="113"/>
        <v>560079896.85276723</v>
      </c>
      <c r="AA543" s="25">
        <f t="shared" si="99"/>
        <v>784.58894053569634</v>
      </c>
      <c r="AB543" s="25">
        <f t="shared" si="114"/>
        <v>19205056369.214832</v>
      </c>
      <c r="AC543" s="25">
        <f>AA543/((1+'How much will I make'!$C$5/12)^(Calculations!$B$1*12-Calculations!$A543))</f>
        <v>1002.7309801437643</v>
      </c>
      <c r="AD543" s="25">
        <f t="shared" si="115"/>
        <v>3144540971.1364455</v>
      </c>
      <c r="AE543" s="25">
        <f t="shared" si="100"/>
        <v>618.17758795023451</v>
      </c>
      <c r="AF543" s="25">
        <f t="shared" si="116"/>
        <v>114565025513.68159</v>
      </c>
      <c r="AG543" s="25">
        <f>AE543/((1+'How much will I make'!$C$5/12)^(Calculations!$B$1*12-Calculations!$A543))</f>
        <v>790.05169030934712</v>
      </c>
      <c r="AH543" s="25">
        <f t="shared" si="117"/>
        <v>18238856323.713634</v>
      </c>
    </row>
    <row r="544" spans="1:34" ht="15.75" customHeight="1">
      <c r="A544" s="22">
        <f t="shared" si="101"/>
        <v>540</v>
      </c>
      <c r="B544" s="22">
        <f t="shared" si="119"/>
        <v>4278.5751397584854</v>
      </c>
      <c r="C544" s="25">
        <f t="shared" si="93"/>
        <v>3333.8888117759902</v>
      </c>
      <c r="D544" s="25">
        <f t="shared" si="102"/>
        <v>1887700.7973462066</v>
      </c>
      <c r="E544" s="25">
        <f>$C544/((1+'How much will I make'!$C$5/12)^(Calculations!$B$1*12-Calculations!$A544))</f>
        <v>4278.5751397584854</v>
      </c>
      <c r="F544" s="25">
        <f t="shared" si="103"/>
        <v>958200.9352191377</v>
      </c>
      <c r="G544" s="25">
        <f t="shared" si="94"/>
        <v>2600.4691576869541</v>
      </c>
      <c r="H544" s="25">
        <f t="shared" si="104"/>
        <v>5539434.9679601239</v>
      </c>
      <c r="I544" s="25">
        <f>G544/((1+'How much will I make'!$C$5/12)^(Calculations!$B$1*12-Calculations!$A544))</f>
        <v>3337.3346616982753</v>
      </c>
      <c r="J544" s="25">
        <f t="shared" si="105"/>
        <v>1880836.69021604</v>
      </c>
      <c r="K544" s="25">
        <f t="shared" si="95"/>
        <v>2030.4731464849538</v>
      </c>
      <c r="L544" s="25">
        <f t="shared" si="106"/>
        <v>22319607.773391385</v>
      </c>
      <c r="M544" s="25">
        <f>K544/((1+'How much will I make'!$C$5/12)^(Calculations!$B$1*12-Calculations!$A544))</f>
        <v>2605.8253340098022</v>
      </c>
      <c r="N544" s="25">
        <f t="shared" si="107"/>
        <v>5481965.2894266937</v>
      </c>
      <c r="O544" s="25">
        <f t="shared" si="96"/>
        <v>1587.0261607650616</v>
      </c>
      <c r="P544" s="25">
        <f t="shared" si="108"/>
        <v>108305709.25422798</v>
      </c>
      <c r="Q544" s="25">
        <f>O544/((1+'How much will I make'!$C$5/12)^(Calculations!$B$1*12-Calculations!$A544))</f>
        <v>2036.7237964299547</v>
      </c>
      <c r="R544" s="25">
        <f t="shared" si="109"/>
        <v>21905486.306155976</v>
      </c>
      <c r="S544" s="25">
        <f t="shared" si="97"/>
        <v>1241.6769074385643</v>
      </c>
      <c r="T544" s="25">
        <f t="shared" si="110"/>
        <v>580313898.89806461</v>
      </c>
      <c r="U544" s="25">
        <f>S544/((1+'How much will I make'!$C$5/12)^(Calculations!$B$1*12-Calculations!$A544))</f>
        <v>1593.516835058686</v>
      </c>
      <c r="V544" s="25">
        <f t="shared" si="111"/>
        <v>105400235.55691937</v>
      </c>
      <c r="W544" s="25">
        <f t="shared" si="98"/>
        <v>972.4499087509364</v>
      </c>
      <c r="X544" s="25">
        <f t="shared" si="112"/>
        <v>3284731504.5400949</v>
      </c>
      <c r="Y544" s="25">
        <f>W544/((1+'How much will I make'!$C$5/12)^(Calculations!$B$1*12-Calculations!$A544))</f>
        <v>1248.0020298054644</v>
      </c>
      <c r="Z544" s="25">
        <f t="shared" si="113"/>
        <v>560081144.85479701</v>
      </c>
      <c r="AA544" s="25">
        <f t="shared" si="99"/>
        <v>762.35362643144606</v>
      </c>
      <c r="AB544" s="25">
        <f t="shared" si="114"/>
        <v>19205057131.568459</v>
      </c>
      <c r="AC544" s="25">
        <f>AA544/((1+'How much will I make'!$C$5/12)^(Calculations!$B$1*12-Calculations!$A544))</f>
        <v>978.37314256942216</v>
      </c>
      <c r="AD544" s="25">
        <f t="shared" si="115"/>
        <v>3144541949.5095882</v>
      </c>
      <c r="AE544" s="25">
        <f t="shared" si="100"/>
        <v>598.23637543571056</v>
      </c>
      <c r="AF544" s="25">
        <f t="shared" si="116"/>
        <v>114565026111.91797</v>
      </c>
      <c r="AG544" s="25">
        <f>AE544/((1+'How much will I make'!$C$5/12)^(Calculations!$B$1*12-Calculations!$A544))</f>
        <v>767.75184421190556</v>
      </c>
      <c r="AH544" s="25">
        <f t="shared" si="117"/>
        <v>18238857091.465477</v>
      </c>
    </row>
    <row r="545" spans="1:34" ht="15.75" customHeight="1">
      <c r="A545" s="22">
        <f t="shared" si="101"/>
        <v>541</v>
      </c>
      <c r="B545" s="22">
        <f>B544*(1+'How much will I make'!$C$4)</f>
        <v>4492.5038967464097</v>
      </c>
      <c r="C545" s="25">
        <f t="shared" si="93"/>
        <v>3486.0580106537327</v>
      </c>
      <c r="D545" s="25">
        <f t="shared" si="102"/>
        <v>1891186.8553568604</v>
      </c>
      <c r="E545" s="25">
        <f>$C545/((1+'How much will I make'!$C$5/12)^(Calculations!$B$1*12-Calculations!$A545))</f>
        <v>4492.5038967464097</v>
      </c>
      <c r="F545" s="25">
        <f t="shared" si="103"/>
        <v>962693.43911588413</v>
      </c>
      <c r="G545" s="25">
        <f t="shared" si="94"/>
        <v>2707.9265608971591</v>
      </c>
      <c r="H545" s="25">
        <f t="shared" si="104"/>
        <v>5542142.8945210213</v>
      </c>
      <c r="I545" s="25">
        <f>G545/((1+'How much will I make'!$C$5/12)^(Calculations!$B$1*12-Calculations!$A545))</f>
        <v>3489.7212237303665</v>
      </c>
      <c r="J545" s="25">
        <f t="shared" si="105"/>
        <v>1884326.4114397704</v>
      </c>
      <c r="K545" s="25">
        <f t="shared" si="95"/>
        <v>2105.6758556140267</v>
      </c>
      <c r="L545" s="25">
        <f t="shared" si="106"/>
        <v>22321713.449246999</v>
      </c>
      <c r="M545" s="25">
        <f>K545/((1+'How much will I make'!$C$5/12)^(Calculations!$B$1*12-Calculations!$A545))</f>
        <v>2713.5971225151466</v>
      </c>
      <c r="N545" s="25">
        <f t="shared" si="107"/>
        <v>5484678.8865492092</v>
      </c>
      <c r="O545" s="25">
        <f t="shared" si="96"/>
        <v>1639.0598053803092</v>
      </c>
      <c r="P545" s="25">
        <f t="shared" si="108"/>
        <v>108307348.31403336</v>
      </c>
      <c r="Q545" s="25">
        <f>O545/((1+'How much will I make'!$C$5/12)^(Calculations!$B$1*12-Calculations!$A545))</f>
        <v>2112.2662159286883</v>
      </c>
      <c r="R545" s="25">
        <f t="shared" si="109"/>
        <v>21907598.572371904</v>
      </c>
      <c r="S545" s="25">
        <f t="shared" si="97"/>
        <v>1277.1533905082374</v>
      </c>
      <c r="T545" s="25">
        <f t="shared" si="110"/>
        <v>580315176.05145514</v>
      </c>
      <c r="U545" s="25">
        <f>S545/((1+'How much will I make'!$C$5/12)^(Calculations!$B$1*12-Calculations!$A545))</f>
        <v>1645.8752453534712</v>
      </c>
      <c r="V545" s="25">
        <f t="shared" si="111"/>
        <v>105401881.43216471</v>
      </c>
      <c r="W545" s="25">
        <f t="shared" si="98"/>
        <v>996.16819920827629</v>
      </c>
      <c r="X545" s="25">
        <f t="shared" si="112"/>
        <v>3284732500.7082939</v>
      </c>
      <c r="Y545" s="25">
        <f>W545/((1+'How much will I make'!$C$5/12)^(Calculations!$B$1*12-Calculations!$A545))</f>
        <v>1283.7679416352553</v>
      </c>
      <c r="Z545" s="25">
        <f t="shared" si="113"/>
        <v>560082428.6227386</v>
      </c>
      <c r="AA545" s="25">
        <f t="shared" si="99"/>
        <v>777.78588607580741</v>
      </c>
      <c r="AB545" s="25">
        <f t="shared" si="114"/>
        <v>19205057909.354343</v>
      </c>
      <c r="AC545" s="25">
        <f>AA545/((1+'How much will I make'!$C$5/12)^(Calculations!$B$1*12-Calculations!$A545))</f>
        <v>1002.3373430250701</v>
      </c>
      <c r="AD545" s="25">
        <f t="shared" si="115"/>
        <v>3144542951.8469315</v>
      </c>
      <c r="AE545" s="25">
        <f t="shared" si="100"/>
        <v>607.88534923306077</v>
      </c>
      <c r="AF545" s="25">
        <f t="shared" si="116"/>
        <v>114565026719.80331</v>
      </c>
      <c r="AG545" s="25">
        <f>AE545/((1+'How much will I make'!$C$5/12)^(Calculations!$B$1*12-Calculations!$A545))</f>
        <v>783.38550071702707</v>
      </c>
      <c r="AH545" s="25">
        <f t="shared" si="117"/>
        <v>18238857874.850979</v>
      </c>
    </row>
    <row r="546" spans="1:34" ht="15.75" customHeight="1">
      <c r="A546" s="22">
        <f t="shared" si="101"/>
        <v>542</v>
      </c>
      <c r="B546" s="22">
        <f t="shared" ref="B546:B556" si="120">B545</f>
        <v>4492.5038967464097</v>
      </c>
      <c r="C546" s="25">
        <f t="shared" si="93"/>
        <v>3471.5930396551698</v>
      </c>
      <c r="D546" s="25">
        <f t="shared" si="102"/>
        <v>1894658.4483965156</v>
      </c>
      <c r="E546" s="25">
        <f>$C546/((1+'How much will I make'!$C$5/12)^(Calculations!$B$1*12-Calculations!$A546))</f>
        <v>4492.5038967464097</v>
      </c>
      <c r="F546" s="25">
        <f t="shared" si="103"/>
        <v>967185.94301263057</v>
      </c>
      <c r="G546" s="25">
        <f t="shared" si="94"/>
        <v>2685.5470025426366</v>
      </c>
      <c r="H546" s="25">
        <f t="shared" si="104"/>
        <v>5544828.441523564</v>
      </c>
      <c r="I546" s="25">
        <f>G546/((1+'How much will I make'!$C$5/12)^(Calculations!$B$1*12-Calculations!$A546))</f>
        <v>3475.3008880951161</v>
      </c>
      <c r="J546" s="25">
        <f t="shared" si="105"/>
        <v>1887801.7123278654</v>
      </c>
      <c r="K546" s="25">
        <f t="shared" si="95"/>
        <v>2079.6798573965689</v>
      </c>
      <c r="L546" s="25">
        <f t="shared" si="106"/>
        <v>22323793.129104394</v>
      </c>
      <c r="M546" s="25">
        <f>K546/((1+'How much will I make'!$C$5/12)^(Calculations!$B$1*12-Calculations!$A546))</f>
        <v>2691.2629898195478</v>
      </c>
      <c r="N546" s="25">
        <f t="shared" si="107"/>
        <v>5487370.1495390292</v>
      </c>
      <c r="O546" s="25">
        <f t="shared" si="96"/>
        <v>1612.1899725052224</v>
      </c>
      <c r="P546" s="25">
        <f t="shared" si="108"/>
        <v>108308960.50400586</v>
      </c>
      <c r="Q546" s="25">
        <f>O546/((1+'How much will I make'!$C$5/12)^(Calculations!$B$1*12-Calculations!$A546))</f>
        <v>2086.2957296672703</v>
      </c>
      <c r="R546" s="25">
        <f t="shared" si="109"/>
        <v>21909684.868101571</v>
      </c>
      <c r="S546" s="25">
        <f t="shared" si="97"/>
        <v>1251.0890355999063</v>
      </c>
      <c r="T546" s="25">
        <f t="shared" si="110"/>
        <v>580316427.14049077</v>
      </c>
      <c r="U546" s="25">
        <f>S546/((1+'How much will I make'!$C$5/12)^(Calculations!$B$1*12-Calculations!$A546))</f>
        <v>1619.0038127762718</v>
      </c>
      <c r="V546" s="25">
        <f t="shared" si="111"/>
        <v>105403500.43597749</v>
      </c>
      <c r="W546" s="25">
        <f t="shared" si="98"/>
        <v>971.87141386173323</v>
      </c>
      <c r="X546" s="25">
        <f t="shared" si="112"/>
        <v>3284733472.5797076</v>
      </c>
      <c r="Y546" s="25">
        <f>W546/((1+'How much will I make'!$C$5/12)^(Calculations!$B$1*12-Calculations!$A546))</f>
        <v>1257.6750972930754</v>
      </c>
      <c r="Z546" s="25">
        <f t="shared" si="113"/>
        <v>560083686.29783595</v>
      </c>
      <c r="AA546" s="25">
        <f t="shared" si="99"/>
        <v>755.74337108580471</v>
      </c>
      <c r="AB546" s="25">
        <f t="shared" si="114"/>
        <v>19205058665.097713</v>
      </c>
      <c r="AC546" s="25">
        <f>AA546/((1+'How much will I make'!$C$5/12)^(Calculations!$B$1*12-Calculations!$A546))</f>
        <v>977.98906748599939</v>
      </c>
      <c r="AD546" s="25">
        <f t="shared" si="115"/>
        <v>3144543929.835999</v>
      </c>
      <c r="AE546" s="25">
        <f t="shared" si="100"/>
        <v>588.276144419091</v>
      </c>
      <c r="AF546" s="25">
        <f t="shared" si="116"/>
        <v>114565027308.07945</v>
      </c>
      <c r="AG546" s="25">
        <f>AE546/((1+'How much will I make'!$C$5/12)^(Calculations!$B$1*12-Calculations!$A546))</f>
        <v>761.2738131967883</v>
      </c>
      <c r="AH546" s="25">
        <f t="shared" si="117"/>
        <v>18238858636.12479</v>
      </c>
    </row>
    <row r="547" spans="1:34" ht="15.75" customHeight="1">
      <c r="A547" s="22">
        <f t="shared" si="101"/>
        <v>543</v>
      </c>
      <c r="B547" s="22">
        <f t="shared" si="120"/>
        <v>4492.5038967464097</v>
      </c>
      <c r="C547" s="25">
        <f t="shared" si="93"/>
        <v>3457.1880892831546</v>
      </c>
      <c r="D547" s="25">
        <f t="shared" si="102"/>
        <v>1898115.6364857988</v>
      </c>
      <c r="E547" s="25">
        <f>$C547/((1+'How much will I make'!$C$5/12)^(Calculations!$B$1*12-Calculations!$A547))</f>
        <v>4492.5038967464097</v>
      </c>
      <c r="F547" s="25">
        <f t="shared" si="103"/>
        <v>971678.446909377</v>
      </c>
      <c r="G547" s="25">
        <f t="shared" si="94"/>
        <v>2663.3523992158389</v>
      </c>
      <c r="H547" s="25">
        <f t="shared" si="104"/>
        <v>5547491.7939227801</v>
      </c>
      <c r="I547" s="25">
        <f>G547/((1+'How much will I make'!$C$5/12)^(Calculations!$B$1*12-Calculations!$A547))</f>
        <v>3460.940140623652</v>
      </c>
      <c r="J547" s="25">
        <f t="shared" si="105"/>
        <v>1891262.652468489</v>
      </c>
      <c r="K547" s="25">
        <f t="shared" si="95"/>
        <v>2054.0047974287104</v>
      </c>
      <c r="L547" s="25">
        <f t="shared" si="106"/>
        <v>22325847.133901823</v>
      </c>
      <c r="M547" s="25">
        <f>K547/((1+'How much will I make'!$C$5/12)^(Calculations!$B$1*12-Calculations!$A547))</f>
        <v>2669.1126771461377</v>
      </c>
      <c r="N547" s="25">
        <f t="shared" si="107"/>
        <v>5490039.262216175</v>
      </c>
      <c r="O547" s="25">
        <f t="shared" si="96"/>
        <v>1585.7606286936618</v>
      </c>
      <c r="P547" s="25">
        <f t="shared" si="108"/>
        <v>108310546.26463456</v>
      </c>
      <c r="Q547" s="25">
        <f>O547/((1+'How much will I make'!$C$5/12)^(Calculations!$B$1*12-Calculations!$A547))</f>
        <v>2060.6445526631665</v>
      </c>
      <c r="R547" s="25">
        <f t="shared" si="109"/>
        <v>21911745.512654234</v>
      </c>
      <c r="S547" s="25">
        <f t="shared" si="97"/>
        <v>1225.5566063019494</v>
      </c>
      <c r="T547" s="25">
        <f t="shared" si="110"/>
        <v>580317652.69709706</v>
      </c>
      <c r="U547" s="25">
        <f>S547/((1+'How much will I make'!$C$5/12)^(Calculations!$B$1*12-Calculations!$A547))</f>
        <v>1592.5710974656402</v>
      </c>
      <c r="V547" s="25">
        <f t="shared" si="111"/>
        <v>105405093.00707495</v>
      </c>
      <c r="W547" s="25">
        <f t="shared" si="98"/>
        <v>948.16723303583694</v>
      </c>
      <c r="X547" s="25">
        <f t="shared" si="112"/>
        <v>3284734420.7469406</v>
      </c>
      <c r="Y547" s="25">
        <f>W547/((1+'How much will I make'!$C$5/12)^(Calculations!$B$1*12-Calculations!$A547))</f>
        <v>1232.1125953155743</v>
      </c>
      <c r="Z547" s="25">
        <f t="shared" si="113"/>
        <v>560084918.41043127</v>
      </c>
      <c r="AA547" s="25">
        <f t="shared" si="99"/>
        <v>734.32554275543805</v>
      </c>
      <c r="AB547" s="25">
        <f t="shared" si="114"/>
        <v>19205059399.423256</v>
      </c>
      <c r="AC547" s="25">
        <f>AA547/((1+'How much will I make'!$C$5/12)^(Calculations!$B$1*12-Calculations!$A547))</f>
        <v>954.23224803289918</v>
      </c>
      <c r="AD547" s="25">
        <f t="shared" si="115"/>
        <v>3144544884.0682468</v>
      </c>
      <c r="AE547" s="25">
        <f t="shared" si="100"/>
        <v>569.29949459912029</v>
      </c>
      <c r="AF547" s="25">
        <f t="shared" si="116"/>
        <v>114565027877.37895</v>
      </c>
      <c r="AG547" s="25">
        <f>AE547/((1+'How much will I make'!$C$5/12)^(Calculations!$B$1*12-Calculations!$A547))</f>
        <v>739.78624588881485</v>
      </c>
      <c r="AH547" s="25">
        <f t="shared" si="117"/>
        <v>18238859375.911037</v>
      </c>
    </row>
    <row r="548" spans="1:34" ht="15.75" customHeight="1">
      <c r="A548" s="22">
        <f t="shared" si="101"/>
        <v>544</v>
      </c>
      <c r="B548" s="22">
        <f t="shared" si="120"/>
        <v>4492.5038967464097</v>
      </c>
      <c r="C548" s="25">
        <f t="shared" si="93"/>
        <v>3442.8429104894494</v>
      </c>
      <c r="D548" s="25">
        <f t="shared" si="102"/>
        <v>1901558.4793962883</v>
      </c>
      <c r="E548" s="25">
        <f>$C548/((1+'How much will I make'!$C$5/12)^(Calculations!$B$1*12-Calculations!$A548))</f>
        <v>4492.5038967464097</v>
      </c>
      <c r="F548" s="25">
        <f t="shared" si="103"/>
        <v>976170.95080612344</v>
      </c>
      <c r="G548" s="25">
        <f t="shared" si="94"/>
        <v>2641.3412223628152</v>
      </c>
      <c r="H548" s="25">
        <f t="shared" si="104"/>
        <v>5550133.1351451427</v>
      </c>
      <c r="I548" s="25">
        <f>G548/((1+'How much will I make'!$C$5/12)^(Calculations!$B$1*12-Calculations!$A548))</f>
        <v>3446.6387350838836</v>
      </c>
      <c r="J548" s="25">
        <f t="shared" si="105"/>
        <v>1894709.2912035729</v>
      </c>
      <c r="K548" s="25">
        <f t="shared" si="95"/>
        <v>2028.6467135098371</v>
      </c>
      <c r="L548" s="25">
        <f t="shared" si="106"/>
        <v>22327875.780615333</v>
      </c>
      <c r="M548" s="25">
        <f>K548/((1+'How much will I make'!$C$5/12)^(Calculations!$B$1*12-Calculations!$A548))</f>
        <v>2647.1446715729171</v>
      </c>
      <c r="N548" s="25">
        <f t="shared" si="107"/>
        <v>5492686.4068877483</v>
      </c>
      <c r="O548" s="25">
        <f t="shared" si="96"/>
        <v>1559.7645528134378</v>
      </c>
      <c r="P548" s="25">
        <f t="shared" si="108"/>
        <v>108312106.02918738</v>
      </c>
      <c r="Q548" s="25">
        <f>O548/((1+'How much will I make'!$C$5/12)^(Calculations!$B$1*12-Calculations!$A548))</f>
        <v>2035.3087589828806</v>
      </c>
      <c r="R548" s="25">
        <f t="shared" si="109"/>
        <v>21913780.821413215</v>
      </c>
      <c r="S548" s="25">
        <f t="shared" si="97"/>
        <v>1200.5452469896645</v>
      </c>
      <c r="T548" s="25">
        <f t="shared" si="110"/>
        <v>580318853.24234402</v>
      </c>
      <c r="U548" s="25">
        <f>S548/((1+'How much will I make'!$C$5/12)^(Calculations!$B$1*12-Calculations!$A548))</f>
        <v>1566.5699366906902</v>
      </c>
      <c r="V548" s="25">
        <f t="shared" si="111"/>
        <v>105406659.57701164</v>
      </c>
      <c r="W548" s="25">
        <f t="shared" si="98"/>
        <v>925.04120296179235</v>
      </c>
      <c r="X548" s="25">
        <f t="shared" si="112"/>
        <v>3284735345.7881436</v>
      </c>
      <c r="Y548" s="25">
        <f>W548/((1+'How much will I make'!$C$5/12)^(Calculations!$B$1*12-Calculations!$A548))</f>
        <v>1207.0696563863958</v>
      </c>
      <c r="Z548" s="25">
        <f t="shared" si="113"/>
        <v>560086125.48008764</v>
      </c>
      <c r="AA548" s="25">
        <f t="shared" si="99"/>
        <v>713.51469741419089</v>
      </c>
      <c r="AB548" s="25">
        <f t="shared" si="114"/>
        <v>19205060112.937954</v>
      </c>
      <c r="AC548" s="25">
        <f>AA548/((1+'How much will I make'!$C$5/12)^(Calculations!$B$1*12-Calculations!$A548))</f>
        <v>931.05251731145199</v>
      </c>
      <c r="AD548" s="25">
        <f t="shared" si="115"/>
        <v>3144545815.1207643</v>
      </c>
      <c r="AE548" s="25">
        <f t="shared" si="100"/>
        <v>550.93499477334205</v>
      </c>
      <c r="AF548" s="25">
        <f t="shared" si="116"/>
        <v>114565028428.31395</v>
      </c>
      <c r="AG548" s="25">
        <f>AE548/((1+'How much will I make'!$C$5/12)^(Calculations!$B$1*12-Calculations!$A548))</f>
        <v>718.90518249679133</v>
      </c>
      <c r="AH548" s="25">
        <f t="shared" si="117"/>
        <v>18238860094.816219</v>
      </c>
    </row>
    <row r="549" spans="1:34" ht="15.75" customHeight="1">
      <c r="A549" s="22">
        <f t="shared" si="101"/>
        <v>545</v>
      </c>
      <c r="B549" s="22">
        <f t="shared" si="120"/>
        <v>4492.5038967464097</v>
      </c>
      <c r="C549" s="25">
        <f t="shared" si="93"/>
        <v>3428.557255259203</v>
      </c>
      <c r="D549" s="25">
        <f t="shared" si="102"/>
        <v>1904987.0366515475</v>
      </c>
      <c r="E549" s="25">
        <f>$C549/((1+'How much will I make'!$C$5/12)^(Calculations!$B$1*12-Calculations!$A549))</f>
        <v>4492.5038967464097</v>
      </c>
      <c r="F549" s="25">
        <f t="shared" si="103"/>
        <v>980663.45470286987</v>
      </c>
      <c r="G549" s="25">
        <f t="shared" si="94"/>
        <v>2619.5119560622961</v>
      </c>
      <c r="H549" s="25">
        <f t="shared" si="104"/>
        <v>5552752.6471012048</v>
      </c>
      <c r="I549" s="25">
        <f>G549/((1+'How much will I make'!$C$5/12)^(Calculations!$B$1*12-Calculations!$A549))</f>
        <v>3432.3964262612226</v>
      </c>
      <c r="J549" s="25">
        <f t="shared" si="105"/>
        <v>1898141.6876298341</v>
      </c>
      <c r="K549" s="25">
        <f t="shared" si="95"/>
        <v>2003.6016923553946</v>
      </c>
      <c r="L549" s="25">
        <f t="shared" si="106"/>
        <v>22329879.38230769</v>
      </c>
      <c r="M549" s="25">
        <f>K549/((1+'How much will I make'!$C$5/12)^(Calculations!$B$1*12-Calculations!$A549))</f>
        <v>2625.3574726299298</v>
      </c>
      <c r="N549" s="25">
        <f t="shared" si="107"/>
        <v>5495311.7643603785</v>
      </c>
      <c r="O549" s="25">
        <f t="shared" si="96"/>
        <v>1534.1946421115783</v>
      </c>
      <c r="P549" s="25">
        <f t="shared" si="108"/>
        <v>108313640.22382949</v>
      </c>
      <c r="Q549" s="25">
        <f>O549/((1+'How much will I make'!$C$5/12)^(Calculations!$B$1*12-Calculations!$A549))</f>
        <v>2010.2844709625995</v>
      </c>
      <c r="R549" s="25">
        <f t="shared" si="109"/>
        <v>21915791.105884179</v>
      </c>
      <c r="S549" s="25">
        <f t="shared" si="97"/>
        <v>1176.0443235817124</v>
      </c>
      <c r="T549" s="25">
        <f t="shared" si="110"/>
        <v>580320029.28666759</v>
      </c>
      <c r="U549" s="25">
        <f>S549/((1+'How much will I make'!$C$5/12)^(Calculations!$B$1*12-Calculations!$A549))</f>
        <v>1540.9932846630873</v>
      </c>
      <c r="V549" s="25">
        <f t="shared" si="111"/>
        <v>105408200.5702963</v>
      </c>
      <c r="W549" s="25">
        <f t="shared" si="98"/>
        <v>902.47922240174887</v>
      </c>
      <c r="X549" s="25">
        <f t="shared" si="112"/>
        <v>3284736248.2673659</v>
      </c>
      <c r="Y549" s="25">
        <f>W549/((1+'How much will I make'!$C$5/12)^(Calculations!$B$1*12-Calculations!$A549))</f>
        <v>1182.5357202809814</v>
      </c>
      <c r="Z549" s="25">
        <f t="shared" si="113"/>
        <v>560087308.01580787</v>
      </c>
      <c r="AA549" s="25">
        <f t="shared" si="99"/>
        <v>693.29363311500344</v>
      </c>
      <c r="AB549" s="25">
        <f t="shared" si="114"/>
        <v>19205060806.231586</v>
      </c>
      <c r="AC549" s="25">
        <f>AA549/((1+'How much will I make'!$C$5/12)^(Calculations!$B$1*12-Calculations!$A549))</f>
        <v>908.43585697190269</v>
      </c>
      <c r="AD549" s="25">
        <f t="shared" si="115"/>
        <v>3144546723.5566211</v>
      </c>
      <c r="AE549" s="25">
        <f t="shared" si="100"/>
        <v>533.16289816775043</v>
      </c>
      <c r="AF549" s="25">
        <f t="shared" si="116"/>
        <v>114565028961.47685</v>
      </c>
      <c r="AG549" s="25">
        <f>AE549/((1+'How much will I make'!$C$5/12)^(Calculations!$B$1*12-Calculations!$A549))</f>
        <v>698.61350395857551</v>
      </c>
      <c r="AH549" s="25">
        <f t="shared" si="117"/>
        <v>18238860793.429722</v>
      </c>
    </row>
    <row r="550" spans="1:34" ht="15.75" customHeight="1">
      <c r="A550" s="22">
        <f t="shared" si="101"/>
        <v>546</v>
      </c>
      <c r="B550" s="22">
        <f t="shared" si="120"/>
        <v>4492.5038967464097</v>
      </c>
      <c r="C550" s="25">
        <f t="shared" si="93"/>
        <v>3414.3308766066748</v>
      </c>
      <c r="D550" s="25">
        <f t="shared" si="102"/>
        <v>1908401.3675281543</v>
      </c>
      <c r="E550" s="25">
        <f>$C550/((1+'How much will I make'!$C$5/12)^(Calculations!$B$1*12-Calculations!$A550))</f>
        <v>4492.5038967464097</v>
      </c>
      <c r="F550" s="25">
        <f t="shared" si="103"/>
        <v>985155.95859961631</v>
      </c>
      <c r="G550" s="25">
        <f t="shared" si="94"/>
        <v>2597.8630969212854</v>
      </c>
      <c r="H550" s="25">
        <f t="shared" si="104"/>
        <v>5555350.5101981265</v>
      </c>
      <c r="I550" s="25">
        <f>G550/((1+'How much will I make'!$C$5/12)^(Calculations!$B$1*12-Calculations!$A550))</f>
        <v>3418.2129699543584</v>
      </c>
      <c r="J550" s="25">
        <f t="shared" si="105"/>
        <v>1901559.9005997884</v>
      </c>
      <c r="K550" s="25">
        <f t="shared" si="95"/>
        <v>1978.8658689929825</v>
      </c>
      <c r="L550" s="25">
        <f t="shared" si="106"/>
        <v>22331858.248176683</v>
      </c>
      <c r="M550" s="25">
        <f>K550/((1+'How much will I make'!$C$5/12)^(Calculations!$B$1*12-Calculations!$A550))</f>
        <v>2603.7495921967625</v>
      </c>
      <c r="N550" s="25">
        <f t="shared" si="107"/>
        <v>5497915.5139525756</v>
      </c>
      <c r="O550" s="25">
        <f t="shared" si="96"/>
        <v>1509.0439102736834</v>
      </c>
      <c r="P550" s="25">
        <f t="shared" si="108"/>
        <v>108315149.26773977</v>
      </c>
      <c r="Q550" s="25">
        <f>O550/((1+'How much will I make'!$C$5/12)^(Calculations!$B$1*12-Calculations!$A550))</f>
        <v>1985.5678586146985</v>
      </c>
      <c r="R550" s="25">
        <f t="shared" si="109"/>
        <v>21917776.673742794</v>
      </c>
      <c r="S550" s="25">
        <f t="shared" si="97"/>
        <v>1152.0434190188205</v>
      </c>
      <c r="T550" s="25">
        <f t="shared" si="110"/>
        <v>580321181.33008659</v>
      </c>
      <c r="U550" s="25">
        <f>S550/((1+'How much will I make'!$C$5/12)^(Calculations!$B$1*12-Calculations!$A550))</f>
        <v>1515.8342106277721</v>
      </c>
      <c r="V550" s="25">
        <f t="shared" si="111"/>
        <v>105409716.40450694</v>
      </c>
      <c r="W550" s="25">
        <f t="shared" si="98"/>
        <v>880.46753405048662</v>
      </c>
      <c r="X550" s="25">
        <f t="shared" si="112"/>
        <v>3284737128.7349</v>
      </c>
      <c r="Y550" s="25">
        <f>W550/((1+'How much will I make'!$C$5/12)^(Calculations!$B$1*12-Calculations!$A550))</f>
        <v>1158.5004414134819</v>
      </c>
      <c r="Z550" s="25">
        <f t="shared" si="113"/>
        <v>560088466.5162493</v>
      </c>
      <c r="AA550" s="25">
        <f t="shared" si="99"/>
        <v>673.64563541538803</v>
      </c>
      <c r="AB550" s="25">
        <f t="shared" si="114"/>
        <v>19205061479.87722</v>
      </c>
      <c r="AC550" s="25">
        <f>AA550/((1+'How much will I make'!$C$5/12)^(Calculations!$B$1*12-Calculations!$A550))</f>
        <v>886.36858919120891</v>
      </c>
      <c r="AD550" s="25">
        <f t="shared" si="115"/>
        <v>3144547609.9252105</v>
      </c>
      <c r="AE550" s="25">
        <f t="shared" si="100"/>
        <v>515.9640950010488</v>
      </c>
      <c r="AF550" s="25">
        <f t="shared" si="116"/>
        <v>114565029477.44095</v>
      </c>
      <c r="AG550" s="25">
        <f>AE550/((1+'How much will I make'!$C$5/12)^(Calculations!$B$1*12-Calculations!$A550))</f>
        <v>678.89457441135767</v>
      </c>
      <c r="AH550" s="25">
        <f t="shared" si="117"/>
        <v>18238861472.324295</v>
      </c>
    </row>
    <row r="551" spans="1:34" ht="15.75" customHeight="1">
      <c r="A551" s="22">
        <f t="shared" si="101"/>
        <v>547</v>
      </c>
      <c r="B551" s="22">
        <f t="shared" si="120"/>
        <v>4492.5038967464097</v>
      </c>
      <c r="C551" s="25">
        <f t="shared" si="93"/>
        <v>3400.1635285709626</v>
      </c>
      <c r="D551" s="25">
        <f t="shared" si="102"/>
        <v>1911801.5310567252</v>
      </c>
      <c r="E551" s="25">
        <f>$C551/((1+'How much will I make'!$C$5/12)^(Calculations!$B$1*12-Calculations!$A551))</f>
        <v>4492.5038967464097</v>
      </c>
      <c r="F551" s="25">
        <f t="shared" si="103"/>
        <v>989648.46249636274</v>
      </c>
      <c r="G551" s="25">
        <f t="shared" si="94"/>
        <v>2576.3931539715231</v>
      </c>
      <c r="H551" s="25">
        <f t="shared" si="104"/>
        <v>5557926.9033520976</v>
      </c>
      <c r="I551" s="25">
        <f>G551/((1+'How much will I make'!$C$5/12)^(Calculations!$B$1*12-Calculations!$A551))</f>
        <v>3404.0881229710767</v>
      </c>
      <c r="J551" s="25">
        <f t="shared" si="105"/>
        <v>1904963.9887227595</v>
      </c>
      <c r="K551" s="25">
        <f t="shared" si="95"/>
        <v>1954.4354261659089</v>
      </c>
      <c r="L551" s="25">
        <f t="shared" si="106"/>
        <v>22333812.683602847</v>
      </c>
      <c r="M551" s="25">
        <f>K551/((1+'How much will I make'!$C$5/12)^(Calculations!$B$1*12-Calculations!$A551))</f>
        <v>2582.3195544009045</v>
      </c>
      <c r="N551" s="25">
        <f t="shared" si="107"/>
        <v>5500497.8335069763</v>
      </c>
      <c r="O551" s="25">
        <f t="shared" si="96"/>
        <v>1484.3054855150988</v>
      </c>
      <c r="P551" s="25">
        <f t="shared" si="108"/>
        <v>108316633.57322529</v>
      </c>
      <c r="Q551" s="25">
        <f>O551/((1+'How much will I make'!$C$5/12)^(Calculations!$B$1*12-Calculations!$A551))</f>
        <v>1961.1551390415675</v>
      </c>
      <c r="R551" s="25">
        <f t="shared" si="109"/>
        <v>21919737.828881834</v>
      </c>
      <c r="S551" s="25">
        <f t="shared" si="97"/>
        <v>1128.5323288347631</v>
      </c>
      <c r="T551" s="25">
        <f t="shared" si="110"/>
        <v>580322309.86241543</v>
      </c>
      <c r="U551" s="25">
        <f>S551/((1+'How much will I make'!$C$5/12)^(Calculations!$B$1*12-Calculations!$A551))</f>
        <v>1491.0858969848698</v>
      </c>
      <c r="V551" s="25">
        <f t="shared" si="111"/>
        <v>105411207.49040392</v>
      </c>
      <c r="W551" s="25">
        <f t="shared" si="98"/>
        <v>858.99271614681618</v>
      </c>
      <c r="X551" s="25">
        <f t="shared" si="112"/>
        <v>3284737987.7276163</v>
      </c>
      <c r="Y551" s="25">
        <f>W551/((1+'How much will I make'!$C$5/12)^(Calculations!$B$1*12-Calculations!$A551))</f>
        <v>1134.9536844741833</v>
      </c>
      <c r="Z551" s="25">
        <f t="shared" si="113"/>
        <v>560089601.46993375</v>
      </c>
      <c r="AA551" s="25">
        <f t="shared" si="99"/>
        <v>654.55446356151072</v>
      </c>
      <c r="AB551" s="25">
        <f t="shared" si="114"/>
        <v>19205062134.431683</v>
      </c>
      <c r="AC551" s="25">
        <f>AA551/((1+'How much will I make'!$C$5/12)^(Calculations!$B$1*12-Calculations!$A551))</f>
        <v>864.83736840113909</v>
      </c>
      <c r="AD551" s="25">
        <f t="shared" si="115"/>
        <v>3144548474.762579</v>
      </c>
      <c r="AE551" s="25">
        <f t="shared" si="100"/>
        <v>499.32009193649878</v>
      </c>
      <c r="AF551" s="25">
        <f t="shared" si="116"/>
        <v>114565029976.76105</v>
      </c>
      <c r="AG551" s="25">
        <f>AE551/((1+'How much will I make'!$C$5/12)^(Calculations!$B$1*12-Calculations!$A551))</f>
        <v>659.73222755297252</v>
      </c>
      <c r="AH551" s="25">
        <f t="shared" si="117"/>
        <v>18238862132.056522</v>
      </c>
    </row>
    <row r="552" spans="1:34" ht="15.75" customHeight="1">
      <c r="A552" s="22">
        <f t="shared" si="101"/>
        <v>548</v>
      </c>
      <c r="B552" s="22">
        <f t="shared" si="120"/>
        <v>4492.5038967464097</v>
      </c>
      <c r="C552" s="25">
        <f t="shared" si="93"/>
        <v>3386.0549662117464</v>
      </c>
      <c r="D552" s="25">
        <f t="shared" si="102"/>
        <v>1915187.586022937</v>
      </c>
      <c r="E552" s="25">
        <f>$C552/((1+'How much will I make'!$C$5/12)^(Calculations!$B$1*12-Calculations!$A552))</f>
        <v>4492.5038967464097</v>
      </c>
      <c r="F552" s="25">
        <f t="shared" si="103"/>
        <v>994140.96639310918</v>
      </c>
      <c r="G552" s="25">
        <f t="shared" si="94"/>
        <v>2555.1006485667995</v>
      </c>
      <c r="H552" s="25">
        <f t="shared" si="104"/>
        <v>5560482.0040006647</v>
      </c>
      <c r="I552" s="25">
        <f>G552/((1+'How much will I make'!$C$5/12)^(Calculations!$B$1*12-Calculations!$A552))</f>
        <v>3390.0216431240883</v>
      </c>
      <c r="J552" s="25">
        <f t="shared" si="105"/>
        <v>1908354.0103658836</v>
      </c>
      <c r="K552" s="25">
        <f t="shared" si="95"/>
        <v>1930.3065937441074</v>
      </c>
      <c r="L552" s="25">
        <f t="shared" si="106"/>
        <v>22335742.990196593</v>
      </c>
      <c r="M552" s="25">
        <f>K552/((1+'How much will I make'!$C$5/12)^(Calculations!$B$1*12-Calculations!$A552))</f>
        <v>2561.0658955169465</v>
      </c>
      <c r="N552" s="25">
        <f t="shared" si="107"/>
        <v>5503058.8994024936</v>
      </c>
      <c r="O552" s="25">
        <f t="shared" si="96"/>
        <v>1459.9726087033755</v>
      </c>
      <c r="P552" s="25">
        <f t="shared" si="108"/>
        <v>108318093.54583399</v>
      </c>
      <c r="Q552" s="25">
        <f>O552/((1+'How much will I make'!$C$5/12)^(Calculations!$B$1*12-Calculations!$A552))</f>
        <v>1937.0425758566298</v>
      </c>
      <c r="R552" s="25">
        <f t="shared" si="109"/>
        <v>21921674.871457689</v>
      </c>
      <c r="S552" s="25">
        <f t="shared" si="97"/>
        <v>1105.5010568177272</v>
      </c>
      <c r="T552" s="25">
        <f t="shared" si="110"/>
        <v>580323415.36347222</v>
      </c>
      <c r="U552" s="25">
        <f>S552/((1+'How much will I make'!$C$5/12)^(Calculations!$B$1*12-Calculations!$A552))</f>
        <v>1466.7416374422601</v>
      </c>
      <c r="V552" s="25">
        <f t="shared" si="111"/>
        <v>105412674.23204136</v>
      </c>
      <c r="W552" s="25">
        <f t="shared" si="98"/>
        <v>838.0416742895768</v>
      </c>
      <c r="X552" s="25">
        <f t="shared" si="112"/>
        <v>3284738825.7692904</v>
      </c>
      <c r="Y552" s="25">
        <f>W552/((1+'How much will I make'!$C$5/12)^(Calculations!$B$1*12-Calculations!$A552))</f>
        <v>1111.8855201556025</v>
      </c>
      <c r="Z552" s="25">
        <f t="shared" si="113"/>
        <v>560090713.35545385</v>
      </c>
      <c r="AA552" s="25">
        <f t="shared" si="99"/>
        <v>636.00433706381614</v>
      </c>
      <c r="AB552" s="25">
        <f t="shared" si="114"/>
        <v>19205062770.43602</v>
      </c>
      <c r="AC552" s="25">
        <f>AA552/((1+'How much will I make'!$C$5/12)^(Calculations!$B$1*12-Calculations!$A552))</f>
        <v>843.82917321730599</v>
      </c>
      <c r="AD552" s="25">
        <f t="shared" si="115"/>
        <v>3144549318.5917521</v>
      </c>
      <c r="AE552" s="25">
        <f t="shared" si="100"/>
        <v>483.21299219661159</v>
      </c>
      <c r="AF552" s="25">
        <f t="shared" si="116"/>
        <v>114565030459.97404</v>
      </c>
      <c r="AG552" s="25">
        <f>AE552/((1+'How much will I make'!$C$5/12)^(Calculations!$B$1*12-Calculations!$A552))</f>
        <v>641.11075338817079</v>
      </c>
      <c r="AH552" s="25">
        <f t="shared" si="117"/>
        <v>18238862773.167274</v>
      </c>
    </row>
    <row r="553" spans="1:34" ht="15.75" customHeight="1">
      <c r="A553" s="22">
        <f t="shared" si="101"/>
        <v>549</v>
      </c>
      <c r="B553" s="22">
        <f t="shared" si="120"/>
        <v>4492.5038967464097</v>
      </c>
      <c r="C553" s="25">
        <f t="shared" si="93"/>
        <v>3372.0049456050597</v>
      </c>
      <c r="D553" s="25">
        <f t="shared" si="102"/>
        <v>1918559.590968542</v>
      </c>
      <c r="E553" s="25">
        <f>$C553/((1+'How much will I make'!$C$5/12)^(Calculations!$B$1*12-Calculations!$A553))</f>
        <v>4492.5038967464097</v>
      </c>
      <c r="F553" s="25">
        <f t="shared" si="103"/>
        <v>998633.47028985561</v>
      </c>
      <c r="G553" s="25">
        <f t="shared" si="94"/>
        <v>2533.9841142811242</v>
      </c>
      <c r="H553" s="25">
        <f t="shared" si="104"/>
        <v>5563015.9881149456</v>
      </c>
      <c r="I553" s="25">
        <f>G553/((1+'How much will I make'!$C$5/12)^(Calculations!$B$1*12-Calculations!$A553))</f>
        <v>3376.0132892268816</v>
      </c>
      <c r="J553" s="25">
        <f t="shared" si="105"/>
        <v>1911730.0236551105</v>
      </c>
      <c r="K553" s="25">
        <f t="shared" si="95"/>
        <v>1906.4756481423285</v>
      </c>
      <c r="L553" s="25">
        <f t="shared" si="106"/>
        <v>22337649.465844736</v>
      </c>
      <c r="M553" s="25">
        <f>K553/((1+'How much will I make'!$C$5/12)^(Calculations!$B$1*12-Calculations!$A553))</f>
        <v>2539.9871638666009</v>
      </c>
      <c r="N553" s="25">
        <f t="shared" si="107"/>
        <v>5505598.8865663605</v>
      </c>
      <c r="O553" s="25">
        <f t="shared" si="96"/>
        <v>1436.038631511517</v>
      </c>
      <c r="P553" s="25">
        <f t="shared" si="108"/>
        <v>108319529.5844655</v>
      </c>
      <c r="Q553" s="25">
        <f>O553/((1+'How much will I make'!$C$5/12)^(Calculations!$B$1*12-Calculations!$A553))</f>
        <v>1913.2264786124906</v>
      </c>
      <c r="R553" s="25">
        <f t="shared" si="109"/>
        <v>21923588.097936302</v>
      </c>
      <c r="S553" s="25">
        <f t="shared" si="97"/>
        <v>1082.9398107602226</v>
      </c>
      <c r="T553" s="25">
        <f t="shared" si="110"/>
        <v>580324498.30328298</v>
      </c>
      <c r="U553" s="25">
        <f>S553/((1+'How much will I make'!$C$5/12)^(Calculations!$B$1*12-Calculations!$A553))</f>
        <v>1442.7948351983043</v>
      </c>
      <c r="V553" s="25">
        <f t="shared" si="111"/>
        <v>105414117.02687655</v>
      </c>
      <c r="W553" s="25">
        <f t="shared" si="98"/>
        <v>817.60163345324577</v>
      </c>
      <c r="X553" s="25">
        <f t="shared" si="112"/>
        <v>3284739643.370924</v>
      </c>
      <c r="Y553" s="25">
        <f>W553/((1+'How much will I make'!$C$5/12)^(Calculations!$B$1*12-Calculations!$A553))</f>
        <v>1089.2862209654479</v>
      </c>
      <c r="Z553" s="25">
        <f t="shared" si="113"/>
        <v>560091802.64167476</v>
      </c>
      <c r="AA553" s="25">
        <f t="shared" si="99"/>
        <v>617.97992265310086</v>
      </c>
      <c r="AB553" s="25">
        <f t="shared" si="114"/>
        <v>19205063388.415943</v>
      </c>
      <c r="AC553" s="25">
        <f>AA553/((1+'How much will I make'!$C$5/12)^(Calculations!$B$1*12-Calculations!$A553))</f>
        <v>823.33129856425398</v>
      </c>
      <c r="AD553" s="25">
        <f t="shared" si="115"/>
        <v>3144550141.9230504</v>
      </c>
      <c r="AE553" s="25">
        <f t="shared" si="100"/>
        <v>467.62547631930147</v>
      </c>
      <c r="AF553" s="25">
        <f t="shared" si="116"/>
        <v>114565030927.59952</v>
      </c>
      <c r="AG553" s="25">
        <f>AE553/((1+'How much will I make'!$C$5/12)^(Calculations!$B$1*12-Calculations!$A553))</f>
        <v>623.01488534898829</v>
      </c>
      <c r="AH553" s="25">
        <f t="shared" si="117"/>
        <v>18238863396.182159</v>
      </c>
    </row>
    <row r="554" spans="1:34" ht="15.75" customHeight="1">
      <c r="A554" s="22">
        <f t="shared" si="101"/>
        <v>550</v>
      </c>
      <c r="B554" s="22">
        <f t="shared" si="120"/>
        <v>4492.5038967464097</v>
      </c>
      <c r="C554" s="25">
        <f t="shared" si="93"/>
        <v>3358.0132238390629</v>
      </c>
      <c r="D554" s="25">
        <f t="shared" si="102"/>
        <v>1921917.604192381</v>
      </c>
      <c r="E554" s="25">
        <f>$C554/((1+'How much will I make'!$C$5/12)^(Calculations!$B$1*12-Calculations!$A554))</f>
        <v>4492.5038967464097</v>
      </c>
      <c r="F554" s="25">
        <f t="shared" si="103"/>
        <v>1003125.974186602</v>
      </c>
      <c r="G554" s="25">
        <f t="shared" si="94"/>
        <v>2513.042096807726</v>
      </c>
      <c r="H554" s="25">
        <f t="shared" si="104"/>
        <v>5565529.0302117532</v>
      </c>
      <c r="I554" s="25">
        <f>G554/((1+'How much will I make'!$C$5/12)^(Calculations!$B$1*12-Calculations!$A554))</f>
        <v>3362.0628210895807</v>
      </c>
      <c r="J554" s="25">
        <f t="shared" si="105"/>
        <v>1915092.0864762</v>
      </c>
      <c r="K554" s="25">
        <f t="shared" si="95"/>
        <v>1882.9389117455094</v>
      </c>
      <c r="L554" s="25">
        <f t="shared" si="106"/>
        <v>22339532.404756483</v>
      </c>
      <c r="M554" s="25">
        <f>K554/((1+'How much will I make'!$C$5/12)^(Calculations!$B$1*12-Calculations!$A554))</f>
        <v>2519.081919719551</v>
      </c>
      <c r="N554" s="25">
        <f t="shared" si="107"/>
        <v>5508117.9684860799</v>
      </c>
      <c r="O554" s="25">
        <f t="shared" si="96"/>
        <v>1412.4970146014921</v>
      </c>
      <c r="P554" s="25">
        <f t="shared" si="108"/>
        <v>108320942.0814801</v>
      </c>
      <c r="Q554" s="25">
        <f>O554/((1+'How much will I make'!$C$5/12)^(Calculations!$B$1*12-Calculations!$A554))</f>
        <v>1889.7032022361079</v>
      </c>
      <c r="R554" s="25">
        <f t="shared" si="109"/>
        <v>21925477.801138539</v>
      </c>
      <c r="S554" s="25">
        <f t="shared" si="97"/>
        <v>1060.8389982957283</v>
      </c>
      <c r="T554" s="25">
        <f t="shared" si="110"/>
        <v>580325559.14228129</v>
      </c>
      <c r="U554" s="25">
        <f>S554/((1+'How much will I make'!$C$5/12)^(Calculations!$B$1*12-Calculations!$A554))</f>
        <v>1419.2390011542507</v>
      </c>
      <c r="V554" s="25">
        <f t="shared" si="111"/>
        <v>105415536.26587771</v>
      </c>
      <c r="W554" s="25">
        <f t="shared" si="98"/>
        <v>797.66013019828858</v>
      </c>
      <c r="X554" s="25">
        <f t="shared" si="112"/>
        <v>3284740441.031054</v>
      </c>
      <c r="Y554" s="25">
        <f>W554/((1+'How much will I make'!$C$5/12)^(Calculations!$B$1*12-Calculations!$A554))</f>
        <v>1067.1462571246871</v>
      </c>
      <c r="Z554" s="25">
        <f t="shared" si="113"/>
        <v>560092869.78793192</v>
      </c>
      <c r="AA554" s="25">
        <f t="shared" si="99"/>
        <v>600.46632160625177</v>
      </c>
      <c r="AB554" s="25">
        <f t="shared" si="114"/>
        <v>19205063988.882263</v>
      </c>
      <c r="AC554" s="25">
        <f>AA554/((1+'How much will I make'!$C$5/12)^(Calculations!$B$1*12-Calculations!$A554))</f>
        <v>803.33134799184302</v>
      </c>
      <c r="AD554" s="25">
        <f t="shared" si="115"/>
        <v>3144550945.2543983</v>
      </c>
      <c r="AE554" s="25">
        <f t="shared" si="100"/>
        <v>452.54078353480793</v>
      </c>
      <c r="AF554" s="25">
        <f t="shared" si="116"/>
        <v>114565031380.1403</v>
      </c>
      <c r="AG554" s="25">
        <f>AE554/((1+'How much will I make'!$C$5/12)^(Calculations!$B$1*12-Calculations!$A554))</f>
        <v>605.42978777865414</v>
      </c>
      <c r="AH554" s="25">
        <f t="shared" si="117"/>
        <v>18238864001.611946</v>
      </c>
    </row>
    <row r="555" spans="1:34" ht="15.75" customHeight="1">
      <c r="A555" s="22">
        <f t="shared" si="101"/>
        <v>551</v>
      </c>
      <c r="B555" s="22">
        <f t="shared" si="120"/>
        <v>4492.5038967464097</v>
      </c>
      <c r="C555" s="25">
        <f t="shared" si="93"/>
        <v>3344.0795590098551</v>
      </c>
      <c r="D555" s="25">
        <f t="shared" si="102"/>
        <v>1925261.6837513908</v>
      </c>
      <c r="E555" s="25">
        <f>$C555/((1+'How much will I make'!$C$5/12)^(Calculations!$B$1*12-Calculations!$A555))</f>
        <v>4492.5038967464097</v>
      </c>
      <c r="F555" s="25">
        <f t="shared" si="103"/>
        <v>1007618.4780833485</v>
      </c>
      <c r="G555" s="25">
        <f t="shared" si="94"/>
        <v>2492.2731538589019</v>
      </c>
      <c r="H555" s="25">
        <f t="shared" si="104"/>
        <v>5568021.3033656124</v>
      </c>
      <c r="I555" s="25">
        <f>G555/((1+'How much will I make'!$C$5/12)^(Calculations!$B$1*12-Calculations!$A555))</f>
        <v>3348.1699995148306</v>
      </c>
      <c r="J555" s="25">
        <f t="shared" si="105"/>
        <v>1918440.256475715</v>
      </c>
      <c r="K555" s="25">
        <f t="shared" si="95"/>
        <v>1859.6927523412444</v>
      </c>
      <c r="L555" s="25">
        <f t="shared" si="106"/>
        <v>22341392.097508825</v>
      </c>
      <c r="M555" s="25">
        <f>K555/((1+'How much will I make'!$C$5/12)^(Calculations!$B$1*12-Calculations!$A555))</f>
        <v>2498.3487351951112</v>
      </c>
      <c r="N555" s="25">
        <f t="shared" si="107"/>
        <v>5510616.3172212746</v>
      </c>
      <c r="O555" s="25">
        <f t="shared" si="96"/>
        <v>1389.3413258375338</v>
      </c>
      <c r="P555" s="25">
        <f t="shared" si="108"/>
        <v>108322331.42280594</v>
      </c>
      <c r="Q555" s="25">
        <f>O555/((1+'How much will I make'!$C$5/12)^(Calculations!$B$1*12-Calculations!$A555))</f>
        <v>1866.4691464709108</v>
      </c>
      <c r="R555" s="25">
        <f t="shared" si="109"/>
        <v>21927344.27028501</v>
      </c>
      <c r="S555" s="25">
        <f t="shared" si="97"/>
        <v>1039.1892228203055</v>
      </c>
      <c r="T555" s="25">
        <f t="shared" si="110"/>
        <v>580326598.33150411</v>
      </c>
      <c r="U555" s="25">
        <f>S555/((1+'How much will I make'!$C$5/12)^(Calculations!$B$1*12-Calculations!$A555))</f>
        <v>1396.0677521558146</v>
      </c>
      <c r="V555" s="25">
        <f t="shared" si="111"/>
        <v>105416932.33362986</v>
      </c>
      <c r="W555" s="25">
        <f t="shared" si="98"/>
        <v>778.20500507150109</v>
      </c>
      <c r="X555" s="25">
        <f t="shared" si="112"/>
        <v>3284741219.2360592</v>
      </c>
      <c r="Y555" s="25">
        <f>W555/((1+'How much will I make'!$C$5/12)^(Calculations!$B$1*12-Calculations!$A555))</f>
        <v>1045.4562925489822</v>
      </c>
      <c r="Z555" s="25">
        <f t="shared" si="113"/>
        <v>560093915.24422443</v>
      </c>
      <c r="AA555" s="25">
        <f t="shared" si="99"/>
        <v>583.4490574311759</v>
      </c>
      <c r="AB555" s="25">
        <f t="shared" si="114"/>
        <v>19205064572.331322</v>
      </c>
      <c r="AC555" s="25">
        <f>AA555/((1+'How much will I make'!$C$5/12)^(Calculations!$B$1*12-Calculations!$A555))</f>
        <v>783.8172261782762</v>
      </c>
      <c r="AD555" s="25">
        <f t="shared" si="115"/>
        <v>3144551729.0716248</v>
      </c>
      <c r="AE555" s="25">
        <f t="shared" si="100"/>
        <v>437.94269374336244</v>
      </c>
      <c r="AF555" s="25">
        <f t="shared" si="116"/>
        <v>114565031818.08299</v>
      </c>
      <c r="AG555" s="25">
        <f>AE555/((1+'How much will I make'!$C$5/12)^(Calculations!$B$1*12-Calculations!$A555))</f>
        <v>588.34104376877269</v>
      </c>
      <c r="AH555" s="25">
        <f t="shared" si="117"/>
        <v>18238864589.952991</v>
      </c>
    </row>
    <row r="556" spans="1:34" ht="15.75" customHeight="1">
      <c r="A556" s="22">
        <f t="shared" si="101"/>
        <v>552</v>
      </c>
      <c r="B556" s="22">
        <f t="shared" si="120"/>
        <v>4492.5038967464097</v>
      </c>
      <c r="C556" s="25">
        <f t="shared" si="93"/>
        <v>3330.2037102172835</v>
      </c>
      <c r="D556" s="25">
        <f t="shared" si="102"/>
        <v>1928591.887461608</v>
      </c>
      <c r="E556" s="25">
        <f>$C556/((1+'How much will I make'!$C$5/12)^(Calculations!$B$1*12-Calculations!$A556))</f>
        <v>4492.5038967464097</v>
      </c>
      <c r="F556" s="25">
        <f t="shared" si="103"/>
        <v>1012110.9819800949</v>
      </c>
      <c r="G556" s="25">
        <f t="shared" si="94"/>
        <v>2471.6758550666796</v>
      </c>
      <c r="H556" s="25">
        <f t="shared" si="104"/>
        <v>5570492.979220679</v>
      </c>
      <c r="I556" s="25">
        <f>G556/((1+'How much will I make'!$C$5/12)^(Calculations!$B$1*12-Calculations!$A556))</f>
        <v>3334.3345862936944</v>
      </c>
      <c r="J556" s="25">
        <f t="shared" si="105"/>
        <v>1921774.5910620086</v>
      </c>
      <c r="K556" s="25">
        <f t="shared" si="95"/>
        <v>1836.7335825592531</v>
      </c>
      <c r="L556" s="25">
        <f t="shared" si="106"/>
        <v>22343228.831091385</v>
      </c>
      <c r="M556" s="25">
        <f>K556/((1+'How much will I make'!$C$5/12)^(Calculations!$B$1*12-Calculations!$A556))</f>
        <v>2477.7861941646975</v>
      </c>
      <c r="N556" s="25">
        <f t="shared" si="107"/>
        <v>5513094.1034154389</v>
      </c>
      <c r="O556" s="25">
        <f t="shared" si="96"/>
        <v>1366.5652385287217</v>
      </c>
      <c r="P556" s="25">
        <f t="shared" si="108"/>
        <v>108323697.98804447</v>
      </c>
      <c r="Q556" s="25">
        <f>O556/((1+'How much will I make'!$C$5/12)^(Calculations!$B$1*12-Calculations!$A556))</f>
        <v>1843.5207553257762</v>
      </c>
      <c r="R556" s="25">
        <f t="shared" si="109"/>
        <v>21929187.791040335</v>
      </c>
      <c r="S556" s="25">
        <f t="shared" si="97"/>
        <v>1017.9812794974423</v>
      </c>
      <c r="T556" s="25">
        <f t="shared" si="110"/>
        <v>580327616.3127836</v>
      </c>
      <c r="U556" s="25">
        <f>S556/((1+'How much will I make'!$C$5/12)^(Calculations!$B$1*12-Calculations!$A556))</f>
        <v>1373.2748092634747</v>
      </c>
      <c r="V556" s="25">
        <f t="shared" si="111"/>
        <v>105418305.60843912</v>
      </c>
      <c r="W556" s="25">
        <f t="shared" si="98"/>
        <v>759.22439519170848</v>
      </c>
      <c r="X556" s="25">
        <f t="shared" si="112"/>
        <v>3284741978.4604545</v>
      </c>
      <c r="Y556" s="25">
        <f>W556/((1+'How much will I make'!$C$5/12)^(Calculations!$B$1*12-Calculations!$A556))</f>
        <v>1024.2071809118077</v>
      </c>
      <c r="Z556" s="25">
        <f t="shared" si="113"/>
        <v>560094939.45140529</v>
      </c>
      <c r="AA556" s="25">
        <f t="shared" si="99"/>
        <v>566.9140639007378</v>
      </c>
      <c r="AB556" s="25">
        <f t="shared" si="114"/>
        <v>19205065139.245384</v>
      </c>
      <c r="AC556" s="25">
        <f>AA556/((1+'How much will I make'!$C$5/12)^(Calculations!$B$1*12-Calculations!$A556))</f>
        <v>764.77713161524116</v>
      </c>
      <c r="AD556" s="25">
        <f t="shared" si="115"/>
        <v>3144552493.8487563</v>
      </c>
      <c r="AE556" s="25">
        <f t="shared" si="100"/>
        <v>423.81551007422161</v>
      </c>
      <c r="AF556" s="25">
        <f t="shared" si="116"/>
        <v>114565032241.8985</v>
      </c>
      <c r="AG556" s="25">
        <f>AE556/((1+'How much will I make'!$C$5/12)^(Calculations!$B$1*12-Calculations!$A556))</f>
        <v>571.73464333981519</v>
      </c>
      <c r="AH556" s="25">
        <f t="shared" si="117"/>
        <v>18238865161.687634</v>
      </c>
    </row>
    <row r="557" spans="1:34" ht="15.75" customHeight="1">
      <c r="A557" s="22">
        <f t="shared" si="101"/>
        <v>553</v>
      </c>
      <c r="B557" s="22">
        <f>B556*(1+'How much will I make'!$C$4)</f>
        <v>4717.1290915837308</v>
      </c>
      <c r="C557" s="25">
        <f t="shared" si="93"/>
        <v>3482.2047094388195</v>
      </c>
      <c r="D557" s="25">
        <f t="shared" si="102"/>
        <v>1932074.0921710469</v>
      </c>
      <c r="E557" s="25">
        <f>$C557/((1+'How much will I make'!$C$5/12)^(Calculations!$B$1*12-Calculations!$A557))</f>
        <v>4717.1290915837308</v>
      </c>
      <c r="F557" s="25">
        <f t="shared" si="103"/>
        <v>1016828.1110716787</v>
      </c>
      <c r="G557" s="25">
        <f t="shared" si="94"/>
        <v>2573.8112209785268</v>
      </c>
      <c r="H557" s="25">
        <f t="shared" si="104"/>
        <v>5573066.7904416574</v>
      </c>
      <c r="I557" s="25">
        <f>G557/((1+'How much will I make'!$C$5/12)^(Calculations!$B$1*12-Calculations!$A557))</f>
        <v>3486.5841614116516</v>
      </c>
      <c r="J557" s="25">
        <f t="shared" si="105"/>
        <v>1925261.1752234204</v>
      </c>
      <c r="K557" s="25">
        <f t="shared" si="95"/>
        <v>1904.7607522836704</v>
      </c>
      <c r="L557" s="25">
        <f t="shared" si="106"/>
        <v>22345133.591843668</v>
      </c>
      <c r="M557" s="25">
        <f>K557/((1+'How much will I make'!$C$5/12)^(Calculations!$B$1*12-Calculations!$A557))</f>
        <v>2580.262536762868</v>
      </c>
      <c r="N557" s="25">
        <f t="shared" si="107"/>
        <v>5515674.3659522021</v>
      </c>
      <c r="O557" s="25">
        <f t="shared" si="96"/>
        <v>1411.370656185401</v>
      </c>
      <c r="P557" s="25">
        <f t="shared" si="108"/>
        <v>108325109.35870066</v>
      </c>
      <c r="Q557" s="25">
        <f>O557/((1+'How much will I make'!$C$5/12)^(Calculations!$B$1*12-Calculations!$A557))</f>
        <v>1911.8972423573266</v>
      </c>
      <c r="R557" s="25">
        <f t="shared" si="109"/>
        <v>21931099.688282691</v>
      </c>
      <c r="S557" s="25">
        <f t="shared" si="97"/>
        <v>1047.066458911655</v>
      </c>
      <c r="T557" s="25">
        <f t="shared" si="110"/>
        <v>580328663.37924254</v>
      </c>
      <c r="U557" s="25">
        <f>S557/((1+'How much will I make'!$C$5/12)^(Calculations!$B$1*12-Calculations!$A557))</f>
        <v>1418.3966958535605</v>
      </c>
      <c r="V557" s="25">
        <f t="shared" si="111"/>
        <v>105419724.00513497</v>
      </c>
      <c r="W557" s="25">
        <f t="shared" si="98"/>
        <v>777.74206336711632</v>
      </c>
      <c r="X557" s="25">
        <f t="shared" si="112"/>
        <v>3284742756.202518</v>
      </c>
      <c r="Y557" s="25">
        <f>W557/((1+'How much will I make'!$C$5/12)^(Calculations!$B$1*12-Calculations!$A557))</f>
        <v>1053.5594598769635</v>
      </c>
      <c r="Z557" s="25">
        <f t="shared" si="113"/>
        <v>560095993.01086521</v>
      </c>
      <c r="AA557" s="25">
        <f t="shared" si="99"/>
        <v>578.39005709710921</v>
      </c>
      <c r="AB557" s="25">
        <f t="shared" si="114"/>
        <v>19205065717.635441</v>
      </c>
      <c r="AC557" s="25">
        <f>AA557/((1+'How much will I make'!$C$5/12)^(Calculations!$B$1*12-Calculations!$A557))</f>
        <v>783.50952694427872</v>
      </c>
      <c r="AD557" s="25">
        <f t="shared" si="115"/>
        <v>3144553277.358283</v>
      </c>
      <c r="AE557" s="25">
        <f t="shared" si="100"/>
        <v>430.65124410767686</v>
      </c>
      <c r="AF557" s="25">
        <f t="shared" si="116"/>
        <v>114565032672.54974</v>
      </c>
      <c r="AG557" s="25">
        <f>AE557/((1+'How much will I make'!$C$5/12)^(Calculations!$B$1*12-Calculations!$A557))</f>
        <v>583.3768205529849</v>
      </c>
      <c r="AH557" s="25">
        <f t="shared" si="117"/>
        <v>18238865745.064453</v>
      </c>
    </row>
    <row r="558" spans="1:34" ht="15.75" customHeight="1">
      <c r="A558" s="22">
        <f t="shared" si="101"/>
        <v>554</v>
      </c>
      <c r="B558" s="22">
        <f t="shared" ref="B558:B568" si="121">B557</f>
        <v>4717.1290915837308</v>
      </c>
      <c r="C558" s="25">
        <f t="shared" si="93"/>
        <v>3467.7557272419772</v>
      </c>
      <c r="D558" s="25">
        <f t="shared" si="102"/>
        <v>1935541.8478982889</v>
      </c>
      <c r="E558" s="25">
        <f>$C558/((1+'How much will I make'!$C$5/12)^(Calculations!$B$1*12-Calculations!$A558))</f>
        <v>4717.1290915837308</v>
      </c>
      <c r="F558" s="25">
        <f t="shared" si="103"/>
        <v>1021545.2401632625</v>
      </c>
      <c r="G558" s="25">
        <f t="shared" si="94"/>
        <v>2552.5400538630015</v>
      </c>
      <c r="H558" s="25">
        <f t="shared" si="104"/>
        <v>5575619.3304955205</v>
      </c>
      <c r="I558" s="25">
        <f>G558/((1+'How much will I make'!$C$5/12)^(Calculations!$B$1*12-Calculations!$A558))</f>
        <v>3472.1767888438353</v>
      </c>
      <c r="J558" s="25">
        <f t="shared" si="105"/>
        <v>1928733.3520122643</v>
      </c>
      <c r="K558" s="25">
        <f t="shared" si="95"/>
        <v>1881.2451874406618</v>
      </c>
      <c r="L558" s="25">
        <f t="shared" si="106"/>
        <v>22347014.837031107</v>
      </c>
      <c r="M558" s="25">
        <f>K558/((1+'How much will I make'!$C$5/12)^(Calculations!$B$1*12-Calculations!$A558))</f>
        <v>2559.0258080652311</v>
      </c>
      <c r="N558" s="25">
        <f t="shared" si="107"/>
        <v>5518233.3917602673</v>
      </c>
      <c r="O558" s="25">
        <f t="shared" si="96"/>
        <v>1388.2334323135094</v>
      </c>
      <c r="P558" s="25">
        <f t="shared" si="108"/>
        <v>108326497.59213297</v>
      </c>
      <c r="Q558" s="25">
        <f>O558/((1+'How much will I make'!$C$5/12)^(Calculations!$B$1*12-Calculations!$A558))</f>
        <v>1888.3903090496551</v>
      </c>
      <c r="R558" s="25">
        <f t="shared" si="109"/>
        <v>21932988.078591742</v>
      </c>
      <c r="S558" s="25">
        <f t="shared" si="97"/>
        <v>1025.6977556685601</v>
      </c>
      <c r="T558" s="25">
        <f t="shared" si="110"/>
        <v>580329689.07699823</v>
      </c>
      <c r="U558" s="25">
        <f>S558/((1+'How much will I make'!$C$5/12)^(Calculations!$B$1*12-Calculations!$A558))</f>
        <v>1395.2391987784006</v>
      </c>
      <c r="V558" s="25">
        <f t="shared" si="111"/>
        <v>105421119.24433374</v>
      </c>
      <c r="W558" s="25">
        <f t="shared" si="98"/>
        <v>758.77274474840601</v>
      </c>
      <c r="X558" s="25">
        <f t="shared" si="112"/>
        <v>3284743514.9752626</v>
      </c>
      <c r="Y558" s="25">
        <f>W558/((1+'How much will I make'!$C$5/12)^(Calculations!$B$1*12-Calculations!$A558))</f>
        <v>1032.1456497168626</v>
      </c>
      <c r="Z558" s="25">
        <f t="shared" si="113"/>
        <v>560097025.15651488</v>
      </c>
      <c r="AA558" s="25">
        <f t="shared" si="99"/>
        <v>561.99843604577416</v>
      </c>
      <c r="AB558" s="25">
        <f t="shared" si="114"/>
        <v>19205066279.633877</v>
      </c>
      <c r="AC558" s="25">
        <f>AA558/((1+'How much will I make'!$C$5/12)^(Calculations!$B$1*12-Calculations!$A558))</f>
        <v>764.47690685656357</v>
      </c>
      <c r="AD558" s="25">
        <f t="shared" si="115"/>
        <v>3144554041.8351898</v>
      </c>
      <c r="AE558" s="25">
        <f t="shared" si="100"/>
        <v>416.75926849130019</v>
      </c>
      <c r="AF558" s="25">
        <f t="shared" si="116"/>
        <v>114565033089.30901</v>
      </c>
      <c r="AG558" s="25">
        <f>AE558/((1+'How much will I make'!$C$5/12)^(Calculations!$B$1*12-Calculations!$A558))</f>
        <v>566.91053932769921</v>
      </c>
      <c r="AH558" s="25">
        <f t="shared" si="117"/>
        <v>18238866311.974991</v>
      </c>
    </row>
    <row r="559" spans="1:34" ht="15.75" customHeight="1">
      <c r="A559" s="22">
        <f t="shared" si="101"/>
        <v>555</v>
      </c>
      <c r="B559" s="22">
        <f t="shared" si="121"/>
        <v>4717.1290915837308</v>
      </c>
      <c r="C559" s="25">
        <f t="shared" si="93"/>
        <v>3453.3666993281113</v>
      </c>
      <c r="D559" s="25">
        <f t="shared" si="102"/>
        <v>1938995.214597617</v>
      </c>
      <c r="E559" s="25">
        <f>$C559/((1+'How much will I make'!$C$5/12)^(Calculations!$B$1*12-Calculations!$A559))</f>
        <v>4717.1290915837308</v>
      </c>
      <c r="F559" s="25">
        <f t="shared" si="103"/>
        <v>1026262.3692548462</v>
      </c>
      <c r="G559" s="25">
        <f t="shared" si="94"/>
        <v>2531.4446815170268</v>
      </c>
      <c r="H559" s="25">
        <f t="shared" si="104"/>
        <v>5578150.7751770373</v>
      </c>
      <c r="I559" s="25">
        <f>G559/((1+'How much will I make'!$C$5/12)^(Calculations!$B$1*12-Calculations!$A559))</f>
        <v>3457.828950873406</v>
      </c>
      <c r="J559" s="25">
        <f t="shared" si="105"/>
        <v>1932191.1809631377</v>
      </c>
      <c r="K559" s="25">
        <f t="shared" si="95"/>
        <v>1858.0199382129999</v>
      </c>
      <c r="L559" s="25">
        <f t="shared" si="106"/>
        <v>22348872.856969319</v>
      </c>
      <c r="M559" s="25">
        <f>K559/((1+'How much will I make'!$C$5/12)^(Calculations!$B$1*12-Calculations!$A559))</f>
        <v>2537.96386725811</v>
      </c>
      <c r="N559" s="25">
        <f t="shared" si="107"/>
        <v>5520771.3556275256</v>
      </c>
      <c r="O559" s="25">
        <f t="shared" si="96"/>
        <v>1365.4755071936161</v>
      </c>
      <c r="P559" s="25">
        <f t="shared" si="108"/>
        <v>108327863.06764017</v>
      </c>
      <c r="Q559" s="25">
        <f>O559/((1+'How much will I make'!$C$5/12)^(Calculations!$B$1*12-Calculations!$A559))</f>
        <v>1865.1723954137985</v>
      </c>
      <c r="R559" s="25">
        <f t="shared" si="109"/>
        <v>21934853.250987157</v>
      </c>
      <c r="S559" s="25">
        <f t="shared" si="97"/>
        <v>1004.7651484100185</v>
      </c>
      <c r="T559" s="25">
        <f t="shared" si="110"/>
        <v>580330693.84214664</v>
      </c>
      <c r="U559" s="25">
        <f>S559/((1+'How much will I make'!$C$5/12)^(Calculations!$B$1*12-Calculations!$A559))</f>
        <v>1372.4597832881411</v>
      </c>
      <c r="V559" s="25">
        <f t="shared" si="111"/>
        <v>105422491.70411703</v>
      </c>
      <c r="W559" s="25">
        <f t="shared" si="98"/>
        <v>740.2660924374693</v>
      </c>
      <c r="X559" s="25">
        <f t="shared" si="112"/>
        <v>3284744255.2413549</v>
      </c>
      <c r="Y559" s="25">
        <f>W559/((1+'How much will I make'!$C$5/12)^(Calculations!$B$1*12-Calculations!$A559))</f>
        <v>1011.1670796006661</v>
      </c>
      <c r="Z559" s="25">
        <f t="shared" si="113"/>
        <v>560098036.32359445</v>
      </c>
      <c r="AA559" s="25">
        <f t="shared" si="99"/>
        <v>546.0713548622906</v>
      </c>
      <c r="AB559" s="25">
        <f t="shared" si="114"/>
        <v>19205066825.705231</v>
      </c>
      <c r="AC559" s="25">
        <f>AA559/((1+'How much will I make'!$C$5/12)^(Calculations!$B$1*12-Calculations!$A559))</f>
        <v>745.90661762118123</v>
      </c>
      <c r="AD559" s="25">
        <f t="shared" si="115"/>
        <v>3144554787.7418075</v>
      </c>
      <c r="AE559" s="25">
        <f t="shared" si="100"/>
        <v>403.31542112061311</v>
      </c>
      <c r="AF559" s="25">
        <f t="shared" si="116"/>
        <v>114565033492.62442</v>
      </c>
      <c r="AG559" s="25">
        <f>AE559/((1+'How much will I make'!$C$5/12)^(Calculations!$B$1*12-Calculations!$A559))</f>
        <v>550.90903216925597</v>
      </c>
      <c r="AH559" s="25">
        <f t="shared" si="117"/>
        <v>18238866862.884022</v>
      </c>
    </row>
    <row r="560" spans="1:34" ht="15.75" customHeight="1">
      <c r="A560" s="22">
        <f t="shared" si="101"/>
        <v>556</v>
      </c>
      <c r="B560" s="22">
        <f t="shared" si="121"/>
        <v>4717.1290915837308</v>
      </c>
      <c r="C560" s="25">
        <f t="shared" si="93"/>
        <v>3439.0373769242597</v>
      </c>
      <c r="D560" s="25">
        <f t="shared" si="102"/>
        <v>1942434.2519745412</v>
      </c>
      <c r="E560" s="25">
        <f>$C560/((1+'How much will I make'!$C$5/12)^(Calculations!$B$1*12-Calculations!$A560))</f>
        <v>4717.1290915837308</v>
      </c>
      <c r="F560" s="25">
        <f t="shared" si="103"/>
        <v>1030979.49834643</v>
      </c>
      <c r="G560" s="25">
        <f t="shared" si="94"/>
        <v>2510.5236510912655</v>
      </c>
      <c r="H560" s="25">
        <f t="shared" si="104"/>
        <v>5580661.2988281287</v>
      </c>
      <c r="I560" s="25">
        <f>G560/((1+'How much will I make'!$C$5/12)^(Calculations!$B$1*12-Calculations!$A560))</f>
        <v>3443.5404014896312</v>
      </c>
      <c r="J560" s="25">
        <f t="shared" si="105"/>
        <v>1935634.7213646274</v>
      </c>
      <c r="K560" s="25">
        <f t="shared" si="95"/>
        <v>1835.0814204572835</v>
      </c>
      <c r="L560" s="25">
        <f t="shared" si="106"/>
        <v>22350707.938389778</v>
      </c>
      <c r="M560" s="25">
        <f>K560/((1+'How much will I make'!$C$5/12)^(Calculations!$B$1*12-Calculations!$A560))</f>
        <v>2517.0752757580431</v>
      </c>
      <c r="N560" s="25">
        <f t="shared" si="107"/>
        <v>5523288.4309032839</v>
      </c>
      <c r="O560" s="25">
        <f t="shared" si="96"/>
        <v>1343.0906628133926</v>
      </c>
      <c r="P560" s="25">
        <f t="shared" si="108"/>
        <v>108329206.15830298</v>
      </c>
      <c r="Q560" s="25">
        <f>O560/((1+'How much will I make'!$C$5/12)^(Calculations!$B$1*12-Calculations!$A560))</f>
        <v>1842.2399479292026</v>
      </c>
      <c r="R560" s="25">
        <f t="shared" si="109"/>
        <v>21936695.490935087</v>
      </c>
      <c r="S560" s="25">
        <f t="shared" si="97"/>
        <v>984.2597372179772</v>
      </c>
      <c r="T560" s="25">
        <f t="shared" si="110"/>
        <v>580331678.10188389</v>
      </c>
      <c r="U560" s="25">
        <f>S560/((1+'How much will I make'!$C$5/12)^(Calculations!$B$1*12-Calculations!$A560))</f>
        <v>1350.0522766222125</v>
      </c>
      <c r="V560" s="25">
        <f t="shared" si="111"/>
        <v>105423841.75639366</v>
      </c>
      <c r="W560" s="25">
        <f t="shared" si="98"/>
        <v>722.21082189021399</v>
      </c>
      <c r="X560" s="25">
        <f t="shared" si="112"/>
        <v>3284744977.452177</v>
      </c>
      <c r="Y560" s="25">
        <f>W560/((1+'How much will I make'!$C$5/12)^(Calculations!$B$1*12-Calculations!$A560))</f>
        <v>990.61490318601864</v>
      </c>
      <c r="Z560" s="25">
        <f t="shared" si="113"/>
        <v>560099026.93849766</v>
      </c>
      <c r="AA560" s="25">
        <f t="shared" si="99"/>
        <v>530.59564844918941</v>
      </c>
      <c r="AB560" s="25">
        <f t="shared" si="114"/>
        <v>19205067356.30088</v>
      </c>
      <c r="AC560" s="25">
        <f>AA560/((1+'How much will I make'!$C$5/12)^(Calculations!$B$1*12-Calculations!$A560))</f>
        <v>727.78742852916901</v>
      </c>
      <c r="AD560" s="25">
        <f t="shared" si="115"/>
        <v>3144555515.5292358</v>
      </c>
      <c r="AE560" s="25">
        <f t="shared" si="100"/>
        <v>390.3052462457544</v>
      </c>
      <c r="AF560" s="25">
        <f t="shared" si="116"/>
        <v>114565033882.92967</v>
      </c>
      <c r="AG560" s="25">
        <f>AE560/((1+'How much will I make'!$C$5/12)^(Calculations!$B$1*12-Calculations!$A560))</f>
        <v>535.35918045480093</v>
      </c>
      <c r="AH560" s="25">
        <f t="shared" si="117"/>
        <v>18238867398.243202</v>
      </c>
    </row>
    <row r="561" spans="1:34" ht="15.75" customHeight="1">
      <c r="A561" s="22">
        <f t="shared" si="101"/>
        <v>557</v>
      </c>
      <c r="B561" s="22">
        <f t="shared" si="121"/>
        <v>4717.1290915837308</v>
      </c>
      <c r="C561" s="25">
        <f t="shared" si="93"/>
        <v>3424.7675122897194</v>
      </c>
      <c r="D561" s="25">
        <f t="shared" si="102"/>
        <v>1945859.019486831</v>
      </c>
      <c r="E561" s="25">
        <f>$C561/((1+'How much will I make'!$C$5/12)^(Calculations!$B$1*12-Calculations!$A561))</f>
        <v>4717.1290915837308</v>
      </c>
      <c r="F561" s="25">
        <f t="shared" si="103"/>
        <v>1035696.6274380138</v>
      </c>
      <c r="G561" s="25">
        <f t="shared" si="94"/>
        <v>2489.7755217434051</v>
      </c>
      <c r="H561" s="25">
        <f t="shared" si="104"/>
        <v>5583151.0743498718</v>
      </c>
      <c r="I561" s="25">
        <f>G561/((1+'How much will I make'!$C$5/12)^(Calculations!$B$1*12-Calculations!$A561))</f>
        <v>3429.3108956983529</v>
      </c>
      <c r="J561" s="25">
        <f t="shared" si="105"/>
        <v>1939064.0322603257</v>
      </c>
      <c r="K561" s="25">
        <f t="shared" si="95"/>
        <v>1812.4260942787989</v>
      </c>
      <c r="L561" s="25">
        <f t="shared" si="106"/>
        <v>22352520.364484057</v>
      </c>
      <c r="M561" s="25">
        <f>K561/((1+'How much will I make'!$C$5/12)^(Calculations!$B$1*12-Calculations!$A561))</f>
        <v>2496.3586068217633</v>
      </c>
      <c r="N561" s="25">
        <f t="shared" si="107"/>
        <v>5525784.7895101057</v>
      </c>
      <c r="O561" s="25">
        <f t="shared" si="96"/>
        <v>1321.0727830951403</v>
      </c>
      <c r="P561" s="25">
        <f t="shared" si="108"/>
        <v>108330527.23108608</v>
      </c>
      <c r="Q561" s="25">
        <f>O561/((1+'How much will I make'!$C$5/12)^(Calculations!$B$1*12-Calculations!$A561))</f>
        <v>1819.5894567661385</v>
      </c>
      <c r="R561" s="25">
        <f t="shared" si="109"/>
        <v>21938515.080391854</v>
      </c>
      <c r="S561" s="25">
        <f t="shared" si="97"/>
        <v>964.17280380536533</v>
      </c>
      <c r="T561" s="25">
        <f t="shared" si="110"/>
        <v>580332642.27468765</v>
      </c>
      <c r="U561" s="25">
        <f>S561/((1+'How much will I make'!$C$5/12)^(Calculations!$B$1*12-Calculations!$A561))</f>
        <v>1328.0106067998088</v>
      </c>
      <c r="V561" s="25">
        <f t="shared" si="111"/>
        <v>105425169.76700045</v>
      </c>
      <c r="W561" s="25">
        <f t="shared" si="98"/>
        <v>704.5959237953308</v>
      </c>
      <c r="X561" s="25">
        <f t="shared" si="112"/>
        <v>3284745682.0481009</v>
      </c>
      <c r="Y561" s="25">
        <f>W561/((1+'How much will I make'!$C$5/12)^(Calculations!$B$1*12-Calculations!$A561))</f>
        <v>970.48045393427026</v>
      </c>
      <c r="Z561" s="25">
        <f t="shared" si="113"/>
        <v>560099997.41895163</v>
      </c>
      <c r="AA561" s="25">
        <f t="shared" si="99"/>
        <v>515.55852480892918</v>
      </c>
      <c r="AB561" s="25">
        <f t="shared" si="114"/>
        <v>19205067871.859406</v>
      </c>
      <c r="AC561" s="25">
        <f>AA561/((1+'How much will I make'!$C$5/12)^(Calculations!$B$1*12-Calculations!$A561))</f>
        <v>710.1083816823068</v>
      </c>
      <c r="AD561" s="25">
        <f t="shared" si="115"/>
        <v>3144556225.6376176</v>
      </c>
      <c r="AE561" s="25">
        <f t="shared" si="100"/>
        <v>377.7147544313753</v>
      </c>
      <c r="AF561" s="25">
        <f t="shared" si="116"/>
        <v>114565034260.64442</v>
      </c>
      <c r="AG561" s="25">
        <f>AE561/((1+'How much will I make'!$C$5/12)^(Calculations!$B$1*12-Calculations!$A561))</f>
        <v>520.24823584518958</v>
      </c>
      <c r="AH561" s="25">
        <f t="shared" si="117"/>
        <v>18238867918.49144</v>
      </c>
    </row>
    <row r="562" spans="1:34" ht="15.75" customHeight="1">
      <c r="A562" s="22">
        <f t="shared" si="101"/>
        <v>558</v>
      </c>
      <c r="B562" s="22">
        <f t="shared" si="121"/>
        <v>4717.1290915837308</v>
      </c>
      <c r="C562" s="25">
        <f t="shared" si="93"/>
        <v>3410.5568587117536</v>
      </c>
      <c r="D562" s="25">
        <f t="shared" si="102"/>
        <v>1949269.5763455427</v>
      </c>
      <c r="E562" s="25">
        <f>$C562/((1+'How much will I make'!$C$5/12)^(Calculations!$B$1*12-Calculations!$A562))</f>
        <v>4717.1290915837308</v>
      </c>
      <c r="F562" s="25">
        <f t="shared" si="103"/>
        <v>1040413.7565295976</v>
      </c>
      <c r="G562" s="25">
        <f t="shared" si="94"/>
        <v>2469.1988645389133</v>
      </c>
      <c r="H562" s="25">
        <f t="shared" si="104"/>
        <v>5585620.273214411</v>
      </c>
      <c r="I562" s="25">
        <f>G562/((1+'How much will I make'!$C$5/12)^(Calculations!$B$1*12-Calculations!$A562))</f>
        <v>3415.1401895177801</v>
      </c>
      <c r="J562" s="25">
        <f t="shared" si="105"/>
        <v>1942479.1724498435</v>
      </c>
      <c r="K562" s="25">
        <f t="shared" si="95"/>
        <v>1790.050463485233</v>
      </c>
      <c r="L562" s="25">
        <f t="shared" si="106"/>
        <v>22354310.414947543</v>
      </c>
      <c r="M562" s="25">
        <f>K562/((1+'How much will I make'!$C$5/12)^(Calculations!$B$1*12-Calculations!$A562))</f>
        <v>2475.8124454487438</v>
      </c>
      <c r="N562" s="25">
        <f t="shared" si="107"/>
        <v>5528260.6019555544</v>
      </c>
      <c r="O562" s="25">
        <f t="shared" si="96"/>
        <v>1299.4158522247283</v>
      </c>
      <c r="P562" s="25">
        <f t="shared" si="108"/>
        <v>108331826.64693829</v>
      </c>
      <c r="Q562" s="25">
        <f>O562/((1+'How much will I make'!$C$5/12)^(Calculations!$B$1*12-Calculations!$A562))</f>
        <v>1797.2174552485224</v>
      </c>
      <c r="R562" s="25">
        <f t="shared" si="109"/>
        <v>21940312.297847103</v>
      </c>
      <c r="S562" s="25">
        <f t="shared" si="97"/>
        <v>944.49580780933786</v>
      </c>
      <c r="T562" s="25">
        <f t="shared" si="110"/>
        <v>580333586.77049541</v>
      </c>
      <c r="U562" s="25">
        <f>S562/((1+'How much will I make'!$C$5/12)^(Calculations!$B$1*12-Calculations!$A562))</f>
        <v>1306.3288009745063</v>
      </c>
      <c r="V562" s="25">
        <f t="shared" si="111"/>
        <v>105426476.09580143</v>
      </c>
      <c r="W562" s="25">
        <f t="shared" si="98"/>
        <v>687.41065736129849</v>
      </c>
      <c r="X562" s="25">
        <f t="shared" si="112"/>
        <v>3284746369.4587584</v>
      </c>
      <c r="Y562" s="25">
        <f>W562/((1+'How much will I make'!$C$5/12)^(Calculations!$B$1*12-Calculations!$A562))</f>
        <v>950.7552414559317</v>
      </c>
      <c r="Z562" s="25">
        <f t="shared" si="113"/>
        <v>560100948.17419314</v>
      </c>
      <c r="AA562" s="25">
        <f t="shared" si="99"/>
        <v>500.94755447021453</v>
      </c>
      <c r="AB562" s="25">
        <f t="shared" si="114"/>
        <v>19205068372.806961</v>
      </c>
      <c r="AC562" s="25">
        <f>AA562/((1+'How much will I make'!$C$5/12)^(Calculations!$B$1*12-Calculations!$A562))</f>
        <v>692.85878536613734</v>
      </c>
      <c r="AD562" s="25">
        <f t="shared" si="115"/>
        <v>3144556918.4964027</v>
      </c>
      <c r="AE562" s="25">
        <f t="shared" si="100"/>
        <v>365.53040751423413</v>
      </c>
      <c r="AF562" s="25">
        <f t="shared" si="116"/>
        <v>114565034626.17484</v>
      </c>
      <c r="AG562" s="25">
        <f>AE562/((1+'How much will I make'!$C$5/12)^(Calculations!$B$1*12-Calculations!$A562))</f>
        <v>505.56380983343024</v>
      </c>
      <c r="AH562" s="25">
        <f t="shared" si="117"/>
        <v>18238868424.055248</v>
      </c>
    </row>
    <row r="563" spans="1:34" ht="15.75" customHeight="1">
      <c r="A563" s="22">
        <f t="shared" si="101"/>
        <v>559</v>
      </c>
      <c r="B563" s="22">
        <f t="shared" si="121"/>
        <v>4717.1290915837308</v>
      </c>
      <c r="C563" s="25">
        <f t="shared" si="93"/>
        <v>3396.4051705013308</v>
      </c>
      <c r="D563" s="25">
        <f t="shared" si="102"/>
        <v>1952665.9815160441</v>
      </c>
      <c r="E563" s="25">
        <f>$C563/((1+'How much will I make'!$C$5/12)^(Calculations!$B$1*12-Calculations!$A563))</f>
        <v>4717.1290915837308</v>
      </c>
      <c r="F563" s="25">
        <f t="shared" si="103"/>
        <v>1045130.8856211813</v>
      </c>
      <c r="G563" s="25">
        <f t="shared" si="94"/>
        <v>2448.7922623526415</v>
      </c>
      <c r="H563" s="25">
        <f t="shared" si="104"/>
        <v>5588069.065476764</v>
      </c>
      <c r="I563" s="25">
        <f>G563/((1+'How much will I make'!$C$5/12)^(Calculations!$B$1*12-Calculations!$A563))</f>
        <v>3401.0280399743197</v>
      </c>
      <c r="J563" s="25">
        <f t="shared" si="105"/>
        <v>1945880.2004898179</v>
      </c>
      <c r="K563" s="25">
        <f t="shared" si="95"/>
        <v>1767.9510750471443</v>
      </c>
      <c r="L563" s="25">
        <f t="shared" si="106"/>
        <v>22356078.366022591</v>
      </c>
      <c r="M563" s="25">
        <f>K563/((1+'How much will I make'!$C$5/12)^(Calculations!$B$1*12-Calculations!$A563))</f>
        <v>2455.4353882845585</v>
      </c>
      <c r="N563" s="25">
        <f t="shared" si="107"/>
        <v>5530716.0373438392</v>
      </c>
      <c r="O563" s="25">
        <f t="shared" si="96"/>
        <v>1278.1139530079299</v>
      </c>
      <c r="P563" s="25">
        <f t="shared" si="108"/>
        <v>108333104.7608913</v>
      </c>
      <c r="Q563" s="25">
        <f>O563/((1+'How much will I make'!$C$5/12)^(Calculations!$B$1*12-Calculations!$A563))</f>
        <v>1775.1205193233366</v>
      </c>
      <c r="R563" s="25">
        <f t="shared" si="109"/>
        <v>21942087.418366428</v>
      </c>
      <c r="S563" s="25">
        <f t="shared" si="97"/>
        <v>925.22038316016778</v>
      </c>
      <c r="T563" s="25">
        <f t="shared" si="110"/>
        <v>580334511.99087858</v>
      </c>
      <c r="U563" s="25">
        <f>S563/((1+'How much will I make'!$C$5/12)^(Calculations!$B$1*12-Calculations!$A563))</f>
        <v>1285.0009838157393</v>
      </c>
      <c r="V563" s="25">
        <f t="shared" si="111"/>
        <v>105427761.09678525</v>
      </c>
      <c r="W563" s="25">
        <f t="shared" si="98"/>
        <v>670.64454376712035</v>
      </c>
      <c r="X563" s="25">
        <f t="shared" si="112"/>
        <v>3284747040.103302</v>
      </c>
      <c r="Y563" s="25">
        <f>W563/((1+'How much will I make'!$C$5/12)^(Calculations!$B$1*12-Calculations!$A563))</f>
        <v>931.43094793040461</v>
      </c>
      <c r="Z563" s="25">
        <f t="shared" si="113"/>
        <v>560101879.60514104</v>
      </c>
      <c r="AA563" s="25">
        <f t="shared" si="99"/>
        <v>486.75066021397367</v>
      </c>
      <c r="AB563" s="25">
        <f t="shared" si="114"/>
        <v>19205068859.557621</v>
      </c>
      <c r="AC563" s="25">
        <f>AA563/((1+'How much will I make'!$C$5/12)^(Calculations!$B$1*12-Calculations!$A563))</f>
        <v>676.02820758396422</v>
      </c>
      <c r="AD563" s="25">
        <f t="shared" si="115"/>
        <v>3144557594.5246105</v>
      </c>
      <c r="AE563" s="25">
        <f t="shared" si="100"/>
        <v>353.73910404603299</v>
      </c>
      <c r="AF563" s="25">
        <f t="shared" si="116"/>
        <v>114565034979.91394</v>
      </c>
      <c r="AG563" s="25">
        <f>AE563/((1+'How much will I make'!$C$5/12)^(Calculations!$B$1*12-Calculations!$A563))</f>
        <v>491.29386358813184</v>
      </c>
      <c r="AH563" s="25">
        <f t="shared" si="117"/>
        <v>18238868915.349113</v>
      </c>
    </row>
    <row r="564" spans="1:34" ht="15.75" customHeight="1">
      <c r="A564" s="22">
        <f t="shared" si="101"/>
        <v>560</v>
      </c>
      <c r="B564" s="22">
        <f t="shared" si="121"/>
        <v>4717.1290915837308</v>
      </c>
      <c r="C564" s="25">
        <f t="shared" si="93"/>
        <v>3382.3122029888768</v>
      </c>
      <c r="D564" s="25">
        <f t="shared" si="102"/>
        <v>1956048.293719033</v>
      </c>
      <c r="E564" s="25">
        <f>$C564/((1+'How much will I make'!$C$5/12)^(Calculations!$B$1*12-Calculations!$A564))</f>
        <v>4717.1290915837308</v>
      </c>
      <c r="F564" s="25">
        <f t="shared" si="103"/>
        <v>1049848.0147127651</v>
      </c>
      <c r="G564" s="25">
        <f t="shared" si="94"/>
        <v>2428.5543097712148</v>
      </c>
      <c r="H564" s="25">
        <f t="shared" si="104"/>
        <v>5590497.6197865354</v>
      </c>
      <c r="I564" s="25">
        <f>G564/((1+'How much will I make'!$C$5/12)^(Calculations!$B$1*12-Calculations!$A564))</f>
        <v>3386.9742050983923</v>
      </c>
      <c r="J564" s="25">
        <f t="shared" si="105"/>
        <v>1949267.1746949162</v>
      </c>
      <c r="K564" s="25">
        <f t="shared" si="95"/>
        <v>1746.1245185650803</v>
      </c>
      <c r="L564" s="25">
        <f t="shared" si="106"/>
        <v>22357824.490541156</v>
      </c>
      <c r="M564" s="25">
        <f>K564/((1+'How much will I make'!$C$5/12)^(Calculations!$B$1*12-Calculations!$A564))</f>
        <v>2435.2260435250137</v>
      </c>
      <c r="N564" s="25">
        <f t="shared" si="107"/>
        <v>5533151.2633873643</v>
      </c>
      <c r="O564" s="25">
        <f t="shared" si="96"/>
        <v>1257.1612652537015</v>
      </c>
      <c r="P564" s="25">
        <f t="shared" si="108"/>
        <v>108334361.92215656</v>
      </c>
      <c r="Q564" s="25">
        <f>O564/((1+'How much will I make'!$C$5/12)^(Calculations!$B$1*12-Calculations!$A564))</f>
        <v>1753.2952670365742</v>
      </c>
      <c r="R564" s="25">
        <f t="shared" si="109"/>
        <v>21943840.713633467</v>
      </c>
      <c r="S564" s="25">
        <f t="shared" si="97"/>
        <v>906.33833452424597</v>
      </c>
      <c r="T564" s="25">
        <f t="shared" si="110"/>
        <v>580335418.32921314</v>
      </c>
      <c r="U564" s="25">
        <f>S564/((1+'How much will I make'!$C$5/12)^(Calculations!$B$1*12-Calculations!$A564))</f>
        <v>1264.0213759167068</v>
      </c>
      <c r="V564" s="25">
        <f t="shared" si="111"/>
        <v>105429025.11816116</v>
      </c>
      <c r="W564" s="25">
        <f t="shared" si="98"/>
        <v>654.28735977280041</v>
      </c>
      <c r="X564" s="25">
        <f t="shared" si="112"/>
        <v>3284747694.3906617</v>
      </c>
      <c r="Y564" s="25">
        <f>W564/((1+'How much will I make'!$C$5/12)^(Calculations!$B$1*12-Calculations!$A564))</f>
        <v>912.49942459848592</v>
      </c>
      <c r="Z564" s="25">
        <f t="shared" si="113"/>
        <v>560102792.10456562</v>
      </c>
      <c r="AA564" s="25">
        <f t="shared" si="99"/>
        <v>472.95610709050078</v>
      </c>
      <c r="AB564" s="25">
        <f t="shared" si="114"/>
        <v>19205069332.513729</v>
      </c>
      <c r="AC564" s="25">
        <f>AA564/((1+'How much will I make'!$C$5/12)^(Calculations!$B$1*12-Calculations!$A564))</f>
        <v>659.60646974791655</v>
      </c>
      <c r="AD564" s="25">
        <f t="shared" si="115"/>
        <v>3144558254.1310802</v>
      </c>
      <c r="AE564" s="25">
        <f t="shared" si="100"/>
        <v>342.32816520583827</v>
      </c>
      <c r="AF564" s="25">
        <f t="shared" si="116"/>
        <v>114565035322.24211</v>
      </c>
      <c r="AG564" s="25">
        <f>AE564/((1+'How much will I make'!$C$5/12)^(Calculations!$B$1*12-Calculations!$A564))</f>
        <v>477.42669808362797</v>
      </c>
      <c r="AH564" s="25">
        <f t="shared" si="117"/>
        <v>18238869392.77581</v>
      </c>
    </row>
    <row r="565" spans="1:34" ht="15.75" customHeight="1">
      <c r="A565" s="22">
        <f t="shared" si="101"/>
        <v>561</v>
      </c>
      <c r="B565" s="22">
        <f t="shared" si="121"/>
        <v>4717.1290915837308</v>
      </c>
      <c r="C565" s="25">
        <f t="shared" si="93"/>
        <v>3368.2777125200437</v>
      </c>
      <c r="D565" s="25">
        <f t="shared" si="102"/>
        <v>1959416.571431553</v>
      </c>
      <c r="E565" s="25">
        <f>$C565/((1+'How much will I make'!$C$5/12)^(Calculations!$B$1*12-Calculations!$A565))</f>
        <v>4717.1290915837308</v>
      </c>
      <c r="F565" s="25">
        <f t="shared" si="103"/>
        <v>1054565.1438043488</v>
      </c>
      <c r="G565" s="25">
        <f t="shared" si="94"/>
        <v>2408.4836129962459</v>
      </c>
      <c r="H565" s="25">
        <f t="shared" si="104"/>
        <v>5592906.1033995319</v>
      </c>
      <c r="I565" s="25">
        <f>G565/((1+'How much will I make'!$C$5/12)^(Calculations!$B$1*12-Calculations!$A565))</f>
        <v>3372.9784439202995</v>
      </c>
      <c r="J565" s="25">
        <f t="shared" si="105"/>
        <v>1952640.1531388366</v>
      </c>
      <c r="K565" s="25">
        <f t="shared" si="95"/>
        <v>1724.5674257432893</v>
      </c>
      <c r="L565" s="25">
        <f t="shared" si="106"/>
        <v>22359549.057966899</v>
      </c>
      <c r="M565" s="25">
        <f>K565/((1+'How much will I make'!$C$5/12)^(Calculations!$B$1*12-Calculations!$A565))</f>
        <v>2415.1830308211042</v>
      </c>
      <c r="N565" s="25">
        <f t="shared" si="107"/>
        <v>5535566.4464181857</v>
      </c>
      <c r="O565" s="25">
        <f t="shared" si="96"/>
        <v>1236.5520641839687</v>
      </c>
      <c r="P565" s="25">
        <f t="shared" si="108"/>
        <v>108335598.47422074</v>
      </c>
      <c r="Q565" s="25">
        <f>O565/((1+'How much will I make'!$C$5/12)^(Calculations!$B$1*12-Calculations!$A565))</f>
        <v>1731.7383580156325</v>
      </c>
      <c r="R565" s="25">
        <f t="shared" si="109"/>
        <v>21945572.451991484</v>
      </c>
      <c r="S565" s="25">
        <f t="shared" si="97"/>
        <v>887.84163381966948</v>
      </c>
      <c r="T565" s="25">
        <f t="shared" si="110"/>
        <v>580336306.17084694</v>
      </c>
      <c r="U565" s="25">
        <f>S565/((1+'How much will I make'!$C$5/12)^(Calculations!$B$1*12-Calculations!$A565))</f>
        <v>1243.3842922282706</v>
      </c>
      <c r="V565" s="25">
        <f t="shared" si="111"/>
        <v>105430268.50245339</v>
      </c>
      <c r="W565" s="25">
        <f t="shared" si="98"/>
        <v>638.32913148565899</v>
      </c>
      <c r="X565" s="25">
        <f t="shared" si="112"/>
        <v>3284748332.7197933</v>
      </c>
      <c r="Y565" s="25">
        <f>W565/((1+'How much will I make'!$C$5/12)^(Calculations!$B$1*12-Calculations!$A565))</f>
        <v>893.95268832615898</v>
      </c>
      <c r="Z565" s="25">
        <f t="shared" si="113"/>
        <v>560103686.05725396</v>
      </c>
      <c r="AA565" s="25">
        <f t="shared" si="99"/>
        <v>459.55249271951504</v>
      </c>
      <c r="AB565" s="25">
        <f t="shared" si="114"/>
        <v>19205069792.066223</v>
      </c>
      <c r="AC565" s="25">
        <f>AA565/((1+'How much will I make'!$C$5/12)^(Calculations!$B$1*12-Calculations!$A565))</f>
        <v>643.5836405232709</v>
      </c>
      <c r="AD565" s="25">
        <f t="shared" si="115"/>
        <v>3144558897.7147207</v>
      </c>
      <c r="AE565" s="25">
        <f t="shared" si="100"/>
        <v>331.28532116694026</v>
      </c>
      <c r="AF565" s="25">
        <f t="shared" si="116"/>
        <v>114565035653.52744</v>
      </c>
      <c r="AG565" s="25">
        <f>AE565/((1+'How much will I make'!$C$5/12)^(Calculations!$B$1*12-Calculations!$A565))</f>
        <v>463.9509445086868</v>
      </c>
      <c r="AH565" s="25">
        <f t="shared" si="117"/>
        <v>18238869856.726753</v>
      </c>
    </row>
    <row r="566" spans="1:34" ht="15.75" customHeight="1">
      <c r="A566" s="22">
        <f t="shared" si="101"/>
        <v>562</v>
      </c>
      <c r="B566" s="22">
        <f t="shared" si="121"/>
        <v>4717.1290915837308</v>
      </c>
      <c r="C566" s="25">
        <f t="shared" si="93"/>
        <v>3354.3014564514961</v>
      </c>
      <c r="D566" s="25">
        <f t="shared" si="102"/>
        <v>1962770.8728880044</v>
      </c>
      <c r="E566" s="25">
        <f>$C566/((1+'How much will I make'!$C$5/12)^(Calculations!$B$1*12-Calculations!$A566))</f>
        <v>4717.1290915837308</v>
      </c>
      <c r="F566" s="25">
        <f t="shared" si="103"/>
        <v>1059282.2728959324</v>
      </c>
      <c r="G566" s="25">
        <f t="shared" si="94"/>
        <v>2388.5787897483433</v>
      </c>
      <c r="H566" s="25">
        <f t="shared" si="104"/>
        <v>5595294.6821892802</v>
      </c>
      <c r="I566" s="25">
        <f>G566/((1+'How much will I make'!$C$5/12)^(Calculations!$B$1*12-Calculations!$A566))</f>
        <v>3359.0405164660838</v>
      </c>
      <c r="J566" s="25">
        <f t="shared" si="105"/>
        <v>1955999.1936553027</v>
      </c>
      <c r="K566" s="25">
        <f t="shared" si="95"/>
        <v>1703.2764698699152</v>
      </c>
      <c r="L566" s="25">
        <f t="shared" si="106"/>
        <v>22361252.334436771</v>
      </c>
      <c r="M566" s="25">
        <f>K566/((1+'How much will I make'!$C$5/12)^(Calculations!$B$1*12-Calculations!$A566))</f>
        <v>2395.3049811847163</v>
      </c>
      <c r="N566" s="25">
        <f t="shared" si="107"/>
        <v>5537961.7513993708</v>
      </c>
      <c r="O566" s="25">
        <f t="shared" si="96"/>
        <v>1216.2807188694774</v>
      </c>
      <c r="P566" s="25">
        <f t="shared" si="108"/>
        <v>108336814.7549396</v>
      </c>
      <c r="Q566" s="25">
        <f>O566/((1+'How much will I make'!$C$5/12)^(Calculations!$B$1*12-Calculations!$A566))</f>
        <v>1710.4464929580633</v>
      </c>
      <c r="R566" s="25">
        <f t="shared" si="109"/>
        <v>21947282.898484442</v>
      </c>
      <c r="S566" s="25">
        <f t="shared" si="97"/>
        <v>869.72241680294201</v>
      </c>
      <c r="T566" s="25">
        <f t="shared" si="110"/>
        <v>580337175.8932637</v>
      </c>
      <c r="U566" s="25">
        <f>S566/((1+'How much will I make'!$C$5/12)^(Calculations!$B$1*12-Calculations!$A566))</f>
        <v>1223.0841405184219</v>
      </c>
      <c r="V566" s="25">
        <f t="shared" si="111"/>
        <v>105431491.58659391</v>
      </c>
      <c r="W566" s="25">
        <f t="shared" si="98"/>
        <v>622.7601282786917</v>
      </c>
      <c r="X566" s="25">
        <f t="shared" si="112"/>
        <v>3284748955.4799218</v>
      </c>
      <c r="Y566" s="25">
        <f>W566/((1+'How much will I make'!$C$5/12)^(Calculations!$B$1*12-Calculations!$A566))</f>
        <v>875.78291823822894</v>
      </c>
      <c r="Z566" s="25">
        <f t="shared" si="113"/>
        <v>560104561.84017217</v>
      </c>
      <c r="AA566" s="25">
        <f t="shared" si="99"/>
        <v>446.52873786511583</v>
      </c>
      <c r="AB566" s="25">
        <f t="shared" si="114"/>
        <v>19205070238.594959</v>
      </c>
      <c r="AC566" s="25">
        <f>AA566/((1+'How much will I make'!$C$5/12)^(Calculations!$B$1*12-Calculations!$A566))</f>
        <v>627.95002982230073</v>
      </c>
      <c r="AD566" s="25">
        <f t="shared" si="115"/>
        <v>3144559525.6647506</v>
      </c>
      <c r="AE566" s="25">
        <f t="shared" si="100"/>
        <v>320.59869790349057</v>
      </c>
      <c r="AF566" s="25">
        <f t="shared" si="116"/>
        <v>114565035974.12613</v>
      </c>
      <c r="AG566" s="25">
        <f>AE566/((1+'How much will I make'!$C$5/12)^(Calculations!$B$1*12-Calculations!$A566))</f>
        <v>450.85555494594161</v>
      </c>
      <c r="AH566" s="25">
        <f t="shared" si="117"/>
        <v>18238870307.58231</v>
      </c>
    </row>
    <row r="567" spans="1:34" ht="15.75" customHeight="1">
      <c r="A567" s="22">
        <f t="shared" si="101"/>
        <v>563</v>
      </c>
      <c r="B567" s="22">
        <f t="shared" si="121"/>
        <v>4717.1290915837308</v>
      </c>
      <c r="C567" s="25">
        <f t="shared" si="93"/>
        <v>3340.3831931467175</v>
      </c>
      <c r="D567" s="25">
        <f t="shared" si="102"/>
        <v>1966111.2560811511</v>
      </c>
      <c r="E567" s="25">
        <f>$C567/((1+'How much will I make'!$C$5/12)^(Calculations!$B$1*12-Calculations!$A567))</f>
        <v>4717.1290915837308</v>
      </c>
      <c r="F567" s="25">
        <f t="shared" si="103"/>
        <v>1063999.4019875161</v>
      </c>
      <c r="G567" s="25">
        <f t="shared" si="94"/>
        <v>2368.8384691719107</v>
      </c>
      <c r="H567" s="25">
        <f t="shared" si="104"/>
        <v>5597663.5206584521</v>
      </c>
      <c r="I567" s="25">
        <f>G567/((1+'How much will I make'!$C$5/12)^(Calculations!$B$1*12-Calculations!$A567))</f>
        <v>3345.160183753414</v>
      </c>
      <c r="J567" s="25">
        <f t="shared" si="105"/>
        <v>1959344.3538390561</v>
      </c>
      <c r="K567" s="25">
        <f t="shared" si="95"/>
        <v>1682.2483653036202</v>
      </c>
      <c r="L567" s="25">
        <f t="shared" si="106"/>
        <v>22362934.582802076</v>
      </c>
      <c r="M567" s="25">
        <f>K567/((1+'How much will I make'!$C$5/12)^(Calculations!$B$1*12-Calculations!$A567))</f>
        <v>2375.5905368951308</v>
      </c>
      <c r="N567" s="25">
        <f t="shared" si="107"/>
        <v>5540337.341936266</v>
      </c>
      <c r="O567" s="25">
        <f t="shared" si="96"/>
        <v>1196.3416906912894</v>
      </c>
      <c r="P567" s="25">
        <f t="shared" si="108"/>
        <v>108338011.09663029</v>
      </c>
      <c r="Q567" s="25">
        <f>O567/((1+'How much will I make'!$C$5/12)^(Calculations!$B$1*12-Calculations!$A567))</f>
        <v>1689.416413126612</v>
      </c>
      <c r="R567" s="25">
        <f t="shared" si="109"/>
        <v>21948972.314897571</v>
      </c>
      <c r="S567" s="25">
        <f t="shared" si="97"/>
        <v>851.9729797253309</v>
      </c>
      <c r="T567" s="25">
        <f t="shared" si="110"/>
        <v>580338027.86624348</v>
      </c>
      <c r="U567" s="25">
        <f>S567/((1+'How much will I make'!$C$5/12)^(Calculations!$B$1*12-Calculations!$A567))</f>
        <v>1203.1154198568968</v>
      </c>
      <c r="V567" s="25">
        <f t="shared" si="111"/>
        <v>105432694.70201376</v>
      </c>
      <c r="W567" s="25">
        <f t="shared" si="98"/>
        <v>607.5708568572602</v>
      </c>
      <c r="X567" s="25">
        <f t="shared" si="112"/>
        <v>3284749563.0507789</v>
      </c>
      <c r="Y567" s="25">
        <f>W567/((1+'How much will I make'!$C$5/12)^(Calculations!$B$1*12-Calculations!$A567))</f>
        <v>857.98245242037876</v>
      </c>
      <c r="Z567" s="25">
        <f t="shared" si="113"/>
        <v>560105419.82262456</v>
      </c>
      <c r="AA567" s="25">
        <f t="shared" si="99"/>
        <v>433.87407727784534</v>
      </c>
      <c r="AB567" s="25">
        <f t="shared" si="114"/>
        <v>19205070672.469036</v>
      </c>
      <c r="AC567" s="25">
        <f>AA567/((1+'How much will I make'!$C$5/12)^(Calculations!$B$1*12-Calculations!$A567))</f>
        <v>612.6961829440263</v>
      </c>
      <c r="AD567" s="25">
        <f t="shared" si="115"/>
        <v>3144560138.3609333</v>
      </c>
      <c r="AE567" s="25">
        <f t="shared" si="100"/>
        <v>310.25680442273278</v>
      </c>
      <c r="AF567" s="25">
        <f t="shared" si="116"/>
        <v>114565036284.38293</v>
      </c>
      <c r="AG567" s="25">
        <f>AE567/((1+'How much will I make'!$C$5/12)^(Calculations!$B$1*12-Calculations!$A567))</f>
        <v>438.12979331440295</v>
      </c>
      <c r="AH567" s="25">
        <f t="shared" si="117"/>
        <v>18238870745.712105</v>
      </c>
    </row>
    <row r="568" spans="1:34" ht="15.75" customHeight="1">
      <c r="A568" s="22">
        <f t="shared" si="101"/>
        <v>564</v>
      </c>
      <c r="B568" s="22">
        <f t="shared" si="121"/>
        <v>4717.1290915837308</v>
      </c>
      <c r="C568" s="25">
        <f t="shared" si="93"/>
        <v>3326.522681971835</v>
      </c>
      <c r="D568" s="25">
        <f t="shared" si="102"/>
        <v>1969437.7787631229</v>
      </c>
      <c r="E568" s="25">
        <f>$C568/((1+'How much will I make'!$C$5/12)^(Calculations!$B$1*12-Calculations!$A568))</f>
        <v>4717.1290915837308</v>
      </c>
      <c r="F568" s="25">
        <f t="shared" si="103"/>
        <v>1068716.5310790997</v>
      </c>
      <c r="G568" s="25">
        <f t="shared" si="94"/>
        <v>2349.2612917407382</v>
      </c>
      <c r="H568" s="25">
        <f t="shared" si="104"/>
        <v>5600012.7819501925</v>
      </c>
      <c r="I568" s="25">
        <f>G568/((1+'How much will I make'!$C$5/12)^(Calculations!$B$1*12-Calculations!$A568))</f>
        <v>3331.3372077874915</v>
      </c>
      <c r="J568" s="25">
        <f t="shared" si="105"/>
        <v>1962675.6910468435</v>
      </c>
      <c r="K568" s="25">
        <f t="shared" si="95"/>
        <v>1661.4798669665386</v>
      </c>
      <c r="L568" s="25">
        <f t="shared" si="106"/>
        <v>22364596.062669042</v>
      </c>
      <c r="M568" s="25">
        <f>K568/((1+'How much will I make'!$C$5/12)^(Calculations!$B$1*12-Calculations!$A568))</f>
        <v>2356.0383514062819</v>
      </c>
      <c r="N568" s="25">
        <f t="shared" si="107"/>
        <v>5542693.3802876724</v>
      </c>
      <c r="O568" s="25">
        <f t="shared" si="96"/>
        <v>1176.7295318274976</v>
      </c>
      <c r="P568" s="25">
        <f t="shared" si="108"/>
        <v>108339187.82616211</v>
      </c>
      <c r="Q568" s="25">
        <f>O568/((1+'How much will I make'!$C$5/12)^(Calculations!$B$1*12-Calculations!$A568))</f>
        <v>1668.6448998504648</v>
      </c>
      <c r="R568" s="25">
        <f t="shared" si="109"/>
        <v>21950640.95979742</v>
      </c>
      <c r="S568" s="25">
        <f t="shared" si="97"/>
        <v>834.58577605746711</v>
      </c>
      <c r="T568" s="25">
        <f t="shared" si="110"/>
        <v>580338862.45201957</v>
      </c>
      <c r="U568" s="25">
        <f>S568/((1+'How much will I make'!$C$5/12)^(Calculations!$B$1*12-Calculations!$A568))</f>
        <v>1183.4727191245393</v>
      </c>
      <c r="V568" s="25">
        <f t="shared" si="111"/>
        <v>105433878.17473288</v>
      </c>
      <c r="W568" s="25">
        <f t="shared" si="98"/>
        <v>592.75205547049779</v>
      </c>
      <c r="X568" s="25">
        <f t="shared" si="112"/>
        <v>3284750155.8028345</v>
      </c>
      <c r="Y568" s="25">
        <f>W568/((1+'How much will I make'!$C$5/12)^(Calculations!$B$1*12-Calculations!$A568))</f>
        <v>840.54378468825735</v>
      </c>
      <c r="Z568" s="25">
        <f t="shared" si="113"/>
        <v>560106260.3664093</v>
      </c>
      <c r="AA568" s="25">
        <f t="shared" si="99"/>
        <v>421.57805079628707</v>
      </c>
      <c r="AB568" s="25">
        <f t="shared" si="114"/>
        <v>19205071094.047089</v>
      </c>
      <c r="AC568" s="25">
        <f>AA568/((1+'How much will I make'!$C$5/12)^(Calculations!$B$1*12-Calculations!$A568))</f>
        <v>597.81287485631731</v>
      </c>
      <c r="AD568" s="25">
        <f t="shared" si="115"/>
        <v>3144560736.1738081</v>
      </c>
      <c r="AE568" s="25">
        <f t="shared" si="100"/>
        <v>300.24852040909622</v>
      </c>
      <c r="AF568" s="25">
        <f t="shared" si="116"/>
        <v>114565036584.63145</v>
      </c>
      <c r="AG568" s="25">
        <f>AE568/((1+'How much will I make'!$C$5/12)^(Calculations!$B$1*12-Calculations!$A568))</f>
        <v>425.7632265676254</v>
      </c>
      <c r="AH568" s="25">
        <f t="shared" si="117"/>
        <v>18238871171.47533</v>
      </c>
    </row>
    <row r="569" spans="1:34" ht="15.75" customHeight="1">
      <c r="A569" s="22">
        <f t="shared" si="101"/>
        <v>565</v>
      </c>
      <c r="B569" s="22">
        <f>B568*(1+'How much will I make'!$C$4)</f>
        <v>4952.9855461629177</v>
      </c>
      <c r="C569" s="25">
        <f t="shared" si="93"/>
        <v>3478.3556674560268</v>
      </c>
      <c r="D569" s="25">
        <f t="shared" si="102"/>
        <v>1972916.1344305789</v>
      </c>
      <c r="E569" s="25">
        <f>$C569/((1+'How much will I make'!$C$5/12)^(Calculations!$B$1*12-Calculations!$A569))</f>
        <v>4952.9855461629177</v>
      </c>
      <c r="F569" s="25">
        <f t="shared" si="103"/>
        <v>1073669.5166252626</v>
      </c>
      <c r="G569" s="25">
        <f t="shared" si="94"/>
        <v>2446.3382046225875</v>
      </c>
      <c r="H569" s="25">
        <f t="shared" si="104"/>
        <v>5602459.1201548148</v>
      </c>
      <c r="I569" s="25">
        <f>G569/((1+'How much will I make'!$C$5/12)^(Calculations!$B$1*12-Calculations!$A569))</f>
        <v>3483.4499191348141</v>
      </c>
      <c r="J569" s="25">
        <f t="shared" si="105"/>
        <v>1966159.1409659784</v>
      </c>
      <c r="K569" s="25">
        <f t="shared" si="95"/>
        <v>1723.0161583356698</v>
      </c>
      <c r="L569" s="25">
        <f t="shared" si="106"/>
        <v>22366319.078827377</v>
      </c>
      <c r="M569" s="25">
        <f>K569/((1+'How much will I make'!$C$5/12)^(Calculations!$B$1*12-Calculations!$A569))</f>
        <v>2453.4794437175301</v>
      </c>
      <c r="N569" s="25">
        <f t="shared" si="107"/>
        <v>5545146.8597313901</v>
      </c>
      <c r="O569" s="25">
        <f t="shared" si="96"/>
        <v>1215.3108279529895</v>
      </c>
      <c r="P569" s="25">
        <f t="shared" si="108"/>
        <v>108340403.13699007</v>
      </c>
      <c r="Q569" s="25">
        <f>O569/((1+'How much will I make'!$C$5/12)^(Calculations!$B$1*12-Calculations!$A569))</f>
        <v>1730.5352127342633</v>
      </c>
      <c r="R569" s="25">
        <f t="shared" si="109"/>
        <v>21952371.495010152</v>
      </c>
      <c r="S569" s="25">
        <f t="shared" si="97"/>
        <v>858.4310839448234</v>
      </c>
      <c r="T569" s="25">
        <f t="shared" si="110"/>
        <v>580339720.88310349</v>
      </c>
      <c r="U569" s="25">
        <f>S569/((1+'How much will I make'!$C$5/12)^(Calculations!$B$1*12-Calculations!$A569))</f>
        <v>1222.3582513243459</v>
      </c>
      <c r="V569" s="25">
        <f t="shared" si="111"/>
        <v>105435100.5329842</v>
      </c>
      <c r="W569" s="25">
        <f t="shared" si="98"/>
        <v>607.2094226770954</v>
      </c>
      <c r="X569" s="25">
        <f t="shared" si="112"/>
        <v>3284750763.0122571</v>
      </c>
      <c r="Y569" s="25">
        <f>W569/((1+'How much will I make'!$C$5/12)^(Calculations!$B$1*12-Calculations!$A569))</f>
        <v>864.63253949334785</v>
      </c>
      <c r="Z569" s="25">
        <f t="shared" si="113"/>
        <v>560107124.99894881</v>
      </c>
      <c r="AA569" s="25">
        <f t="shared" si="99"/>
        <v>430.1120194358881</v>
      </c>
      <c r="AB569" s="25">
        <f t="shared" si="114"/>
        <v>19205071524.159107</v>
      </c>
      <c r="AC569" s="25">
        <f>AA569/((1+'How much will I make'!$C$5/12)^(Calculations!$B$1*12-Calculations!$A569))</f>
        <v>612.45565984773737</v>
      </c>
      <c r="AD569" s="25">
        <f t="shared" si="115"/>
        <v>3144561348.629468</v>
      </c>
      <c r="AE569" s="25">
        <f t="shared" si="100"/>
        <v>305.09123848021062</v>
      </c>
      <c r="AF569" s="25">
        <f t="shared" si="116"/>
        <v>114565036889.72269</v>
      </c>
      <c r="AG569" s="25">
        <f>AE569/((1+'How much will I make'!$C$5/12)^(Calculations!$B$1*12-Calculations!$A569))</f>
        <v>434.43300194732899</v>
      </c>
      <c r="AH569" s="25">
        <f t="shared" si="117"/>
        <v>18238871605.908333</v>
      </c>
    </row>
    <row r="570" spans="1:34" ht="15.75" customHeight="1">
      <c r="A570" s="22">
        <f t="shared" si="101"/>
        <v>566</v>
      </c>
      <c r="B570" s="22">
        <f t="shared" ref="B570:B580" si="122">B569</f>
        <v>4952.9855461629177</v>
      </c>
      <c r="C570" s="25">
        <f t="shared" si="93"/>
        <v>3463.9226563877451</v>
      </c>
      <c r="D570" s="25">
        <f t="shared" si="102"/>
        <v>1976380.0570869667</v>
      </c>
      <c r="E570" s="25">
        <f>$C570/((1+'How much will I make'!$C$5/12)^(Calculations!$B$1*12-Calculations!$A570))</f>
        <v>4952.9855461629177</v>
      </c>
      <c r="F570" s="25">
        <f t="shared" si="103"/>
        <v>1078622.5021714254</v>
      </c>
      <c r="G570" s="25">
        <f t="shared" si="94"/>
        <v>2426.1205335100035</v>
      </c>
      <c r="H570" s="25">
        <f t="shared" si="104"/>
        <v>5604885.2406883249</v>
      </c>
      <c r="I570" s="25">
        <f>G570/((1+'How much will I make'!$C$5/12)^(Calculations!$B$1*12-Calculations!$A570))</f>
        <v>3469.0554979813628</v>
      </c>
      <c r="J570" s="25">
        <f t="shared" si="105"/>
        <v>1969628.1964639598</v>
      </c>
      <c r="K570" s="25">
        <f t="shared" si="95"/>
        <v>1701.7443539117726</v>
      </c>
      <c r="L570" s="25">
        <f t="shared" si="106"/>
        <v>22368020.82318129</v>
      </c>
      <c r="M570" s="25">
        <f>K570/((1+'How much will I make'!$C$5/12)^(Calculations!$B$1*12-Calculations!$A570))</f>
        <v>2433.2861972671794</v>
      </c>
      <c r="N570" s="25">
        <f t="shared" si="107"/>
        <v>5547580.1459286576</v>
      </c>
      <c r="O570" s="25">
        <f t="shared" si="96"/>
        <v>1195.3876996258912</v>
      </c>
      <c r="P570" s="25">
        <f t="shared" si="108"/>
        <v>108341598.52468969</v>
      </c>
      <c r="Q570" s="25">
        <f>O570/((1+'How much will I make'!$C$5/12)^(Calculations!$B$1*12-Calculations!$A570))</f>
        <v>1709.2581404465463</v>
      </c>
      <c r="R570" s="25">
        <f t="shared" si="109"/>
        <v>21954080.753150597</v>
      </c>
      <c r="S570" s="25">
        <f t="shared" si="97"/>
        <v>840.9120822316637</v>
      </c>
      <c r="T570" s="25">
        <f t="shared" si="110"/>
        <v>580340561.79518569</v>
      </c>
      <c r="U570" s="25">
        <f>S570/((1+'How much will I make'!$C$5/12)^(Calculations!$B$1*12-Calculations!$A570))</f>
        <v>1202.4013819149684</v>
      </c>
      <c r="V570" s="25">
        <f t="shared" si="111"/>
        <v>105436302.93436611</v>
      </c>
      <c r="W570" s="25">
        <f t="shared" si="98"/>
        <v>592.39943675814186</v>
      </c>
      <c r="X570" s="25">
        <f t="shared" si="112"/>
        <v>3284751355.411694</v>
      </c>
      <c r="Y570" s="25">
        <f>W570/((1+'How much will I make'!$C$5/12)^(Calculations!$B$1*12-Calculations!$A570))</f>
        <v>847.05870738982435</v>
      </c>
      <c r="Z570" s="25">
        <f t="shared" si="113"/>
        <v>560107972.05765617</v>
      </c>
      <c r="AA570" s="25">
        <f t="shared" si="99"/>
        <v>417.92260997819096</v>
      </c>
      <c r="AB570" s="25">
        <f t="shared" si="114"/>
        <v>19205071942.081718</v>
      </c>
      <c r="AC570" s="25">
        <f>AA570/((1+'How much will I make'!$C$5/12)^(Calculations!$B$1*12-Calculations!$A570))</f>
        <v>597.57819442633479</v>
      </c>
      <c r="AD570" s="25">
        <f t="shared" si="115"/>
        <v>3144561946.2076626</v>
      </c>
      <c r="AE570" s="25">
        <f t="shared" si="100"/>
        <v>295.24958562601023</v>
      </c>
      <c r="AF570" s="25">
        <f t="shared" si="116"/>
        <v>114565037184.97227</v>
      </c>
      <c r="AG570" s="25">
        <f>AE570/((1+'How much will I make'!$C$5/12)^(Calculations!$B$1*12-Calculations!$A570))</f>
        <v>422.1707801181704</v>
      </c>
      <c r="AH570" s="25">
        <f t="shared" si="117"/>
        <v>18238872028.079113</v>
      </c>
    </row>
    <row r="571" spans="1:34" ht="15.75" customHeight="1">
      <c r="A571" s="22">
        <f t="shared" si="101"/>
        <v>567</v>
      </c>
      <c r="B571" s="22">
        <f t="shared" si="122"/>
        <v>4952.9855461629177</v>
      </c>
      <c r="C571" s="25">
        <f t="shared" si="93"/>
        <v>3449.5495333321928</v>
      </c>
      <c r="D571" s="25">
        <f t="shared" si="102"/>
        <v>1979829.6066202989</v>
      </c>
      <c r="E571" s="25">
        <f>$C571/((1+'How much will I make'!$C$5/12)^(Calculations!$B$1*12-Calculations!$A571))</f>
        <v>4952.9855461629177</v>
      </c>
      <c r="F571" s="25">
        <f t="shared" si="103"/>
        <v>1083575.4877175882</v>
      </c>
      <c r="G571" s="25">
        <f t="shared" si="94"/>
        <v>2406.069950588434</v>
      </c>
      <c r="H571" s="25">
        <f t="shared" si="104"/>
        <v>5607291.310638913</v>
      </c>
      <c r="I571" s="25">
        <f>G571/((1+'How much will I make'!$C$5/12)^(Calculations!$B$1*12-Calculations!$A571))</f>
        <v>3454.7205579070624</v>
      </c>
      <c r="J571" s="25">
        <f t="shared" si="105"/>
        <v>1973082.9170218669</v>
      </c>
      <c r="K571" s="25">
        <f t="shared" si="95"/>
        <v>1680.7351643573065</v>
      </c>
      <c r="L571" s="25">
        <f t="shared" si="106"/>
        <v>22369701.558345646</v>
      </c>
      <c r="M571" s="25">
        <f>K571/((1+'How much will I make'!$C$5/12)^(Calculations!$B$1*12-Calculations!$A571))</f>
        <v>2413.2591503760927</v>
      </c>
      <c r="N571" s="25">
        <f t="shared" si="107"/>
        <v>5549993.4050790342</v>
      </c>
      <c r="O571" s="25">
        <f t="shared" si="96"/>
        <v>1175.7911799598933</v>
      </c>
      <c r="P571" s="25">
        <f t="shared" si="108"/>
        <v>108342774.31586964</v>
      </c>
      <c r="Q571" s="25">
        <f>O571/((1+'How much will I make'!$C$5/12)^(Calculations!$B$1*12-Calculations!$A571))</f>
        <v>1688.242671506631</v>
      </c>
      <c r="R571" s="25">
        <f t="shared" si="109"/>
        <v>21955768.995822106</v>
      </c>
      <c r="S571" s="25">
        <f t="shared" si="97"/>
        <v>823.75061116571169</v>
      </c>
      <c r="T571" s="25">
        <f t="shared" si="110"/>
        <v>580341385.54579687</v>
      </c>
      <c r="U571" s="25">
        <f>S571/((1+'How much will I make'!$C$5/12)^(Calculations!$B$1*12-Calculations!$A571))</f>
        <v>1182.7703389449291</v>
      </c>
      <c r="V571" s="25">
        <f t="shared" si="111"/>
        <v>105437485.70470504</v>
      </c>
      <c r="W571" s="25">
        <f t="shared" si="98"/>
        <v>577.95067000794324</v>
      </c>
      <c r="X571" s="25">
        <f t="shared" si="112"/>
        <v>3284751933.3623643</v>
      </c>
      <c r="Y571" s="25">
        <f>W571/((1+'How much will I make'!$C$5/12)^(Calculations!$B$1*12-Calculations!$A571))</f>
        <v>829.84206699572258</v>
      </c>
      <c r="Z571" s="25">
        <f t="shared" si="113"/>
        <v>560108801.89972317</v>
      </c>
      <c r="AA571" s="25">
        <f t="shared" si="99"/>
        <v>406.07864937152152</v>
      </c>
      <c r="AB571" s="25">
        <f t="shared" si="114"/>
        <v>19205072348.160366</v>
      </c>
      <c r="AC571" s="25">
        <f>AA571/((1+'How much will I make'!$C$5/12)^(Calculations!$B$1*12-Calculations!$A571))</f>
        <v>583.06212492610018</v>
      </c>
      <c r="AD571" s="25">
        <f t="shared" si="115"/>
        <v>3144562529.2697873</v>
      </c>
      <c r="AE571" s="25">
        <f t="shared" si="100"/>
        <v>285.72540544452602</v>
      </c>
      <c r="AF571" s="25">
        <f t="shared" si="116"/>
        <v>114565037470.69768</v>
      </c>
      <c r="AG571" s="25">
        <f>AE571/((1+'How much will I make'!$C$5/12)^(Calculations!$B$1*12-Calculations!$A571))</f>
        <v>410.25466938902866</v>
      </c>
      <c r="AH571" s="25">
        <f t="shared" si="117"/>
        <v>18238872438.333782</v>
      </c>
    </row>
    <row r="572" spans="1:34" ht="15.75" customHeight="1">
      <c r="A572" s="22">
        <f t="shared" si="101"/>
        <v>568</v>
      </c>
      <c r="B572" s="22">
        <f t="shared" si="122"/>
        <v>4952.9855461629177</v>
      </c>
      <c r="C572" s="25">
        <f t="shared" si="93"/>
        <v>3435.236049791396</v>
      </c>
      <c r="D572" s="25">
        <f t="shared" si="102"/>
        <v>1983264.8426700903</v>
      </c>
      <c r="E572" s="25">
        <f>$C572/((1+'How much will I make'!$C$5/12)^(Calculations!$B$1*12-Calculations!$A572))</f>
        <v>4952.9855461629177</v>
      </c>
      <c r="F572" s="25">
        <f t="shared" si="103"/>
        <v>1088528.473263751</v>
      </c>
      <c r="G572" s="25">
        <f t="shared" si="94"/>
        <v>2386.1850749637365</v>
      </c>
      <c r="H572" s="25">
        <f t="shared" si="104"/>
        <v>5609677.4957138766</v>
      </c>
      <c r="I572" s="25">
        <f>G572/((1+'How much will I make'!$C$5/12)^(Calculations!$B$1*12-Calculations!$A572))</f>
        <v>3440.444853122322</v>
      </c>
      <c r="J572" s="25">
        <f t="shared" si="105"/>
        <v>1976523.3618749892</v>
      </c>
      <c r="K572" s="25">
        <f t="shared" si="95"/>
        <v>1659.9853475133887</v>
      </c>
      <c r="L572" s="25">
        <f t="shared" si="106"/>
        <v>22371361.543693159</v>
      </c>
      <c r="M572" s="25">
        <f>K572/((1+'How much will I make'!$C$5/12)^(Calculations!$B$1*12-Calculations!$A572))</f>
        <v>2393.396935146659</v>
      </c>
      <c r="N572" s="25">
        <f t="shared" si="107"/>
        <v>5552386.8020141805</v>
      </c>
      <c r="O572" s="25">
        <f t="shared" si="96"/>
        <v>1156.5159147146489</v>
      </c>
      <c r="P572" s="25">
        <f t="shared" si="108"/>
        <v>108343930.83178435</v>
      </c>
      <c r="Q572" s="25">
        <f>O572/((1+'How much will I make'!$C$5/12)^(Calculations!$B$1*12-Calculations!$A572))</f>
        <v>1667.4855894799095</v>
      </c>
      <c r="R572" s="25">
        <f t="shared" si="109"/>
        <v>21957436.481411584</v>
      </c>
      <c r="S572" s="25">
        <f t="shared" si="97"/>
        <v>806.93937420314614</v>
      </c>
      <c r="T572" s="25">
        <f t="shared" si="110"/>
        <v>580342192.48517108</v>
      </c>
      <c r="U572" s="25">
        <f>S572/((1+'How much will I make'!$C$5/12)^(Calculations!$B$1*12-Calculations!$A572))</f>
        <v>1163.4598027988893</v>
      </c>
      <c r="V572" s="25">
        <f t="shared" si="111"/>
        <v>105438649.16450784</v>
      </c>
      <c r="W572" s="25">
        <f t="shared" si="98"/>
        <v>563.85431220287148</v>
      </c>
      <c r="X572" s="25">
        <f t="shared" si="112"/>
        <v>3284752497.2166767</v>
      </c>
      <c r="Y572" s="25">
        <f>W572/((1+'How much will I make'!$C$5/12)^(Calculations!$B$1*12-Calculations!$A572))</f>
        <v>812.97535831694756</v>
      </c>
      <c r="Z572" s="25">
        <f t="shared" si="113"/>
        <v>560109614.87508154</v>
      </c>
      <c r="AA572" s="25">
        <f t="shared" si="99"/>
        <v>394.57034756747044</v>
      </c>
      <c r="AB572" s="25">
        <f t="shared" si="114"/>
        <v>19205072742.730713</v>
      </c>
      <c r="AC572" s="25">
        <f>AA572/((1+'How much will I make'!$C$5/12)^(Calculations!$B$1*12-Calculations!$A572))</f>
        <v>568.89867249874555</v>
      </c>
      <c r="AD572" s="25">
        <f t="shared" si="115"/>
        <v>3144563098.1684599</v>
      </c>
      <c r="AE572" s="25">
        <f t="shared" si="100"/>
        <v>276.50845688179936</v>
      </c>
      <c r="AF572" s="25">
        <f t="shared" si="116"/>
        <v>114565037747.20613</v>
      </c>
      <c r="AG572" s="25">
        <f>AE572/((1+'How much will I make'!$C$5/12)^(Calculations!$B$1*12-Calculations!$A572))</f>
        <v>398.67490049498338</v>
      </c>
      <c r="AH572" s="25">
        <f t="shared" si="117"/>
        <v>18238872837.008682</v>
      </c>
    </row>
    <row r="573" spans="1:34" ht="15.75" customHeight="1">
      <c r="A573" s="22">
        <f t="shared" si="101"/>
        <v>569</v>
      </c>
      <c r="B573" s="22">
        <f t="shared" si="122"/>
        <v>4952.9855461629177</v>
      </c>
      <c r="C573" s="25">
        <f t="shared" si="93"/>
        <v>3420.981958298486</v>
      </c>
      <c r="D573" s="25">
        <f t="shared" si="102"/>
        <v>1986685.8246283887</v>
      </c>
      <c r="E573" s="25">
        <f>$C573/((1+'How much will I make'!$C$5/12)^(Calculations!$B$1*12-Calculations!$A573))</f>
        <v>4952.9855461629177</v>
      </c>
      <c r="F573" s="25">
        <f t="shared" si="103"/>
        <v>1093481.4588099138</v>
      </c>
      <c r="G573" s="25">
        <f t="shared" si="94"/>
        <v>2366.4645371541187</v>
      </c>
      <c r="H573" s="25">
        <f t="shared" si="104"/>
        <v>5612043.9602510305</v>
      </c>
      <c r="I573" s="25">
        <f>G573/((1+'How much will I make'!$C$5/12)^(Calculations!$B$1*12-Calculations!$A573))</f>
        <v>3426.228138853221</v>
      </c>
      <c r="J573" s="25">
        <f t="shared" si="105"/>
        <v>1979949.5900138426</v>
      </c>
      <c r="K573" s="25">
        <f t="shared" si="95"/>
        <v>1639.4917012477915</v>
      </c>
      <c r="L573" s="25">
        <f t="shared" si="106"/>
        <v>22373001.035394408</v>
      </c>
      <c r="M573" s="25">
        <f>K573/((1+'How much will I make'!$C$5/12)^(Calculations!$B$1*12-Calculations!$A573))</f>
        <v>2373.6981949396904</v>
      </c>
      <c r="N573" s="25">
        <f t="shared" si="107"/>
        <v>5554760.5002091201</v>
      </c>
      <c r="O573" s="25">
        <f t="shared" si="96"/>
        <v>1137.5566374242449</v>
      </c>
      <c r="P573" s="25">
        <f t="shared" si="108"/>
        <v>108345068.38842177</v>
      </c>
      <c r="Q573" s="25">
        <f>O573/((1+'How much will I make'!$C$5/12)^(Calculations!$B$1*12-Calculations!$A573))</f>
        <v>1646.9837174781071</v>
      </c>
      <c r="R573" s="25">
        <f t="shared" si="109"/>
        <v>21959083.465129063</v>
      </c>
      <c r="S573" s="25">
        <f t="shared" si="97"/>
        <v>790.47122370920442</v>
      </c>
      <c r="T573" s="25">
        <f t="shared" si="110"/>
        <v>580342982.95639479</v>
      </c>
      <c r="U573" s="25">
        <f>S573/((1+'How much will I make'!$C$5/12)^(Calculations!$B$1*12-Calculations!$A573))</f>
        <v>1144.4645407123767</v>
      </c>
      <c r="V573" s="25">
        <f t="shared" si="111"/>
        <v>105439793.62904854</v>
      </c>
      <c r="W573" s="25">
        <f t="shared" si="98"/>
        <v>550.10176800280158</v>
      </c>
      <c r="X573" s="25">
        <f t="shared" si="112"/>
        <v>3284753047.3184447</v>
      </c>
      <c r="Y573" s="25">
        <f>W573/((1+'How much will I make'!$C$5/12)^(Calculations!$B$1*12-Calculations!$A573))</f>
        <v>796.45146892026173</v>
      </c>
      <c r="Z573" s="25">
        <f t="shared" si="113"/>
        <v>560110411.32655048</v>
      </c>
      <c r="AA573" s="25">
        <f t="shared" si="99"/>
        <v>383.38819196839233</v>
      </c>
      <c r="AB573" s="25">
        <f t="shared" si="114"/>
        <v>19205073126.118904</v>
      </c>
      <c r="AC573" s="25">
        <f>AA573/((1+'How much will I make'!$C$5/12)^(Calculations!$B$1*12-Calculations!$A573))</f>
        <v>555.07927154735899</v>
      </c>
      <c r="AD573" s="25">
        <f t="shared" si="115"/>
        <v>3144563653.2477312</v>
      </c>
      <c r="AE573" s="25">
        <f t="shared" si="100"/>
        <v>267.58882924045093</v>
      </c>
      <c r="AF573" s="25">
        <f t="shared" si="116"/>
        <v>114565038014.79497</v>
      </c>
      <c r="AG573" s="25">
        <f>AE573/((1+'How much will I make'!$C$5/12)^(Calculations!$B$1*12-Calculations!$A573))</f>
        <v>387.42197991649584</v>
      </c>
      <c r="AH573" s="25">
        <f t="shared" si="117"/>
        <v>18238873224.430664</v>
      </c>
    </row>
    <row r="574" spans="1:34" ht="15.75" customHeight="1">
      <c r="A574" s="22">
        <f t="shared" si="101"/>
        <v>570</v>
      </c>
      <c r="B574" s="22">
        <f t="shared" si="122"/>
        <v>4952.9855461629177</v>
      </c>
      <c r="C574" s="25">
        <f t="shared" si="93"/>
        <v>3406.7870124134297</v>
      </c>
      <c r="D574" s="25">
        <f t="shared" si="102"/>
        <v>1990092.6116408021</v>
      </c>
      <c r="E574" s="25">
        <f>$C574/((1+'How much will I make'!$C$5/12)^(Calculations!$B$1*12-Calculations!$A574))</f>
        <v>4952.9855461629177</v>
      </c>
      <c r="F574" s="25">
        <f t="shared" si="103"/>
        <v>1098434.4443560767</v>
      </c>
      <c r="G574" s="25">
        <f t="shared" si="94"/>
        <v>2346.9069789958203</v>
      </c>
      <c r="H574" s="25">
        <f t="shared" si="104"/>
        <v>5614390.8672300261</v>
      </c>
      <c r="I574" s="25">
        <f>G574/((1+'How much will I make'!$C$5/12)^(Calculations!$B$1*12-Calculations!$A574))</f>
        <v>3412.0701713372991</v>
      </c>
      <c r="J574" s="25">
        <f t="shared" si="105"/>
        <v>1983361.6601851799</v>
      </c>
      <c r="K574" s="25">
        <f t="shared" si="95"/>
        <v>1619.2510629607814</v>
      </c>
      <c r="L574" s="25">
        <f t="shared" si="106"/>
        <v>22374620.286457367</v>
      </c>
      <c r="M574" s="25">
        <f>K574/((1+'How much will I make'!$C$5/12)^(Calculations!$B$1*12-Calculations!$A574))</f>
        <v>2354.1615842817505</v>
      </c>
      <c r="N574" s="25">
        <f t="shared" si="107"/>
        <v>5557114.6617934015</v>
      </c>
      <c r="O574" s="25">
        <f t="shared" si="96"/>
        <v>1118.9081679582737</v>
      </c>
      <c r="P574" s="25">
        <f t="shared" si="108"/>
        <v>108346187.29658973</v>
      </c>
      <c r="Q574" s="25">
        <f>O574/((1+'How much will I make'!$C$5/12)^(Calculations!$B$1*12-Calculations!$A574))</f>
        <v>1626.7339176730488</v>
      </c>
      <c r="R574" s="25">
        <f t="shared" si="109"/>
        <v>21960710.199046735</v>
      </c>
      <c r="S574" s="25">
        <f t="shared" si="97"/>
        <v>774.33915791922072</v>
      </c>
      <c r="T574" s="25">
        <f t="shared" si="110"/>
        <v>580343757.29555273</v>
      </c>
      <c r="U574" s="25">
        <f>S574/((1+'How much will I make'!$C$5/12)^(Calculations!$B$1*12-Calculations!$A574))</f>
        <v>1125.7794053538075</v>
      </c>
      <c r="V574" s="25">
        <f t="shared" si="111"/>
        <v>105440919.4084539</v>
      </c>
      <c r="W574" s="25">
        <f t="shared" si="98"/>
        <v>536.68465171005028</v>
      </c>
      <c r="X574" s="25">
        <f t="shared" si="112"/>
        <v>3284753584.0030966</v>
      </c>
      <c r="Y574" s="25">
        <f>W574/((1+'How much will I make'!$C$5/12)^(Calculations!$B$1*12-Calculations!$A574))</f>
        <v>780.26343093407763</v>
      </c>
      <c r="Z574" s="25">
        <f t="shared" si="113"/>
        <v>560111191.58998144</v>
      </c>
      <c r="AA574" s="25">
        <f t="shared" si="99"/>
        <v>372.52293956442981</v>
      </c>
      <c r="AB574" s="25">
        <f t="shared" si="114"/>
        <v>19205073498.641842</v>
      </c>
      <c r="AC574" s="25">
        <f>AA574/((1+'How much will I make'!$C$5/12)^(Calculations!$B$1*12-Calculations!$A574))</f>
        <v>541.59556454620861</v>
      </c>
      <c r="AD574" s="25">
        <f t="shared" si="115"/>
        <v>3144564194.8432956</v>
      </c>
      <c r="AE574" s="25">
        <f t="shared" si="100"/>
        <v>258.95693152301709</v>
      </c>
      <c r="AF574" s="25">
        <f t="shared" si="116"/>
        <v>114565038273.75189</v>
      </c>
      <c r="AG574" s="25">
        <f>AE574/((1+'How much will I make'!$C$5/12)^(Calculations!$B$1*12-Calculations!$A574))</f>
        <v>376.48668209627226</v>
      </c>
      <c r="AH574" s="25">
        <f t="shared" si="117"/>
        <v>18238873600.917347</v>
      </c>
    </row>
    <row r="575" spans="1:34" ht="15.75" customHeight="1">
      <c r="A575" s="22">
        <f t="shared" si="101"/>
        <v>571</v>
      </c>
      <c r="B575" s="22">
        <f t="shared" si="122"/>
        <v>4952.9855461629177</v>
      </c>
      <c r="C575" s="25">
        <f t="shared" si="93"/>
        <v>3392.6509667187684</v>
      </c>
      <c r="D575" s="25">
        <f t="shared" si="102"/>
        <v>1993485.2626075209</v>
      </c>
      <c r="E575" s="25">
        <f>$C575/((1+'How much will I make'!$C$5/12)^(Calculations!$B$1*12-Calculations!$A575))</f>
        <v>4952.9855461629177</v>
      </c>
      <c r="F575" s="25">
        <f t="shared" si="103"/>
        <v>1103387.4299022395</v>
      </c>
      <c r="G575" s="25">
        <f t="shared" si="94"/>
        <v>2327.5110535495737</v>
      </c>
      <c r="H575" s="25">
        <f t="shared" si="104"/>
        <v>5616718.3782835752</v>
      </c>
      <c r="I575" s="25">
        <f>G575/((1+'How much will I make'!$C$5/12)^(Calculations!$B$1*12-Calculations!$A575))</f>
        <v>3397.970707819376</v>
      </c>
      <c r="J575" s="25">
        <f t="shared" si="105"/>
        <v>1986759.6308929992</v>
      </c>
      <c r="K575" s="25">
        <f t="shared" si="95"/>
        <v>1599.2603090970688</v>
      </c>
      <c r="L575" s="25">
        <f t="shared" si="106"/>
        <v>22376219.546766464</v>
      </c>
      <c r="M575" s="25">
        <f>K575/((1+'How much will I make'!$C$5/12)^(Calculations!$B$1*12-Calculations!$A575))</f>
        <v>2334.7857687732594</v>
      </c>
      <c r="N575" s="25">
        <f t="shared" si="107"/>
        <v>5559449.4475621749</v>
      </c>
      <c r="O575" s="25">
        <f t="shared" si="96"/>
        <v>1100.5654111064989</v>
      </c>
      <c r="P575" s="25">
        <f t="shared" si="108"/>
        <v>108347287.86200084</v>
      </c>
      <c r="Q575" s="25">
        <f>O575/((1+'How much will I make'!$C$5/12)^(Calculations!$B$1*12-Calculations!$A575))</f>
        <v>1606.7330908164131</v>
      </c>
      <c r="R575" s="25">
        <f t="shared" si="109"/>
        <v>21962316.932137553</v>
      </c>
      <c r="S575" s="25">
        <f t="shared" si="97"/>
        <v>758.53631796168577</v>
      </c>
      <c r="T575" s="25">
        <f t="shared" si="110"/>
        <v>580344515.83187068</v>
      </c>
      <c r="U575" s="25">
        <f>S575/((1+'How much will I make'!$C$5/12)^(Calculations!$B$1*12-Calculations!$A575))</f>
        <v>1107.3993334296638</v>
      </c>
      <c r="V575" s="25">
        <f t="shared" si="111"/>
        <v>105442026.80778733</v>
      </c>
      <c r="W575" s="25">
        <f t="shared" si="98"/>
        <v>523.59478215614661</v>
      </c>
      <c r="X575" s="25">
        <f t="shared" si="112"/>
        <v>3284754107.5978789</v>
      </c>
      <c r="Y575" s="25">
        <f>W575/((1+'How much will I make'!$C$5/12)^(Calculations!$B$1*12-Calculations!$A575))</f>
        <v>764.40441811021412</v>
      </c>
      <c r="Z575" s="25">
        <f t="shared" si="113"/>
        <v>560111955.99439955</v>
      </c>
      <c r="AA575" s="25">
        <f t="shared" si="99"/>
        <v>361.96560929337312</v>
      </c>
      <c r="AB575" s="25">
        <f t="shared" si="114"/>
        <v>19205073860.607452</v>
      </c>
      <c r="AC575" s="25">
        <f>AA575/((1+'How much will I make'!$C$5/12)^(Calculations!$B$1*12-Calculations!$A575))</f>
        <v>528.43939698638167</v>
      </c>
      <c r="AD575" s="25">
        <f t="shared" si="115"/>
        <v>3144564723.2826924</v>
      </c>
      <c r="AE575" s="25">
        <f t="shared" si="100"/>
        <v>250.60348211904878</v>
      </c>
      <c r="AF575" s="25">
        <f t="shared" si="116"/>
        <v>114565038524.35538</v>
      </c>
      <c r="AG575" s="25">
        <f>AE575/((1+'How much will I make'!$C$5/12)^(Calculations!$B$1*12-Calculations!$A575))</f>
        <v>365.8600418758129</v>
      </c>
      <c r="AH575" s="25">
        <f t="shared" si="117"/>
        <v>18238873966.77739</v>
      </c>
    </row>
    <row r="576" spans="1:34" ht="15.75" customHeight="1">
      <c r="A576" s="22">
        <f t="shared" si="101"/>
        <v>572</v>
      </c>
      <c r="B576" s="22">
        <f t="shared" si="122"/>
        <v>4952.9855461629177</v>
      </c>
      <c r="C576" s="25">
        <f t="shared" si="93"/>
        <v>3378.5735768153709</v>
      </c>
      <c r="D576" s="25">
        <f t="shared" si="102"/>
        <v>1996863.8361843363</v>
      </c>
      <c r="E576" s="25">
        <f>$C576/((1+'How much will I make'!$C$5/12)^(Calculations!$B$1*12-Calculations!$A576))</f>
        <v>4952.9855461629177</v>
      </c>
      <c r="F576" s="25">
        <f t="shared" si="103"/>
        <v>1108340.4154484023</v>
      </c>
      <c r="G576" s="25">
        <f t="shared" si="94"/>
        <v>2308.2754250078415</v>
      </c>
      <c r="H576" s="25">
        <f t="shared" si="104"/>
        <v>5619026.6537085827</v>
      </c>
      <c r="I576" s="25">
        <f>G576/((1+'How much will I make'!$C$5/12)^(Calculations!$B$1*12-Calculations!$A576))</f>
        <v>3383.9295065473948</v>
      </c>
      <c r="J576" s="25">
        <f t="shared" si="105"/>
        <v>1990143.5603995465</v>
      </c>
      <c r="K576" s="25">
        <f t="shared" si="95"/>
        <v>1579.5163546637712</v>
      </c>
      <c r="L576" s="25">
        <f t="shared" si="106"/>
        <v>22377799.063121129</v>
      </c>
      <c r="M576" s="25">
        <f>K576/((1+'How much will I make'!$C$5/12)^(Calculations!$B$1*12-Calculations!$A576))</f>
        <v>2315.5694249973471</v>
      </c>
      <c r="N576" s="25">
        <f t="shared" si="107"/>
        <v>5561765.016987172</v>
      </c>
      <c r="O576" s="25">
        <f t="shared" si="96"/>
        <v>1082.5233551867202</v>
      </c>
      <c r="P576" s="25">
        <f t="shared" si="108"/>
        <v>108348370.38535602</v>
      </c>
      <c r="Q576" s="25">
        <f>O576/((1+'How much will I make'!$C$5/12)^(Calculations!$B$1*12-Calculations!$A576))</f>
        <v>1586.9781757653916</v>
      </c>
      <c r="R576" s="25">
        <f t="shared" si="109"/>
        <v>21963903.910313319</v>
      </c>
      <c r="S576" s="25">
        <f t="shared" si="97"/>
        <v>743.05598494205969</v>
      </c>
      <c r="T576" s="25">
        <f t="shared" si="110"/>
        <v>580345258.88785565</v>
      </c>
      <c r="U576" s="25">
        <f>S576/((1+'How much will I make'!$C$5/12)^(Calculations!$B$1*12-Calculations!$A576))</f>
        <v>1089.3193443124451</v>
      </c>
      <c r="V576" s="25">
        <f t="shared" si="111"/>
        <v>105443116.12713164</v>
      </c>
      <c r="W576" s="25">
        <f t="shared" si="98"/>
        <v>510.82417771331387</v>
      </c>
      <c r="X576" s="25">
        <f t="shared" si="112"/>
        <v>3284754618.4220567</v>
      </c>
      <c r="Y576" s="25">
        <f>W576/((1+'How much will I make'!$C$5/12)^(Calculations!$B$1*12-Calculations!$A576))</f>
        <v>748.86774294537258</v>
      </c>
      <c r="Z576" s="25">
        <f t="shared" si="113"/>
        <v>560112704.86214244</v>
      </c>
      <c r="AA576" s="25">
        <f t="shared" si="99"/>
        <v>351.70747461704286</v>
      </c>
      <c r="AB576" s="25">
        <f t="shared" si="114"/>
        <v>19205074212.314926</v>
      </c>
      <c r="AC576" s="25">
        <f>AA576/((1+'How much will I make'!$C$5/12)^(Calculations!$B$1*12-Calculations!$A576))</f>
        <v>515.60281244420264</v>
      </c>
      <c r="AD576" s="25">
        <f t="shared" si="115"/>
        <v>3144565238.8855047</v>
      </c>
      <c r="AE576" s="25">
        <f t="shared" si="100"/>
        <v>242.5194988248858</v>
      </c>
      <c r="AF576" s="25">
        <f t="shared" si="116"/>
        <v>114565038766.87488</v>
      </c>
      <c r="AG576" s="25">
        <f>AE576/((1+'How much will I make'!$C$5/12)^(Calculations!$B$1*12-Calculations!$A576))</f>
        <v>355.53334714544707</v>
      </c>
      <c r="AH576" s="25">
        <f t="shared" si="117"/>
        <v>18238874322.310738</v>
      </c>
    </row>
    <row r="577" spans="1:34" ht="15.75" customHeight="1">
      <c r="A577" s="22">
        <f t="shared" si="101"/>
        <v>573</v>
      </c>
      <c r="B577" s="22">
        <f t="shared" si="122"/>
        <v>4952.9855461629177</v>
      </c>
      <c r="C577" s="25">
        <f t="shared" si="93"/>
        <v>3364.5545993182118</v>
      </c>
      <c r="D577" s="25">
        <f t="shared" si="102"/>
        <v>2000228.3907836545</v>
      </c>
      <c r="E577" s="25">
        <f>$C577/((1+'How much will I make'!$C$5/12)^(Calculations!$B$1*12-Calculations!$A577))</f>
        <v>4952.9855461629177</v>
      </c>
      <c r="F577" s="25">
        <f t="shared" si="103"/>
        <v>1113293.4009945651</v>
      </c>
      <c r="G577" s="25">
        <f t="shared" si="94"/>
        <v>2289.1987686028187</v>
      </c>
      <c r="H577" s="25">
        <f t="shared" si="104"/>
        <v>5621315.8524771854</v>
      </c>
      <c r="I577" s="25">
        <f>G577/((1+'How much will I make'!$C$5/12)^(Calculations!$B$1*12-Calculations!$A577))</f>
        <v>3369.9463267682745</v>
      </c>
      <c r="J577" s="25">
        <f t="shared" si="105"/>
        <v>1993513.5067263148</v>
      </c>
      <c r="K577" s="25">
        <f t="shared" si="95"/>
        <v>1560.0161527543423</v>
      </c>
      <c r="L577" s="25">
        <f t="shared" si="106"/>
        <v>22379359.079273883</v>
      </c>
      <c r="M577" s="25">
        <f>K577/((1+'How much will I make'!$C$5/12)^(Calculations!$B$1*12-Calculations!$A577))</f>
        <v>2296.5112404294687</v>
      </c>
      <c r="N577" s="25">
        <f t="shared" si="107"/>
        <v>5564061.5282276012</v>
      </c>
      <c r="O577" s="25">
        <f t="shared" si="96"/>
        <v>1064.7770706754623</v>
      </c>
      <c r="P577" s="25">
        <f t="shared" si="108"/>
        <v>108349435.1624267</v>
      </c>
      <c r="Q577" s="25">
        <f>O577/((1+'How much will I make'!$C$5/12)^(Calculations!$B$1*12-Calculations!$A577))</f>
        <v>1567.4661490141773</v>
      </c>
      <c r="R577" s="25">
        <f t="shared" si="109"/>
        <v>21965471.376462333</v>
      </c>
      <c r="S577" s="25">
        <f t="shared" si="97"/>
        <v>727.89157708609923</v>
      </c>
      <c r="T577" s="25">
        <f t="shared" si="110"/>
        <v>580345986.77943277</v>
      </c>
      <c r="U577" s="25">
        <f>S577/((1+'How much will I make'!$C$5/12)^(Calculations!$B$1*12-Calculations!$A577))</f>
        <v>1071.5345386910174</v>
      </c>
      <c r="V577" s="25">
        <f t="shared" si="111"/>
        <v>105444187.66167033</v>
      </c>
      <c r="W577" s="25">
        <f t="shared" si="98"/>
        <v>498.36505142762326</v>
      </c>
      <c r="X577" s="25">
        <f t="shared" si="112"/>
        <v>3284755116.7871079</v>
      </c>
      <c r="Y577" s="25">
        <f>W577/((1+'How much will I make'!$C$5/12)^(Calculations!$B$1*12-Calculations!$A577))</f>
        <v>733.64685386111694</v>
      </c>
      <c r="Z577" s="25">
        <f t="shared" si="113"/>
        <v>560113438.50899625</v>
      </c>
      <c r="AA577" s="25">
        <f t="shared" si="99"/>
        <v>341.74005630805783</v>
      </c>
      <c r="AB577" s="25">
        <f t="shared" si="114"/>
        <v>19205074554.054981</v>
      </c>
      <c r="AC577" s="25">
        <f>AA577/((1+'How much will I make'!$C$5/12)^(Calculations!$B$1*12-Calculations!$A577))</f>
        <v>503.07804776944465</v>
      </c>
      <c r="AD577" s="25">
        <f t="shared" si="115"/>
        <v>3144565741.9635525</v>
      </c>
      <c r="AE577" s="25">
        <f t="shared" si="100"/>
        <v>234.69628918537336</v>
      </c>
      <c r="AF577" s="25">
        <f t="shared" si="116"/>
        <v>114565039001.57117</v>
      </c>
      <c r="AG577" s="25">
        <f>AE577/((1+'How much will I make'!$C$5/12)^(Calculations!$B$1*12-Calculations!$A577))</f>
        <v>345.49813170182557</v>
      </c>
      <c r="AH577" s="25">
        <f t="shared" si="117"/>
        <v>18238874667.808868</v>
      </c>
    </row>
    <row r="578" spans="1:34" ht="15.75" customHeight="1">
      <c r="A578" s="22">
        <f t="shared" si="101"/>
        <v>574</v>
      </c>
      <c r="B578" s="22">
        <f t="shared" si="122"/>
        <v>4952.9855461629177</v>
      </c>
      <c r="C578" s="25">
        <f t="shared" si="93"/>
        <v>3350.5937918521613</v>
      </c>
      <c r="D578" s="25">
        <f t="shared" si="102"/>
        <v>2003578.9845755068</v>
      </c>
      <c r="E578" s="25">
        <f>$C578/((1+'How much will I make'!$C$5/12)^(Calculations!$B$1*12-Calculations!$A578))</f>
        <v>4952.9855461629177</v>
      </c>
      <c r="F578" s="25">
        <f t="shared" si="103"/>
        <v>1118246.3865407279</v>
      </c>
      <c r="G578" s="25">
        <f t="shared" si="94"/>
        <v>2270.279770515192</v>
      </c>
      <c r="H578" s="25">
        <f t="shared" si="104"/>
        <v>5623586.1322477004</v>
      </c>
      <c r="I578" s="25">
        <f>G578/((1+'How much will I make'!$C$5/12)^(Calculations!$B$1*12-Calculations!$A578))</f>
        <v>3356.0209287237767</v>
      </c>
      <c r="J578" s="25">
        <f t="shared" si="105"/>
        <v>1996869.5276550385</v>
      </c>
      <c r="K578" s="25">
        <f t="shared" si="95"/>
        <v>1540.7566940783624</v>
      </c>
      <c r="L578" s="25">
        <f t="shared" si="106"/>
        <v>22380899.835967962</v>
      </c>
      <c r="M578" s="25">
        <f>K578/((1+'How much will I make'!$C$5/12)^(Calculations!$B$1*12-Calculations!$A578))</f>
        <v>2277.6099133477437</v>
      </c>
      <c r="N578" s="25">
        <f t="shared" si="107"/>
        <v>5566339.1381409485</v>
      </c>
      <c r="O578" s="25">
        <f t="shared" si="96"/>
        <v>1047.3217088611107</v>
      </c>
      <c r="P578" s="25">
        <f t="shared" si="108"/>
        <v>108350482.48413555</v>
      </c>
      <c r="Q578" s="25">
        <f>O578/((1+'How much will I make'!$C$5/12)^(Calculations!$B$1*12-Calculations!$A578))</f>
        <v>1548.1940242312164</v>
      </c>
      <c r="R578" s="25">
        <f t="shared" si="109"/>
        <v>21967019.570486564</v>
      </c>
      <c r="S578" s="25">
        <f t="shared" si="97"/>
        <v>713.03664694148517</v>
      </c>
      <c r="T578" s="25">
        <f t="shared" si="110"/>
        <v>580346699.81607974</v>
      </c>
      <c r="U578" s="25">
        <f>S578/((1+'How much will I make'!$C$5/12)^(Calculations!$B$1*12-Calculations!$A578))</f>
        <v>1054.0400972430009</v>
      </c>
      <c r="V578" s="25">
        <f t="shared" si="111"/>
        <v>105445241.70176756</v>
      </c>
      <c r="W578" s="25">
        <f t="shared" si="98"/>
        <v>486.20980627085203</v>
      </c>
      <c r="X578" s="25">
        <f t="shared" si="112"/>
        <v>3284755602.9969144</v>
      </c>
      <c r="Y578" s="25">
        <f>W578/((1+'How much will I make'!$C$5/12)^(Calculations!$B$1*12-Calculations!$A578))</f>
        <v>718.73533244117561</v>
      </c>
      <c r="Z578" s="25">
        <f t="shared" si="113"/>
        <v>560114157.24432874</v>
      </c>
      <c r="AA578" s="25">
        <f t="shared" si="99"/>
        <v>332.05511544102785</v>
      </c>
      <c r="AB578" s="25">
        <f t="shared" si="114"/>
        <v>19205074886.110096</v>
      </c>
      <c r="AC578" s="25">
        <f>AA578/((1+'How much will I make'!$C$5/12)^(Calculations!$B$1*12-Calculations!$A578))</f>
        <v>490.85752839042976</v>
      </c>
      <c r="AD578" s="25">
        <f t="shared" si="115"/>
        <v>3144566232.8210807</v>
      </c>
      <c r="AE578" s="25">
        <f t="shared" si="100"/>
        <v>227.12544114713552</v>
      </c>
      <c r="AF578" s="25">
        <f t="shared" si="116"/>
        <v>114565039228.69661</v>
      </c>
      <c r="AG578" s="25">
        <f>AE578/((1+'How much will I make'!$C$5/12)^(Calculations!$B$1*12-Calculations!$A578))</f>
        <v>335.74616830701598</v>
      </c>
      <c r="AH578" s="25">
        <f t="shared" si="117"/>
        <v>18238875003.555038</v>
      </c>
    </row>
    <row r="579" spans="1:34" ht="15.75" customHeight="1">
      <c r="A579" s="22">
        <f t="shared" si="101"/>
        <v>575</v>
      </c>
      <c r="B579" s="22">
        <f t="shared" si="122"/>
        <v>4952.9855461629177</v>
      </c>
      <c r="C579" s="25">
        <f t="shared" si="93"/>
        <v>3336.6909130477934</v>
      </c>
      <c r="D579" s="25">
        <f t="shared" si="102"/>
        <v>2006915.6754885546</v>
      </c>
      <c r="E579" s="25">
        <f>$C579/((1+'How much will I make'!$C$5/12)^(Calculations!$B$1*12-Calculations!$A579))</f>
        <v>4952.9855461629177</v>
      </c>
      <c r="F579" s="25">
        <f t="shared" si="103"/>
        <v>1123199.3720868907</v>
      </c>
      <c r="G579" s="25">
        <f t="shared" si="94"/>
        <v>2251.5171277836616</v>
      </c>
      <c r="H579" s="25">
        <f t="shared" si="104"/>
        <v>5625837.6493754843</v>
      </c>
      <c r="I579" s="25">
        <f>G579/((1+'How much will I make'!$C$5/12)^(Calculations!$B$1*12-Calculations!$A579))</f>
        <v>3342.1530736464083</v>
      </c>
      <c r="J579" s="25">
        <f t="shared" si="105"/>
        <v>2000211.6807286849</v>
      </c>
      <c r="K579" s="25">
        <f t="shared" si="95"/>
        <v>1521.7350064971483</v>
      </c>
      <c r="L579" s="25">
        <f t="shared" si="106"/>
        <v>22382421.570974458</v>
      </c>
      <c r="M579" s="25">
        <f>K579/((1+'How much will I make'!$C$5/12)^(Calculations!$B$1*12-Calculations!$A579))</f>
        <v>2258.8641527440604</v>
      </c>
      <c r="N579" s="25">
        <f t="shared" si="107"/>
        <v>5568598.0022936929</v>
      </c>
      <c r="O579" s="25">
        <f t="shared" si="96"/>
        <v>1030.1525005191256</v>
      </c>
      <c r="P579" s="25">
        <f t="shared" si="108"/>
        <v>108351512.63663608</v>
      </c>
      <c r="Q579" s="25">
        <f>O579/((1+'How much will I make'!$C$5/12)^(Calculations!$B$1*12-Calculations!$A579))</f>
        <v>1529.1588518021456</v>
      </c>
      <c r="R579" s="25">
        <f t="shared" si="109"/>
        <v>21968548.729338367</v>
      </c>
      <c r="S579" s="25">
        <f t="shared" si="97"/>
        <v>698.48487863655691</v>
      </c>
      <c r="T579" s="25">
        <f t="shared" si="110"/>
        <v>580347398.3009584</v>
      </c>
      <c r="U579" s="25">
        <f>S579/((1+'How much will I make'!$C$5/12)^(Calculations!$B$1*12-Calculations!$A579))</f>
        <v>1036.8312793288301</v>
      </c>
      <c r="V579" s="25">
        <f t="shared" si="111"/>
        <v>105446278.53304689</v>
      </c>
      <c r="W579" s="25">
        <f t="shared" si="98"/>
        <v>474.3510305081482</v>
      </c>
      <c r="X579" s="25">
        <f t="shared" si="112"/>
        <v>3284756077.3479447</v>
      </c>
      <c r="Y579" s="25">
        <f>W579/((1+'How much will I make'!$C$5/12)^(Calculations!$B$1*12-Calculations!$A579))</f>
        <v>704.12689072489184</v>
      </c>
      <c r="Z579" s="25">
        <f t="shared" si="113"/>
        <v>560114861.37121952</v>
      </c>
      <c r="AA579" s="25">
        <f t="shared" si="99"/>
        <v>322.64464658237529</v>
      </c>
      <c r="AB579" s="25">
        <f t="shared" si="114"/>
        <v>19205075208.754742</v>
      </c>
      <c r="AC579" s="25">
        <f>AA579/((1+'How much will I make'!$C$5/12)^(Calculations!$B$1*12-Calculations!$A579))</f>
        <v>478.9338637331727</v>
      </c>
      <c r="AD579" s="25">
        <f t="shared" si="115"/>
        <v>3144566711.7549443</v>
      </c>
      <c r="AE579" s="25">
        <f t="shared" si="100"/>
        <v>219.79881401335692</v>
      </c>
      <c r="AF579" s="25">
        <f t="shared" si="116"/>
        <v>114565039448.49542</v>
      </c>
      <c r="AG579" s="25">
        <f>AE579/((1+'How much will I make'!$C$5/12)^(Calculations!$B$1*12-Calculations!$A579))</f>
        <v>326.26946194351166</v>
      </c>
      <c r="AH579" s="25">
        <f t="shared" si="117"/>
        <v>18238875329.824501</v>
      </c>
    </row>
    <row r="580" spans="1:34" ht="15.75" customHeight="1">
      <c r="A580" s="22">
        <f t="shared" si="101"/>
        <v>576</v>
      </c>
      <c r="B580" s="22">
        <f t="shared" si="122"/>
        <v>4952.9855461629177</v>
      </c>
      <c r="C580" s="25">
        <f t="shared" si="93"/>
        <v>3322.8457225372235</v>
      </c>
      <c r="D580" s="25">
        <f t="shared" si="102"/>
        <v>2010238.5212110919</v>
      </c>
      <c r="E580" s="25">
        <f>$C580/((1+'How much will I make'!$C$5/12)^(Calculations!$B$1*12-Calculations!$A580))</f>
        <v>4952.9855461629177</v>
      </c>
      <c r="F580" s="25">
        <f t="shared" si="103"/>
        <v>1128152.3576330536</v>
      </c>
      <c r="G580" s="25">
        <f t="shared" si="94"/>
        <v>2232.9095482152015</v>
      </c>
      <c r="H580" s="25">
        <f t="shared" si="104"/>
        <v>5628070.5589236999</v>
      </c>
      <c r="I580" s="25">
        <f>G580/((1+'How much will I make'!$C$5/12)^(Calculations!$B$1*12-Calculations!$A580))</f>
        <v>3328.3425237553056</v>
      </c>
      <c r="J580" s="25">
        <f t="shared" si="105"/>
        <v>2003540.0232524402</v>
      </c>
      <c r="K580" s="25">
        <f t="shared" si="95"/>
        <v>1502.9481545650849</v>
      </c>
      <c r="L580" s="25">
        <f t="shared" si="106"/>
        <v>22383924.519129023</v>
      </c>
      <c r="M580" s="25">
        <f>K580/((1+'How much will I make'!$C$5/12)^(Calculations!$B$1*12-Calculations!$A580))</f>
        <v>2240.2726782358777</v>
      </c>
      <c r="N580" s="25">
        <f t="shared" si="107"/>
        <v>5570838.2749719284</v>
      </c>
      <c r="O580" s="25">
        <f t="shared" si="96"/>
        <v>1013.264754608976</v>
      </c>
      <c r="P580" s="25">
        <f t="shared" si="108"/>
        <v>108352525.90139069</v>
      </c>
      <c r="Q580" s="25">
        <f>O580/((1+'How much will I make'!$C$5/12)^(Calculations!$B$1*12-Calculations!$A580))</f>
        <v>1510.357718378348</v>
      </c>
      <c r="R580" s="25">
        <f t="shared" si="109"/>
        <v>21970059.087056745</v>
      </c>
      <c r="S580" s="25">
        <f t="shared" si="97"/>
        <v>684.23008519499467</v>
      </c>
      <c r="T580" s="25">
        <f t="shared" si="110"/>
        <v>580348082.53104365</v>
      </c>
      <c r="U580" s="25">
        <f>S580/((1+'How much will I make'!$C$5/12)^(Calculations!$B$1*12-Calculations!$A580))</f>
        <v>1019.9034217071347</v>
      </c>
      <c r="V580" s="25">
        <f t="shared" si="111"/>
        <v>105447298.43646859</v>
      </c>
      <c r="W580" s="25">
        <f t="shared" si="98"/>
        <v>462.78149317868127</v>
      </c>
      <c r="X580" s="25">
        <f t="shared" si="112"/>
        <v>3284756540.1294379</v>
      </c>
      <c r="Y580" s="25">
        <f>W580/((1+'How much will I make'!$C$5/12)^(Calculations!$B$1*12-Calculations!$A580))</f>
        <v>689.81536855568652</v>
      </c>
      <c r="Z580" s="25">
        <f t="shared" si="113"/>
        <v>560115551.18658805</v>
      </c>
      <c r="AA580" s="25">
        <f t="shared" si="99"/>
        <v>313.50087117315832</v>
      </c>
      <c r="AB580" s="25">
        <f t="shared" si="114"/>
        <v>19205075522.255611</v>
      </c>
      <c r="AC580" s="25">
        <f>AA580/((1+'How much will I make'!$C$5/12)^(Calculations!$B$1*12-Calculations!$A580))</f>
        <v>467.2998427518001</v>
      </c>
      <c r="AD580" s="25">
        <f t="shared" si="115"/>
        <v>3144567179.0547872</v>
      </c>
      <c r="AE580" s="25">
        <f t="shared" si="100"/>
        <v>212.70852969034539</v>
      </c>
      <c r="AF580" s="25">
        <f t="shared" si="116"/>
        <v>114565039661.20395</v>
      </c>
      <c r="AG580" s="25">
        <f>AE580/((1+'How much will I make'!$C$5/12)^(Calculations!$B$1*12-Calculations!$A580))</f>
        <v>317.06024325962204</v>
      </c>
      <c r="AH580" s="25">
        <f t="shared" si="117"/>
        <v>18238875646.884743</v>
      </c>
    </row>
    <row r="581" spans="1:34" ht="15.75" customHeight="1">
      <c r="A581" s="22">
        <f t="shared" si="101"/>
        <v>577</v>
      </c>
      <c r="B581" s="22">
        <f>B580*(1+'How much will I make'!$C$4)</f>
        <v>5200.634823471064</v>
      </c>
      <c r="C581" s="25">
        <f t="shared" si="93"/>
        <v>3474.5108799974287</v>
      </c>
      <c r="D581" s="25">
        <f t="shared" si="102"/>
        <v>2013713.0320910893</v>
      </c>
      <c r="E581" s="25">
        <f>$C581/((1+'How much will I make'!$C$5/12)^(Calculations!$B$1*12-Calculations!$A581))</f>
        <v>5200.634823471064</v>
      </c>
      <c r="F581" s="25">
        <f t="shared" si="103"/>
        <v>1133352.9924565246</v>
      </c>
      <c r="G581" s="25">
        <f t="shared" si="94"/>
        <v>2325.1785378108711</v>
      </c>
      <c r="H581" s="25">
        <f t="shared" si="104"/>
        <v>5630395.737461511</v>
      </c>
      <c r="I581" s="25">
        <f>G581/((1+'How much will I make'!$C$5/12)^(Calculations!$B$1*12-Calculations!$A581))</f>
        <v>3480.3184943647943</v>
      </c>
      <c r="J581" s="25">
        <f t="shared" si="105"/>
        <v>2007020.341746805</v>
      </c>
      <c r="K581" s="25">
        <f t="shared" si="95"/>
        <v>1558.6129010304583</v>
      </c>
      <c r="L581" s="25">
        <f t="shared" si="106"/>
        <v>22385483.132030055</v>
      </c>
      <c r="M581" s="25">
        <f>K581/((1+'How much will I make'!$C$5/12)^(Calculations!$B$1*12-Calculations!$A581))</f>
        <v>2332.9259309777322</v>
      </c>
      <c r="N581" s="25">
        <f t="shared" si="107"/>
        <v>5573171.2009029062</v>
      </c>
      <c r="O581" s="25">
        <f t="shared" si="96"/>
        <v>1046.4865498420572</v>
      </c>
      <c r="P581" s="25">
        <f t="shared" si="108"/>
        <v>108353572.38794053</v>
      </c>
      <c r="Q581" s="25">
        <f>O581/((1+'How much will I make'!$C$5/12)^(Calculations!$B$1*12-Calculations!$A581))</f>
        <v>1566.3771337526271</v>
      </c>
      <c r="R581" s="25">
        <f t="shared" si="109"/>
        <v>21971625.464190498</v>
      </c>
      <c r="S581" s="25">
        <f t="shared" si="97"/>
        <v>703.77951620056592</v>
      </c>
      <c r="T581" s="25">
        <f t="shared" si="110"/>
        <v>580348786.31055987</v>
      </c>
      <c r="U581" s="25">
        <f>S581/((1+'How much will I make'!$C$5/12)^(Calculations!$B$1*12-Calculations!$A581))</f>
        <v>1053.414534134655</v>
      </c>
      <c r="V581" s="25">
        <f t="shared" si="111"/>
        <v>105448351.85100272</v>
      </c>
      <c r="W581" s="25">
        <f t="shared" si="98"/>
        <v>474.06884667084432</v>
      </c>
      <c r="X581" s="25">
        <f t="shared" si="112"/>
        <v>3284757014.1982846</v>
      </c>
      <c r="Y581" s="25">
        <f>W581/((1+'How much will I make'!$C$5/12)^(Calculations!$B$1*12-Calculations!$A581))</f>
        <v>709.5844675325875</v>
      </c>
      <c r="Z581" s="25">
        <f t="shared" si="113"/>
        <v>560116260.77105558</v>
      </c>
      <c r="AA581" s="25">
        <f t="shared" si="99"/>
        <v>319.84704265439638</v>
      </c>
      <c r="AB581" s="25">
        <f t="shared" si="114"/>
        <v>19205075842.102654</v>
      </c>
      <c r="AC581" s="25">
        <f>AA581/((1+'How much will I make'!$C$5/12)^(Calculations!$B$1*12-Calculations!$A581))</f>
        <v>478.74585104592325</v>
      </c>
      <c r="AD581" s="25">
        <f t="shared" si="115"/>
        <v>3144567657.8006382</v>
      </c>
      <c r="AE581" s="25">
        <f t="shared" si="100"/>
        <v>216.1393124272864</v>
      </c>
      <c r="AF581" s="25">
        <f t="shared" si="116"/>
        <v>114565039877.34326</v>
      </c>
      <c r="AG581" s="25">
        <f>AE581/((1+'How much will I make'!$C$5/12)^(Calculations!$B$1*12-Calculations!$A581))</f>
        <v>323.51651030986835</v>
      </c>
      <c r="AH581" s="25">
        <f t="shared" si="117"/>
        <v>18238875970.401253</v>
      </c>
    </row>
    <row r="582" spans="1:34" ht="15.75" customHeight="1">
      <c r="A582" s="22">
        <f t="shared" si="101"/>
        <v>578</v>
      </c>
      <c r="B582" s="22">
        <f t="shared" ref="B582:B592" si="123">B581</f>
        <v>5200.634823471064</v>
      </c>
      <c r="C582" s="25">
        <f t="shared" si="93"/>
        <v>3460.0938224040783</v>
      </c>
      <c r="D582" s="25">
        <f t="shared" si="102"/>
        <v>2017173.1259134933</v>
      </c>
      <c r="E582" s="25">
        <f>$C582/((1+'How much will I make'!$C$5/12)^(Calculations!$B$1*12-Calculations!$A582))</f>
        <v>5200.634823471064</v>
      </c>
      <c r="F582" s="25">
        <f t="shared" si="103"/>
        <v>1138553.6272799957</v>
      </c>
      <c r="G582" s="25">
        <f t="shared" si="94"/>
        <v>2305.9621862587151</v>
      </c>
      <c r="H582" s="25">
        <f t="shared" si="104"/>
        <v>5632701.6996477693</v>
      </c>
      <c r="I582" s="25">
        <f>G582/((1+'How much will I make'!$C$5/12)^(Calculations!$B$1*12-Calculations!$A582))</f>
        <v>3465.9370129831213</v>
      </c>
      <c r="J582" s="25">
        <f t="shared" si="105"/>
        <v>2010486.278759788</v>
      </c>
      <c r="K582" s="25">
        <f t="shared" si="95"/>
        <v>1539.3707664498352</v>
      </c>
      <c r="L582" s="25">
        <f t="shared" si="106"/>
        <v>22387022.502796505</v>
      </c>
      <c r="M582" s="25">
        <f>K582/((1+'How much will I make'!$C$5/12)^(Calculations!$B$1*12-Calculations!$A582))</f>
        <v>2313.7248945087795</v>
      </c>
      <c r="N582" s="25">
        <f t="shared" si="107"/>
        <v>5575484.925797415</v>
      </c>
      <c r="O582" s="25">
        <f t="shared" si="96"/>
        <v>1029.3310326315318</v>
      </c>
      <c r="P582" s="25">
        <f t="shared" si="108"/>
        <v>108354601.71897316</v>
      </c>
      <c r="Q582" s="25">
        <f>O582/((1+'How much will I make'!$C$5/12)^(Calculations!$B$1*12-Calculations!$A582))</f>
        <v>1547.1183985015703</v>
      </c>
      <c r="R582" s="25">
        <f t="shared" si="109"/>
        <v>21973172.582589</v>
      </c>
      <c r="S582" s="25">
        <f t="shared" si="97"/>
        <v>689.41666893116678</v>
      </c>
      <c r="T582" s="25">
        <f t="shared" si="110"/>
        <v>580349475.72722876</v>
      </c>
      <c r="U582" s="25">
        <f>S582/((1+'How much will I make'!$C$5/12)^(Calculations!$B$1*12-Calculations!$A582))</f>
        <v>1036.2159294957219</v>
      </c>
      <c r="V582" s="25">
        <f t="shared" si="111"/>
        <v>105449388.06693222</v>
      </c>
      <c r="W582" s="25">
        <f t="shared" si="98"/>
        <v>462.50619187399445</v>
      </c>
      <c r="X582" s="25">
        <f t="shared" si="112"/>
        <v>3284757476.7044764</v>
      </c>
      <c r="Y582" s="25">
        <f>W582/((1+'How much will I make'!$C$5/12)^(Calculations!$B$1*12-Calculations!$A582))</f>
        <v>695.16201900550232</v>
      </c>
      <c r="Z582" s="25">
        <f t="shared" si="113"/>
        <v>560116955.93307459</v>
      </c>
      <c r="AA582" s="25">
        <f t="shared" si="99"/>
        <v>310.78255156702483</v>
      </c>
      <c r="AB582" s="25">
        <f t="shared" si="114"/>
        <v>19205076152.885204</v>
      </c>
      <c r="AC582" s="25">
        <f>AA582/((1+'How much will I make'!$C$5/12)^(Calculations!$B$1*12-Calculations!$A582))</f>
        <v>467.11639717436236</v>
      </c>
      <c r="AD582" s="25">
        <f t="shared" si="115"/>
        <v>3144568124.9170356</v>
      </c>
      <c r="AE582" s="25">
        <f t="shared" si="100"/>
        <v>209.16707654253523</v>
      </c>
      <c r="AF582" s="25">
        <f t="shared" si="116"/>
        <v>114565040086.51035</v>
      </c>
      <c r="AG582" s="25">
        <f>AE582/((1+'How much will I make'!$C$5/12)^(Calculations!$B$1*12-Calculations!$A582))</f>
        <v>314.38499590596075</v>
      </c>
      <c r="AH582" s="25">
        <f t="shared" si="117"/>
        <v>18238876284.786247</v>
      </c>
    </row>
    <row r="583" spans="1:34" ht="15.75" customHeight="1">
      <c r="A583" s="22">
        <f t="shared" si="101"/>
        <v>579</v>
      </c>
      <c r="B583" s="22">
        <f t="shared" si="123"/>
        <v>5200.634823471064</v>
      </c>
      <c r="C583" s="25">
        <f t="shared" si="93"/>
        <v>3445.7365866264677</v>
      </c>
      <c r="D583" s="25">
        <f t="shared" si="102"/>
        <v>2020618.8625001197</v>
      </c>
      <c r="E583" s="25">
        <f>$C583/((1+'How much will I make'!$C$5/12)^(Calculations!$B$1*12-Calculations!$A583))</f>
        <v>5200.634823471064</v>
      </c>
      <c r="F583" s="25">
        <f t="shared" si="103"/>
        <v>1143754.2621034668</v>
      </c>
      <c r="G583" s="25">
        <f t="shared" si="94"/>
        <v>2286.9046475293048</v>
      </c>
      <c r="H583" s="25">
        <f t="shared" si="104"/>
        <v>5634988.6042952985</v>
      </c>
      <c r="I583" s="25">
        <f>G583/((1+'How much will I make'!$C$5/12)^(Calculations!$B$1*12-Calculations!$A583))</f>
        <v>3451.6149592104653</v>
      </c>
      <c r="J583" s="25">
        <f t="shared" si="105"/>
        <v>2013937.8937189984</v>
      </c>
      <c r="K583" s="25">
        <f t="shared" si="95"/>
        <v>1520.3661890862572</v>
      </c>
      <c r="L583" s="25">
        <f t="shared" si="106"/>
        <v>22388542.86898559</v>
      </c>
      <c r="M583" s="25">
        <f>K583/((1+'How much will I make'!$C$5/12)^(Calculations!$B$1*12-Calculations!$A583))</f>
        <v>2294.6818912617941</v>
      </c>
      <c r="N583" s="25">
        <f t="shared" si="107"/>
        <v>5577779.6076886766</v>
      </c>
      <c r="O583" s="25">
        <f t="shared" si="96"/>
        <v>1012.4567534080642</v>
      </c>
      <c r="P583" s="25">
        <f t="shared" si="108"/>
        <v>108355614.17572656</v>
      </c>
      <c r="Q583" s="25">
        <f>O583/((1+'How much will I make'!$C$5/12)^(Calculations!$B$1*12-Calculations!$A583))</f>
        <v>1528.0964509790103</v>
      </c>
      <c r="R583" s="25">
        <f t="shared" si="109"/>
        <v>21974700.679039981</v>
      </c>
      <c r="S583" s="25">
        <f t="shared" si="97"/>
        <v>675.34694099379624</v>
      </c>
      <c r="T583" s="25">
        <f t="shared" si="110"/>
        <v>580350151.07416975</v>
      </c>
      <c r="U583" s="25">
        <f>S583/((1+'How much will I make'!$C$5/12)^(Calculations!$B$1*12-Calculations!$A583))</f>
        <v>1019.2981184019147</v>
      </c>
      <c r="V583" s="25">
        <f t="shared" si="111"/>
        <v>105450407.36505061</v>
      </c>
      <c r="W583" s="25">
        <f t="shared" si="98"/>
        <v>451.22555304779951</v>
      </c>
      <c r="X583" s="25">
        <f t="shared" si="112"/>
        <v>3284757927.9300294</v>
      </c>
      <c r="Y583" s="25">
        <f>W583/((1+'How much will I make'!$C$5/12)^(Calculations!$B$1*12-Calculations!$A583))</f>
        <v>681.03270967612241</v>
      </c>
      <c r="Z583" s="25">
        <f t="shared" si="113"/>
        <v>560117636.96578431</v>
      </c>
      <c r="AA583" s="25">
        <f t="shared" si="99"/>
        <v>301.97494889103626</v>
      </c>
      <c r="AB583" s="25">
        <f t="shared" si="114"/>
        <v>19205076454.860153</v>
      </c>
      <c r="AC583" s="25">
        <f>AA583/((1+'How much will I make'!$C$5/12)^(Calculations!$B$1*12-Calculations!$A583))</f>
        <v>455.76944015798114</v>
      </c>
      <c r="AD583" s="25">
        <f t="shared" si="115"/>
        <v>3144568580.6864758</v>
      </c>
      <c r="AE583" s="25">
        <f t="shared" si="100"/>
        <v>202.41975149277604</v>
      </c>
      <c r="AF583" s="25">
        <f t="shared" si="116"/>
        <v>114565040288.9301</v>
      </c>
      <c r="AG583" s="25">
        <f>AE583/((1+'How much will I make'!$C$5/12)^(Calculations!$B$1*12-Calculations!$A583))</f>
        <v>305.51122586022808</v>
      </c>
      <c r="AH583" s="25">
        <f t="shared" si="117"/>
        <v>18238876590.297474</v>
      </c>
    </row>
    <row r="584" spans="1:34" ht="15.75" customHeight="1">
      <c r="A584" s="22">
        <f t="shared" si="101"/>
        <v>580</v>
      </c>
      <c r="B584" s="22">
        <f t="shared" si="123"/>
        <v>5200.634823471064</v>
      </c>
      <c r="C584" s="25">
        <f t="shared" si="93"/>
        <v>3431.438924441296</v>
      </c>
      <c r="D584" s="25">
        <f t="shared" si="102"/>
        <v>2024050.3014245611</v>
      </c>
      <c r="E584" s="25">
        <f>$C584/((1+'How much will I make'!$C$5/12)^(Calculations!$B$1*12-Calculations!$A584))</f>
        <v>5200.634823471064</v>
      </c>
      <c r="F584" s="25">
        <f t="shared" si="103"/>
        <v>1148954.8969269379</v>
      </c>
      <c r="G584" s="25">
        <f t="shared" si="94"/>
        <v>2268.004609119972</v>
      </c>
      <c r="H584" s="25">
        <f t="shared" si="104"/>
        <v>5637256.6089044185</v>
      </c>
      <c r="I584" s="25">
        <f>G584/((1+'How much will I make'!$C$5/12)^(Calculations!$B$1*12-Calculations!$A584))</f>
        <v>3437.3520874781902</v>
      </c>
      <c r="J584" s="25">
        <f t="shared" si="105"/>
        <v>2017375.2458064766</v>
      </c>
      <c r="K584" s="25">
        <f t="shared" si="95"/>
        <v>1501.5962361345751</v>
      </c>
      <c r="L584" s="25">
        <f t="shared" si="106"/>
        <v>22390044.465221725</v>
      </c>
      <c r="M584" s="25">
        <f>K584/((1+'How much will I make'!$C$5/12)^(Calculations!$B$1*12-Calculations!$A584))</f>
        <v>2275.7956205518203</v>
      </c>
      <c r="N584" s="25">
        <f t="shared" si="107"/>
        <v>5580055.4033092288</v>
      </c>
      <c r="O584" s="25">
        <f t="shared" si="96"/>
        <v>995.85910171285002</v>
      </c>
      <c r="P584" s="25">
        <f t="shared" si="108"/>
        <v>108356610.03482828</v>
      </c>
      <c r="Q584" s="25">
        <f>O584/((1+'How much will I make'!$C$5/12)^(Calculations!$B$1*12-Calculations!$A584))</f>
        <v>1509.3083798604157</v>
      </c>
      <c r="R584" s="25">
        <f t="shared" si="109"/>
        <v>21976209.98741984</v>
      </c>
      <c r="S584" s="25">
        <f t="shared" si="97"/>
        <v>661.5643503612697</v>
      </c>
      <c r="T584" s="25">
        <f t="shared" si="110"/>
        <v>580350812.63852012</v>
      </c>
      <c r="U584" s="25">
        <f>S584/((1+'How much will I make'!$C$5/12)^(Calculations!$B$1*12-Calculations!$A584))</f>
        <v>1002.6565164688219</v>
      </c>
      <c r="V584" s="25">
        <f t="shared" si="111"/>
        <v>105451410.02156708</v>
      </c>
      <c r="W584" s="25">
        <f t="shared" si="98"/>
        <v>440.22005175395071</v>
      </c>
      <c r="X584" s="25">
        <f t="shared" si="112"/>
        <v>3284758368.1500812</v>
      </c>
      <c r="Y584" s="25">
        <f>W584/((1+'How much will I make'!$C$5/12)^(Calculations!$B$1*12-Calculations!$A584))</f>
        <v>667.19058143067264</v>
      </c>
      <c r="Z584" s="25">
        <f t="shared" si="113"/>
        <v>560118304.15636575</v>
      </c>
      <c r="AA584" s="25">
        <f t="shared" si="99"/>
        <v>293.41695438805147</v>
      </c>
      <c r="AB584" s="25">
        <f t="shared" si="114"/>
        <v>19205076748.277107</v>
      </c>
      <c r="AC584" s="25">
        <f>AA584/((1+'How much will I make'!$C$5/12)^(Calculations!$B$1*12-Calculations!$A584))</f>
        <v>444.69811772499372</v>
      </c>
      <c r="AD584" s="25">
        <f t="shared" si="115"/>
        <v>3144569025.3845935</v>
      </c>
      <c r="AE584" s="25">
        <f t="shared" si="100"/>
        <v>195.89008208978322</v>
      </c>
      <c r="AF584" s="25">
        <f t="shared" si="116"/>
        <v>114565040484.82018</v>
      </c>
      <c r="AG584" s="25">
        <f>AE584/((1+'How much will I make'!$C$5/12)^(Calculations!$B$1*12-Calculations!$A584))</f>
        <v>296.88792513030211</v>
      </c>
      <c r="AH584" s="25">
        <f t="shared" si="117"/>
        <v>18238876887.185398</v>
      </c>
    </row>
    <row r="585" spans="1:34" ht="15.75" customHeight="1">
      <c r="A585" s="22">
        <f t="shared" si="101"/>
        <v>581</v>
      </c>
      <c r="B585" s="22">
        <f t="shared" si="123"/>
        <v>5200.634823471064</v>
      </c>
      <c r="C585" s="25">
        <f t="shared" si="93"/>
        <v>3417.2005886552324</v>
      </c>
      <c r="D585" s="25">
        <f t="shared" si="102"/>
        <v>2027467.5020132163</v>
      </c>
      <c r="E585" s="25">
        <f>$C585/((1+'How much will I make'!$C$5/12)^(Calculations!$B$1*12-Calculations!$A585))</f>
        <v>5200.634823471064</v>
      </c>
      <c r="F585" s="25">
        <f t="shared" si="103"/>
        <v>1154155.5317504089</v>
      </c>
      <c r="G585" s="25">
        <f t="shared" si="94"/>
        <v>2249.2607693751784</v>
      </c>
      <c r="H585" s="25">
        <f t="shared" si="104"/>
        <v>5639505.8696737941</v>
      </c>
      <c r="I585" s="25">
        <f>G585/((1+'How much will I make'!$C$5/12)^(Calculations!$B$1*12-Calculations!$A585))</f>
        <v>3423.1481532324124</v>
      </c>
      <c r="J585" s="25">
        <f t="shared" si="105"/>
        <v>2020798.393959709</v>
      </c>
      <c r="K585" s="25">
        <f t="shared" si="95"/>
        <v>1483.0580109971113</v>
      </c>
      <c r="L585" s="25">
        <f t="shared" si="106"/>
        <v>22391527.523232721</v>
      </c>
      <c r="M585" s="25">
        <f>K585/((1+'How much will I make'!$C$5/12)^(Calculations!$B$1*12-Calculations!$A585))</f>
        <v>2257.0647923991305</v>
      </c>
      <c r="N585" s="25">
        <f t="shared" si="107"/>
        <v>5582312.4681016281</v>
      </c>
      <c r="O585" s="25">
        <f t="shared" si="96"/>
        <v>979.53354266837698</v>
      </c>
      <c r="P585" s="25">
        <f t="shared" si="108"/>
        <v>108357589.56837094</v>
      </c>
      <c r="Q585" s="25">
        <f>O585/((1+'How much will I make'!$C$5/12)^(Calculations!$B$1*12-Calculations!$A585))</f>
        <v>1490.7513096162302</v>
      </c>
      <c r="R585" s="25">
        <f t="shared" si="109"/>
        <v>21977700.738729455</v>
      </c>
      <c r="S585" s="25">
        <f t="shared" si="97"/>
        <v>648.06303708859082</v>
      </c>
      <c r="T585" s="25">
        <f t="shared" si="110"/>
        <v>580351460.70155716</v>
      </c>
      <c r="U585" s="25">
        <f>S585/((1+'How much will I make'!$C$5/12)^(Calculations!$B$1*12-Calculations!$A585))</f>
        <v>986.28661415912711</v>
      </c>
      <c r="V585" s="25">
        <f t="shared" si="111"/>
        <v>105452396.30818124</v>
      </c>
      <c r="W585" s="25">
        <f t="shared" si="98"/>
        <v>429.48297732092755</v>
      </c>
      <c r="X585" s="25">
        <f t="shared" si="112"/>
        <v>3284758797.6330585</v>
      </c>
      <c r="Y585" s="25">
        <f>W585/((1+'How much will I make'!$C$5/12)^(Calculations!$B$1*12-Calculations!$A585))</f>
        <v>653.62979725525247</v>
      </c>
      <c r="Z585" s="25">
        <f t="shared" si="113"/>
        <v>560118957.78616297</v>
      </c>
      <c r="AA585" s="25">
        <f t="shared" si="99"/>
        <v>285.10149414223633</v>
      </c>
      <c r="AB585" s="25">
        <f t="shared" si="114"/>
        <v>19205077033.378601</v>
      </c>
      <c r="AC585" s="25">
        <f>AA585/((1+'How much will I make'!$C$5/12)^(Calculations!$B$1*12-Calculations!$A585))</f>
        <v>433.89573429847582</v>
      </c>
      <c r="AD585" s="25">
        <f t="shared" si="115"/>
        <v>3144569459.2803278</v>
      </c>
      <c r="AE585" s="25">
        <f t="shared" si="100"/>
        <v>189.57104718366114</v>
      </c>
      <c r="AF585" s="25">
        <f t="shared" si="116"/>
        <v>114565040674.39122</v>
      </c>
      <c r="AG585" s="25">
        <f>AE585/((1+'How much will I make'!$C$5/12)^(Calculations!$B$1*12-Calculations!$A585))</f>
        <v>288.50802401775326</v>
      </c>
      <c r="AH585" s="25">
        <f t="shared" si="117"/>
        <v>18238877175.69342</v>
      </c>
    </row>
    <row r="586" spans="1:34" ht="15.75" customHeight="1">
      <c r="A586" s="22">
        <f t="shared" si="101"/>
        <v>582</v>
      </c>
      <c r="B586" s="22">
        <f t="shared" si="123"/>
        <v>5200.634823471064</v>
      </c>
      <c r="C586" s="25">
        <f t="shared" si="93"/>
        <v>3403.0213331006462</v>
      </c>
      <c r="D586" s="25">
        <f t="shared" si="102"/>
        <v>2030870.523346317</v>
      </c>
      <c r="E586" s="25">
        <f>$C586/((1+'How much will I make'!$C$5/12)^(Calculations!$B$1*12-Calculations!$A586))</f>
        <v>5200.634823471064</v>
      </c>
      <c r="F586" s="25">
        <f t="shared" si="103"/>
        <v>1159356.16657388</v>
      </c>
      <c r="G586" s="25">
        <f t="shared" si="94"/>
        <v>2230.6718373968711</v>
      </c>
      <c r="H586" s="25">
        <f t="shared" si="104"/>
        <v>5641736.5415111911</v>
      </c>
      <c r="I586" s="25">
        <f>G586/((1+'How much will I make'!$C$5/12)^(Calculations!$B$1*12-Calculations!$A586))</f>
        <v>3409.0029129297991</v>
      </c>
      <c r="J586" s="25">
        <f t="shared" si="105"/>
        <v>2024207.3968726387</v>
      </c>
      <c r="K586" s="25">
        <f t="shared" si="95"/>
        <v>1464.748652836653</v>
      </c>
      <c r="L586" s="25">
        <f t="shared" si="106"/>
        <v>22392992.271885559</v>
      </c>
      <c r="M586" s="25">
        <f>K586/((1+'How much will I make'!$C$5/12)^(Calculations!$B$1*12-Calculations!$A586))</f>
        <v>2238.4881274411132</v>
      </c>
      <c r="N586" s="25">
        <f t="shared" si="107"/>
        <v>5584550.9562290693</v>
      </c>
      <c r="O586" s="25">
        <f t="shared" si="96"/>
        <v>963.47561573938719</v>
      </c>
      <c r="P586" s="25">
        <f t="shared" si="108"/>
        <v>108358553.04398668</v>
      </c>
      <c r="Q586" s="25">
        <f>O586/((1+'How much will I make'!$C$5/12)^(Calculations!$B$1*12-Calculations!$A586))</f>
        <v>1472.4224000717686</v>
      </c>
      <c r="R586" s="25">
        <f t="shared" si="109"/>
        <v>21979173.161129527</v>
      </c>
      <c r="S586" s="25">
        <f t="shared" si="97"/>
        <v>634.83726082147666</v>
      </c>
      <c r="T586" s="25">
        <f t="shared" si="110"/>
        <v>580352095.538818</v>
      </c>
      <c r="U586" s="25">
        <f>S586/((1+'How much will I make'!$C$5/12)^(Calculations!$B$1*12-Calculations!$A586))</f>
        <v>970.18397556061075</v>
      </c>
      <c r="V586" s="25">
        <f t="shared" si="111"/>
        <v>105453366.4921568</v>
      </c>
      <c r="W586" s="25">
        <f t="shared" si="98"/>
        <v>419.00778275212463</v>
      </c>
      <c r="X586" s="25">
        <f t="shared" si="112"/>
        <v>3284759216.6408415</v>
      </c>
      <c r="Y586" s="25">
        <f>W586/((1+'How much will I make'!$C$5/12)^(Calculations!$B$1*12-Calculations!$A586))</f>
        <v>640.34463877445501</v>
      </c>
      <c r="Z586" s="25">
        <f t="shared" si="113"/>
        <v>560119598.1308018</v>
      </c>
      <c r="AA586" s="25">
        <f t="shared" si="99"/>
        <v>277.02169471310418</v>
      </c>
      <c r="AB586" s="25">
        <f t="shared" si="114"/>
        <v>19205077310.400295</v>
      </c>
      <c r="AC586" s="25">
        <f>AA586/((1+'How much will I make'!$C$5/12)^(Calculations!$B$1*12-Calculations!$A586))</f>
        <v>423.35575694709593</v>
      </c>
      <c r="AD586" s="25">
        <f t="shared" si="115"/>
        <v>3144569882.6360846</v>
      </c>
      <c r="AE586" s="25">
        <f t="shared" si="100"/>
        <v>183.45585211322043</v>
      </c>
      <c r="AF586" s="25">
        <f t="shared" si="116"/>
        <v>114565040857.84708</v>
      </c>
      <c r="AG586" s="25">
        <f>AE586/((1+'How much will I make'!$C$5/12)^(Calculations!$B$1*12-Calculations!$A586))</f>
        <v>280.36465237209086</v>
      </c>
      <c r="AH586" s="25">
        <f t="shared" si="117"/>
        <v>18238877456.058071</v>
      </c>
    </row>
    <row r="587" spans="1:34" ht="15.75" customHeight="1">
      <c r="A587" s="22">
        <f t="shared" si="101"/>
        <v>583</v>
      </c>
      <c r="B587" s="22">
        <f t="shared" si="123"/>
        <v>5200.634823471064</v>
      </c>
      <c r="C587" s="25">
        <f t="shared" si="93"/>
        <v>3388.9009126313481</v>
      </c>
      <c r="D587" s="25">
        <f t="shared" si="102"/>
        <v>2034259.4242589483</v>
      </c>
      <c r="E587" s="25">
        <f>$C587/((1+'How much will I make'!$C$5/12)^(Calculations!$B$1*12-Calculations!$A587))</f>
        <v>5200.634823471064</v>
      </c>
      <c r="F587" s="25">
        <f t="shared" si="103"/>
        <v>1164556.8013973511</v>
      </c>
      <c r="G587" s="25">
        <f t="shared" si="94"/>
        <v>2212.2365329555755</v>
      </c>
      <c r="H587" s="25">
        <f t="shared" si="104"/>
        <v>5643948.7780441465</v>
      </c>
      <c r="I587" s="25">
        <f>G587/((1+'How much will I make'!$C$5/12)^(Calculations!$B$1*12-Calculations!$A587))</f>
        <v>3394.916124033397</v>
      </c>
      <c r="J587" s="25">
        <f t="shared" si="105"/>
        <v>2027602.3129966722</v>
      </c>
      <c r="K587" s="25">
        <f t="shared" si="95"/>
        <v>1446.6653361349661</v>
      </c>
      <c r="L587" s="25">
        <f t="shared" si="106"/>
        <v>22394438.937221695</v>
      </c>
      <c r="M587" s="25">
        <f>K587/((1+'How much will I make'!$C$5/12)^(Calculations!$B$1*12-Calculations!$A587))</f>
        <v>2220.0643568448904</v>
      </c>
      <c r="N587" s="25">
        <f t="shared" si="107"/>
        <v>5586771.0205859141</v>
      </c>
      <c r="O587" s="25">
        <f t="shared" si="96"/>
        <v>947.68093351415143</v>
      </c>
      <c r="P587" s="25">
        <f t="shared" si="108"/>
        <v>108359500.7249202</v>
      </c>
      <c r="Q587" s="25">
        <f>O587/((1+'How much will I make'!$C$5/12)^(Calculations!$B$1*12-Calculations!$A587))</f>
        <v>1454.3188459725259</v>
      </c>
      <c r="R587" s="25">
        <f t="shared" si="109"/>
        <v>21980627.479975499</v>
      </c>
      <c r="S587" s="25">
        <f t="shared" si="97"/>
        <v>621.88139835573247</v>
      </c>
      <c r="T587" s="25">
        <f t="shared" si="110"/>
        <v>580352717.42021632</v>
      </c>
      <c r="U587" s="25">
        <f>S587/((1+'How much will I make'!$C$5/12)^(Calculations!$B$1*12-Calculations!$A587))</f>
        <v>954.34423718411153</v>
      </c>
      <c r="V587" s="25">
        <f t="shared" si="111"/>
        <v>105454320.83639398</v>
      </c>
      <c r="W587" s="25">
        <f t="shared" si="98"/>
        <v>408.78808073378008</v>
      </c>
      <c r="X587" s="25">
        <f t="shared" si="112"/>
        <v>3284759625.4289222</v>
      </c>
      <c r="Y587" s="25">
        <f>W587/((1+'How much will I make'!$C$5/12)^(Calculations!$B$1*12-Calculations!$A587))</f>
        <v>627.32950384001492</v>
      </c>
      <c r="Z587" s="25">
        <f t="shared" si="113"/>
        <v>560120225.46030569</v>
      </c>
      <c r="AA587" s="25">
        <f t="shared" si="99"/>
        <v>269.1708774540283</v>
      </c>
      <c r="AB587" s="25">
        <f t="shared" si="114"/>
        <v>19205077579.571171</v>
      </c>
      <c r="AC587" s="25">
        <f>AA587/((1+'How much will I make'!$C$5/12)^(Calculations!$B$1*12-Calculations!$A587))</f>
        <v>413.07181143421104</v>
      </c>
      <c r="AD587" s="25">
        <f t="shared" si="115"/>
        <v>3144570295.7078958</v>
      </c>
      <c r="AE587" s="25">
        <f t="shared" si="100"/>
        <v>177.53792139989076</v>
      </c>
      <c r="AF587" s="25">
        <f t="shared" si="116"/>
        <v>114565041035.38499</v>
      </c>
      <c r="AG587" s="25">
        <f>AE587/((1+'How much will I make'!$C$5/12)^(Calculations!$B$1*12-Calculations!$A587))</f>
        <v>272.45113395836256</v>
      </c>
      <c r="AH587" s="25">
        <f t="shared" si="117"/>
        <v>18238877728.509205</v>
      </c>
    </row>
    <row r="588" spans="1:34" ht="15.75" customHeight="1">
      <c r="A588" s="22">
        <f t="shared" si="101"/>
        <v>584</v>
      </c>
      <c r="B588" s="22">
        <f t="shared" si="123"/>
        <v>5200.634823471064</v>
      </c>
      <c r="C588" s="25">
        <f t="shared" si="93"/>
        <v>3374.839083118356</v>
      </c>
      <c r="D588" s="25">
        <f t="shared" si="102"/>
        <v>2037634.2633420667</v>
      </c>
      <c r="E588" s="25">
        <f>$C588/((1+'How much will I make'!$C$5/12)^(Calculations!$B$1*12-Calculations!$A588))</f>
        <v>5200.634823471064</v>
      </c>
      <c r="F588" s="25">
        <f t="shared" si="103"/>
        <v>1169757.4362208222</v>
      </c>
      <c r="G588" s="25">
        <f t="shared" si="94"/>
        <v>2193.9535864022232</v>
      </c>
      <c r="H588" s="25">
        <f t="shared" si="104"/>
        <v>5646142.7316305488</v>
      </c>
      <c r="I588" s="25">
        <f>G588/((1+'How much will I make'!$C$5/12)^(Calculations!$B$1*12-Calculations!$A588))</f>
        <v>3380.8875450084638</v>
      </c>
      <c r="J588" s="25">
        <f t="shared" si="105"/>
        <v>2030983.2005416807</v>
      </c>
      <c r="K588" s="25">
        <f t="shared" si="95"/>
        <v>1428.8052702567566</v>
      </c>
      <c r="L588" s="25">
        <f t="shared" si="106"/>
        <v>22395867.742491953</v>
      </c>
      <c r="M588" s="25">
        <f>K588/((1+'How much will I make'!$C$5/12)^(Calculations!$B$1*12-Calculations!$A588))</f>
        <v>2201.7922222206521</v>
      </c>
      <c r="N588" s="25">
        <f t="shared" si="107"/>
        <v>5588972.8128081346</v>
      </c>
      <c r="O588" s="25">
        <f t="shared" si="96"/>
        <v>932.14518050572292</v>
      </c>
      <c r="P588" s="25">
        <f t="shared" si="108"/>
        <v>108360432.87010071</v>
      </c>
      <c r="Q588" s="25">
        <f>O588/((1+'How much will I make'!$C$5/12)^(Calculations!$B$1*12-Calculations!$A588))</f>
        <v>1436.4378765548308</v>
      </c>
      <c r="R588" s="25">
        <f t="shared" si="109"/>
        <v>21982063.917852055</v>
      </c>
      <c r="S588" s="25">
        <f t="shared" si="97"/>
        <v>609.18994124643189</v>
      </c>
      <c r="T588" s="25">
        <f t="shared" si="110"/>
        <v>580353326.61015761</v>
      </c>
      <c r="U588" s="25">
        <f>S588/((1+'How much will I make'!$C$5/12)^(Calculations!$B$1*12-Calculations!$A588))</f>
        <v>938.76310678110542</v>
      </c>
      <c r="V588" s="25">
        <f t="shared" si="111"/>
        <v>105455259.59950076</v>
      </c>
      <c r="W588" s="25">
        <f t="shared" si="98"/>
        <v>398.81763974027325</v>
      </c>
      <c r="X588" s="25">
        <f t="shared" si="112"/>
        <v>3284760024.246562</v>
      </c>
      <c r="Y588" s="25">
        <f>W588/((1+'How much will I make'!$C$5/12)^(Calculations!$B$1*12-Calculations!$A588))</f>
        <v>614.57890416846976</v>
      </c>
      <c r="Z588" s="25">
        <f t="shared" si="113"/>
        <v>560120840.03920984</v>
      </c>
      <c r="AA588" s="25">
        <f t="shared" si="99"/>
        <v>261.5425529917685</v>
      </c>
      <c r="AB588" s="25">
        <f t="shared" si="114"/>
        <v>19205077841.113724</v>
      </c>
      <c r="AC588" s="25">
        <f>AA588/((1+'How much will I make'!$C$5/12)^(Calculations!$B$1*12-Calculations!$A588))</f>
        <v>403.03767836293468</v>
      </c>
      <c r="AD588" s="25">
        <f t="shared" si="115"/>
        <v>3144570698.745574</v>
      </c>
      <c r="AE588" s="25">
        <f t="shared" si="100"/>
        <v>171.81089167731361</v>
      </c>
      <c r="AF588" s="25">
        <f t="shared" si="116"/>
        <v>114565041207.19589</v>
      </c>
      <c r="AG588" s="25">
        <f>AE588/((1+'How much will I make'!$C$5/12)^(Calculations!$B$1*12-Calculations!$A588))</f>
        <v>264.7609809837312</v>
      </c>
      <c r="AH588" s="25">
        <f t="shared" si="117"/>
        <v>18238877993.270187</v>
      </c>
    </row>
    <row r="589" spans="1:34" ht="15.75" customHeight="1">
      <c r="A589" s="22">
        <f t="shared" si="101"/>
        <v>585</v>
      </c>
      <c r="B589" s="22">
        <f t="shared" si="123"/>
        <v>5200.634823471064</v>
      </c>
      <c r="C589" s="25">
        <f t="shared" si="93"/>
        <v>3360.8356014456658</v>
      </c>
      <c r="D589" s="25">
        <f t="shared" si="102"/>
        <v>2040995.0989435124</v>
      </c>
      <c r="E589" s="25">
        <f>$C589/((1+'How much will I make'!$C$5/12)^(Calculations!$B$1*12-Calculations!$A589))</f>
        <v>5200.634823471064</v>
      </c>
      <c r="F589" s="25">
        <f t="shared" si="103"/>
        <v>1174958.0710442932</v>
      </c>
      <c r="G589" s="25">
        <f t="shared" si="94"/>
        <v>2175.8217385807175</v>
      </c>
      <c r="H589" s="25">
        <f t="shared" si="104"/>
        <v>5648318.55336913</v>
      </c>
      <c r="I589" s="25">
        <f>G589/((1+'How much will I make'!$C$5/12)^(Calculations!$B$1*12-Calculations!$A589))</f>
        <v>3366.9169353183465</v>
      </c>
      <c r="J589" s="25">
        <f t="shared" si="105"/>
        <v>2034350.1174769991</v>
      </c>
      <c r="K589" s="25">
        <f t="shared" si="95"/>
        <v>1411.1656990190186</v>
      </c>
      <c r="L589" s="25">
        <f t="shared" si="106"/>
        <v>22397278.908190973</v>
      </c>
      <c r="M589" s="25">
        <f>K589/((1+'How much will I make'!$C$5/12)^(Calculations!$B$1*12-Calculations!$A589))</f>
        <v>2183.6704755357082</v>
      </c>
      <c r="N589" s="25">
        <f t="shared" si="107"/>
        <v>5591156.4832836706</v>
      </c>
      <c r="O589" s="25">
        <f t="shared" si="96"/>
        <v>916.86411197284212</v>
      </c>
      <c r="P589" s="25">
        <f t="shared" si="108"/>
        <v>108361349.73421268</v>
      </c>
      <c r="Q589" s="25">
        <f>O589/((1+'How much will I make'!$C$5/12)^(Calculations!$B$1*12-Calculations!$A589))</f>
        <v>1418.7767551217794</v>
      </c>
      <c r="R589" s="25">
        <f t="shared" si="109"/>
        <v>21983482.694607176</v>
      </c>
      <c r="S589" s="25">
        <f t="shared" si="97"/>
        <v>596.75749346589259</v>
      </c>
      <c r="T589" s="25">
        <f t="shared" si="110"/>
        <v>580353923.3676511</v>
      </c>
      <c r="U589" s="25">
        <f>S589/((1+'How much will I make'!$C$5/12)^(Calculations!$B$1*12-Calculations!$A589))</f>
        <v>923.43636218059783</v>
      </c>
      <c r="V589" s="25">
        <f t="shared" si="111"/>
        <v>105456183.03586294</v>
      </c>
      <c r="W589" s="25">
        <f t="shared" si="98"/>
        <v>389.09038023441298</v>
      </c>
      <c r="X589" s="25">
        <f t="shared" si="112"/>
        <v>3284760413.3369422</v>
      </c>
      <c r="Y589" s="25">
        <f>W589/((1+'How much will I make'!$C$5/12)^(Calculations!$B$1*12-Calculations!$A589))</f>
        <v>602.08746302683426</v>
      </c>
      <c r="Z589" s="25">
        <f t="shared" si="113"/>
        <v>560121442.12667286</v>
      </c>
      <c r="AA589" s="25">
        <f t="shared" si="99"/>
        <v>254.13041586244714</v>
      </c>
      <c r="AB589" s="25">
        <f t="shared" si="114"/>
        <v>19205078095.244141</v>
      </c>
      <c r="AC589" s="25">
        <f>AA589/((1+'How much will I make'!$C$5/12)^(Calculations!$B$1*12-Calculations!$A589))</f>
        <v>393.24728941484722</v>
      </c>
      <c r="AD589" s="25">
        <f t="shared" si="115"/>
        <v>3144571091.9928632</v>
      </c>
      <c r="AE589" s="25">
        <f t="shared" si="100"/>
        <v>166.26860484901314</v>
      </c>
      <c r="AF589" s="25">
        <f t="shared" si="116"/>
        <v>114565041373.46449</v>
      </c>
      <c r="AG589" s="25">
        <f>AE589/((1+'How much will I make'!$C$5/12)^(Calculations!$B$1*12-Calculations!$A589))</f>
        <v>257.28788877854521</v>
      </c>
      <c r="AH589" s="25">
        <f t="shared" si="117"/>
        <v>18238878250.558075</v>
      </c>
    </row>
    <row r="590" spans="1:34" ht="15.75" customHeight="1">
      <c r="A590" s="22">
        <f t="shared" si="101"/>
        <v>586</v>
      </c>
      <c r="B590" s="22">
        <f t="shared" si="123"/>
        <v>5200.634823471064</v>
      </c>
      <c r="C590" s="25">
        <f t="shared" si="93"/>
        <v>3346.8902255060561</v>
      </c>
      <c r="D590" s="25">
        <f t="shared" si="102"/>
        <v>2044341.9891690186</v>
      </c>
      <c r="E590" s="25">
        <f>$C590/((1+'How much will I make'!$C$5/12)^(Calculations!$B$1*12-Calculations!$A590))</f>
        <v>5200.634823471064</v>
      </c>
      <c r="F590" s="25">
        <f t="shared" si="103"/>
        <v>1180158.7058677643</v>
      </c>
      <c r="G590" s="25">
        <f t="shared" si="94"/>
        <v>2157.8397407412072</v>
      </c>
      <c r="H590" s="25">
        <f t="shared" si="104"/>
        <v>5650476.3931098711</v>
      </c>
      <c r="I590" s="25">
        <f>G590/((1+'How much will I make'!$C$5/12)^(Calculations!$B$1*12-Calculations!$A590))</f>
        <v>3353.0040554203379</v>
      </c>
      <c r="J590" s="25">
        <f t="shared" si="105"/>
        <v>2037703.1215324195</v>
      </c>
      <c r="K590" s="25">
        <f t="shared" si="95"/>
        <v>1393.7439002656977</v>
      </c>
      <c r="L590" s="25">
        <f t="shared" si="106"/>
        <v>22398672.652091239</v>
      </c>
      <c r="M590" s="25">
        <f>K590/((1+'How much will I make'!$C$5/12)^(Calculations!$B$1*12-Calculations!$A590))</f>
        <v>2165.6978790292428</v>
      </c>
      <c r="N590" s="25">
        <f t="shared" si="107"/>
        <v>5593322.1811627001</v>
      </c>
      <c r="O590" s="25">
        <f t="shared" si="96"/>
        <v>901.83355276017255</v>
      </c>
      <c r="P590" s="25">
        <f t="shared" si="108"/>
        <v>108362251.56776544</v>
      </c>
      <c r="Q590" s="25">
        <f>O590/((1+'How much will I make'!$C$5/12)^(Calculations!$B$1*12-Calculations!$A590))</f>
        <v>1401.332778624381</v>
      </c>
      <c r="R590" s="25">
        <f t="shared" si="109"/>
        <v>21984884.027385801</v>
      </c>
      <c r="S590" s="25">
        <f t="shared" si="97"/>
        <v>584.57876910944572</v>
      </c>
      <c r="T590" s="25">
        <f t="shared" si="110"/>
        <v>580354507.94642019</v>
      </c>
      <c r="U590" s="25">
        <f>S590/((1+'How much will I make'!$C$5/12)^(Calculations!$B$1*12-Calculations!$A590))</f>
        <v>908.35985014499636</v>
      </c>
      <c r="V590" s="25">
        <f t="shared" si="111"/>
        <v>105457091.39571308</v>
      </c>
      <c r="W590" s="25">
        <f t="shared" si="98"/>
        <v>379.60037096040287</v>
      </c>
      <c r="X590" s="25">
        <f t="shared" si="112"/>
        <v>3284760792.9373131</v>
      </c>
      <c r="Y590" s="25">
        <f>W590/((1+'How much will I make'!$C$5/12)^(Calculations!$B$1*12-Calculations!$A590))</f>
        <v>589.84991296531337</v>
      </c>
      <c r="Z590" s="25">
        <f t="shared" si="113"/>
        <v>560122031.97658587</v>
      </c>
      <c r="AA590" s="25">
        <f t="shared" si="99"/>
        <v>246.92833929954378</v>
      </c>
      <c r="AB590" s="25">
        <f t="shared" si="114"/>
        <v>19205078342.172482</v>
      </c>
      <c r="AC590" s="25">
        <f>AA590/((1+'How much will I make'!$C$5/12)^(Calculations!$B$1*12-Calculations!$A590))</f>
        <v>383.69472368007376</v>
      </c>
      <c r="AD590" s="25">
        <f t="shared" si="115"/>
        <v>3144571475.6875868</v>
      </c>
      <c r="AE590" s="25">
        <f t="shared" si="100"/>
        <v>160.90510146678693</v>
      </c>
      <c r="AF590" s="25">
        <f t="shared" si="116"/>
        <v>114565041534.3696</v>
      </c>
      <c r="AG590" s="25">
        <f>AE590/((1+'How much will I make'!$C$5/12)^(Calculations!$B$1*12-Calculations!$A590))</f>
        <v>250.02573062753802</v>
      </c>
      <c r="AH590" s="25">
        <f t="shared" si="117"/>
        <v>18238878500.583805</v>
      </c>
    </row>
    <row r="591" spans="1:34" ht="15.75" customHeight="1">
      <c r="A591" s="22">
        <f t="shared" si="101"/>
        <v>587</v>
      </c>
      <c r="B591" s="22">
        <f t="shared" si="123"/>
        <v>5200.634823471064</v>
      </c>
      <c r="C591" s="25">
        <f t="shared" si="93"/>
        <v>3333.0027141969026</v>
      </c>
      <c r="D591" s="25">
        <f t="shared" si="102"/>
        <v>2047674.9918832155</v>
      </c>
      <c r="E591" s="25">
        <f>$C591/((1+'How much will I make'!$C$5/12)^(Calculations!$B$1*12-Calculations!$A591))</f>
        <v>5200.634823471064</v>
      </c>
      <c r="F591" s="25">
        <f t="shared" si="103"/>
        <v>1185359.3406912354</v>
      </c>
      <c r="G591" s="25">
        <f t="shared" si="94"/>
        <v>2140.0063544540903</v>
      </c>
      <c r="H591" s="25">
        <f t="shared" si="104"/>
        <v>5652616.399464325</v>
      </c>
      <c r="I591" s="25">
        <f>G591/((1+'How much will I make'!$C$5/12)^(Calculations!$B$1*12-Calculations!$A591))</f>
        <v>3339.1486667615764</v>
      </c>
      <c r="J591" s="25">
        <f t="shared" si="105"/>
        <v>2041042.270199181</v>
      </c>
      <c r="K591" s="25">
        <f t="shared" si="95"/>
        <v>1376.5371854476027</v>
      </c>
      <c r="L591" s="25">
        <f t="shared" si="106"/>
        <v>22400049.189276688</v>
      </c>
      <c r="M591" s="25">
        <f>K591/((1+'How much will I make'!$C$5/12)^(Calculations!$B$1*12-Calculations!$A591))</f>
        <v>2147.8732051277671</v>
      </c>
      <c r="N591" s="25">
        <f t="shared" si="107"/>
        <v>5595470.0543678282</v>
      </c>
      <c r="O591" s="25">
        <f t="shared" si="96"/>
        <v>887.04939615754711</v>
      </c>
      <c r="P591" s="25">
        <f t="shared" si="108"/>
        <v>108363138.6171616</v>
      </c>
      <c r="Q591" s="25">
        <f>O591/((1+'How much will I make'!$C$5/12)^(Calculations!$B$1*12-Calculations!$A591))</f>
        <v>1384.103277247852</v>
      </c>
      <c r="R591" s="25">
        <f t="shared" si="109"/>
        <v>21986268.130663048</v>
      </c>
      <c r="S591" s="25">
        <f t="shared" si="97"/>
        <v>572.64859014802857</v>
      </c>
      <c r="T591" s="25">
        <f t="shared" si="110"/>
        <v>580355080.5950104</v>
      </c>
      <c r="U591" s="25">
        <f>S591/((1+'How much will I make'!$C$5/12)^(Calculations!$B$1*12-Calculations!$A591))</f>
        <v>893.5294852446699</v>
      </c>
      <c r="V591" s="25">
        <f t="shared" si="111"/>
        <v>105457984.92519832</v>
      </c>
      <c r="W591" s="25">
        <f t="shared" si="98"/>
        <v>370.3418253272223</v>
      </c>
      <c r="X591" s="25">
        <f t="shared" si="112"/>
        <v>3284761163.2791386</v>
      </c>
      <c r="Y591" s="25">
        <f>W591/((1+'How much will I make'!$C$5/12)^(Calculations!$B$1*12-Calculations!$A591))</f>
        <v>577.86109359609952</v>
      </c>
      <c r="Z591" s="25">
        <f t="shared" si="113"/>
        <v>560122609.83767951</v>
      </c>
      <c r="AA591" s="25">
        <f t="shared" si="99"/>
        <v>239.93037016959718</v>
      </c>
      <c r="AB591" s="25">
        <f t="shared" si="114"/>
        <v>19205078582.102852</v>
      </c>
      <c r="AC591" s="25">
        <f>AA591/((1+'How much will I make'!$C$5/12)^(Calculations!$B$1*12-Calculations!$A591))</f>
        <v>374.3742040765091</v>
      </c>
      <c r="AD591" s="25">
        <f t="shared" si="115"/>
        <v>3144571850.0617909</v>
      </c>
      <c r="AE591" s="25">
        <f t="shared" si="100"/>
        <v>155.714614322697</v>
      </c>
      <c r="AF591" s="25">
        <f t="shared" si="116"/>
        <v>114565041690.08421</v>
      </c>
      <c r="AG591" s="25">
        <f>AE591/((1+'How much will I make'!$C$5/12)^(Calculations!$B$1*12-Calculations!$A591))</f>
        <v>242.96855274692194</v>
      </c>
      <c r="AH591" s="25">
        <f t="shared" si="117"/>
        <v>18238878743.552357</v>
      </c>
    </row>
    <row r="592" spans="1:34" ht="15.75" customHeight="1">
      <c r="A592" s="22">
        <f t="shared" si="101"/>
        <v>588</v>
      </c>
      <c r="B592" s="22">
        <f t="shared" si="123"/>
        <v>5200.634823471064</v>
      </c>
      <c r="C592" s="25">
        <f t="shared" si="93"/>
        <v>3319.1728274160027</v>
      </c>
      <c r="D592" s="25">
        <f t="shared" si="102"/>
        <v>2050994.1647106316</v>
      </c>
      <c r="E592" s="25">
        <f>$C592/((1+'How much will I make'!$C$5/12)^(Calculations!$B$1*12-Calculations!$A592))</f>
        <v>5200.634823471064</v>
      </c>
      <c r="F592" s="25">
        <f t="shared" si="103"/>
        <v>1190559.9755147065</v>
      </c>
      <c r="G592" s="25">
        <f t="shared" si="94"/>
        <v>2122.3203515247169</v>
      </c>
      <c r="H592" s="25">
        <f t="shared" si="104"/>
        <v>5654738.7198158493</v>
      </c>
      <c r="I592" s="25">
        <f>G592/((1+'How much will I make'!$C$5/12)^(Calculations!$B$1*12-Calculations!$A592))</f>
        <v>3325.3505317749568</v>
      </c>
      <c r="J592" s="25">
        <f t="shared" si="105"/>
        <v>2044367.6207309561</v>
      </c>
      <c r="K592" s="25">
        <f t="shared" si="95"/>
        <v>1359.542899207509</v>
      </c>
      <c r="L592" s="25">
        <f t="shared" si="106"/>
        <v>22401408.732175894</v>
      </c>
      <c r="M592" s="25">
        <f>K592/((1+'How much will I make'!$C$5/12)^(Calculations!$B$1*12-Calculations!$A592))</f>
        <v>2130.1952363612836</v>
      </c>
      <c r="N592" s="25">
        <f t="shared" si="107"/>
        <v>5597600.2496041898</v>
      </c>
      <c r="O592" s="25">
        <f t="shared" si="96"/>
        <v>872.50760277791505</v>
      </c>
      <c r="P592" s="25">
        <f t="shared" si="108"/>
        <v>108364011.12476438</v>
      </c>
      <c r="Q592" s="25">
        <f>O592/((1+'How much will I make'!$C$5/12)^(Calculations!$B$1*12-Calculations!$A592))</f>
        <v>1367.0856140030012</v>
      </c>
      <c r="R592" s="25">
        <f t="shared" si="109"/>
        <v>21987635.216277052</v>
      </c>
      <c r="S592" s="25">
        <f t="shared" si="97"/>
        <v>560.96188422664045</v>
      </c>
      <c r="T592" s="25">
        <f t="shared" si="110"/>
        <v>580355641.55689466</v>
      </c>
      <c r="U592" s="25">
        <f>S592/((1+'How much will I make'!$C$5/12)^(Calculations!$B$1*12-Calculations!$A592))</f>
        <v>878.94124875087971</v>
      </c>
      <c r="V592" s="25">
        <f t="shared" si="111"/>
        <v>105458863.86644706</v>
      </c>
      <c r="W592" s="25">
        <f t="shared" si="98"/>
        <v>361.309097880217</v>
      </c>
      <c r="X592" s="25">
        <f t="shared" si="112"/>
        <v>3284761524.5882363</v>
      </c>
      <c r="Y592" s="25">
        <f>W592/((1+'How much will I make'!$C$5/12)^(Calculations!$B$1*12-Calculations!$A592))</f>
        <v>566.11594941731721</v>
      </c>
      <c r="Z592" s="25">
        <f t="shared" si="113"/>
        <v>560123175.9536289</v>
      </c>
      <c r="AA592" s="25">
        <f t="shared" si="99"/>
        <v>233.13072405143052</v>
      </c>
      <c r="AB592" s="25">
        <f t="shared" si="114"/>
        <v>19205078815.233578</v>
      </c>
      <c r="AC592" s="25">
        <f>AA592/((1+'How much will I make'!$C$5/12)^(Calculations!$B$1*12-Calculations!$A592))</f>
        <v>365.28009385602718</v>
      </c>
      <c r="AD592" s="25">
        <f t="shared" si="115"/>
        <v>3144572215.3418846</v>
      </c>
      <c r="AE592" s="25">
        <f t="shared" si="100"/>
        <v>150.69156224777126</v>
      </c>
      <c r="AF592" s="25">
        <f t="shared" si="116"/>
        <v>114565041840.77577</v>
      </c>
      <c r="AG592" s="25">
        <f>AE592/((1+'How much will I make'!$C$5/12)^(Calculations!$B$1*12-Calculations!$A592))</f>
        <v>236.11056940325875</v>
      </c>
      <c r="AH592" s="25">
        <f t="shared" si="117"/>
        <v>18238878979.662926</v>
      </c>
    </row>
    <row r="593" spans="1:34" ht="15.75" customHeight="1">
      <c r="A593" s="22">
        <f t="shared" si="101"/>
        <v>589</v>
      </c>
      <c r="B593" s="22">
        <f>B592*(1+'How much will I make'!$C$4)</f>
        <v>5460.6665646446172</v>
      </c>
      <c r="C593" s="25">
        <f t="shared" si="93"/>
        <v>3470.6703423603017</v>
      </c>
      <c r="D593" s="25">
        <f t="shared" si="102"/>
        <v>2054464.835052992</v>
      </c>
      <c r="E593" s="25">
        <f>$C593/((1+'How much will I make'!$C$5/12)^(Calculations!$B$1*12-Calculations!$A593))</f>
        <v>5460.6665646446172</v>
      </c>
      <c r="F593" s="25">
        <f t="shared" si="103"/>
        <v>1196020.642079351</v>
      </c>
      <c r="G593" s="25">
        <f t="shared" si="94"/>
        <v>2210.0195396042518</v>
      </c>
      <c r="H593" s="25">
        <f t="shared" si="104"/>
        <v>5656948.7393554533</v>
      </c>
      <c r="I593" s="25">
        <f>G593/((1+'How much will I make'!$C$5/12)^(Calculations!$B$1*12-Calculations!$A593))</f>
        <v>3477.1898845688152</v>
      </c>
      <c r="J593" s="25">
        <f t="shared" si="105"/>
        <v>2047844.8106155249</v>
      </c>
      <c r="K593" s="25">
        <f t="shared" si="95"/>
        <v>1409.8963399188983</v>
      </c>
      <c r="L593" s="25">
        <f t="shared" si="106"/>
        <v>22402818.628515813</v>
      </c>
      <c r="M593" s="25">
        <f>K593/((1+'How much will I make'!$C$5/12)^(Calculations!$B$1*12-Calculations!$A593))</f>
        <v>2218.2959035441268</v>
      </c>
      <c r="N593" s="25">
        <f t="shared" si="107"/>
        <v>5599818.5455077337</v>
      </c>
      <c r="O593" s="25">
        <f t="shared" si="96"/>
        <v>901.11440942637125</v>
      </c>
      <c r="P593" s="25">
        <f t="shared" si="108"/>
        <v>108364912.23917381</v>
      </c>
      <c r="Q593" s="25">
        <f>O593/((1+'How much will I make'!$C$5/12)^(Calculations!$B$1*12-Calculations!$A593))</f>
        <v>1417.791043538768</v>
      </c>
      <c r="R593" s="25">
        <f t="shared" si="109"/>
        <v>21989053.00732059</v>
      </c>
      <c r="S593" s="25">
        <f t="shared" si="97"/>
        <v>576.98936663311576</v>
      </c>
      <c r="T593" s="25">
        <f t="shared" si="110"/>
        <v>580356218.54626131</v>
      </c>
      <c r="U593" s="25">
        <f>S593/((1+'How much will I make'!$C$5/12)^(Calculations!$B$1*12-Calculations!$A593))</f>
        <v>907.82074692412266</v>
      </c>
      <c r="V593" s="25">
        <f t="shared" si="111"/>
        <v>105459771.68719399</v>
      </c>
      <c r="W593" s="25">
        <f t="shared" si="98"/>
        <v>370.1215149016856</v>
      </c>
      <c r="X593" s="25">
        <f t="shared" si="112"/>
        <v>3284761894.7097511</v>
      </c>
      <c r="Y593" s="25">
        <f>W593/((1+'How much will I make'!$C$5/12)^(Calculations!$B$1*12-Calculations!$A593))</f>
        <v>582.3400040652524</v>
      </c>
      <c r="Z593" s="25">
        <f t="shared" si="113"/>
        <v>560123758.29363298</v>
      </c>
      <c r="AA593" s="25">
        <f t="shared" si="99"/>
        <v>237.84996947757293</v>
      </c>
      <c r="AB593" s="25">
        <f t="shared" si="114"/>
        <v>19205079053.083546</v>
      </c>
      <c r="AC593" s="25">
        <f>AA593/((1+'How much will I make'!$C$5/12)^(Calculations!$B$1*12-Calculations!$A593))</f>
        <v>374.22723785533486</v>
      </c>
      <c r="AD593" s="25">
        <f t="shared" si="115"/>
        <v>3144572589.5691223</v>
      </c>
      <c r="AE593" s="25">
        <f t="shared" si="100"/>
        <v>153.12207131628369</v>
      </c>
      <c r="AF593" s="25">
        <f t="shared" si="116"/>
        <v>114565041993.89784</v>
      </c>
      <c r="AG593" s="25">
        <f>AE593/((1+'How much will I make'!$C$5/12)^(Calculations!$B$1*12-Calculations!$A593))</f>
        <v>240.91846607860737</v>
      </c>
      <c r="AH593" s="25">
        <f t="shared" si="117"/>
        <v>18238879220.58139</v>
      </c>
    </row>
    <row r="594" spans="1:34" ht="15.75" customHeight="1">
      <c r="A594" s="22">
        <f t="shared" si="101"/>
        <v>590</v>
      </c>
      <c r="B594" s="22">
        <f t="shared" ref="B594:B604" si="124">B593</f>
        <v>5460.6665646446172</v>
      </c>
      <c r="C594" s="25">
        <f t="shared" si="93"/>
        <v>3456.2692206077695</v>
      </c>
      <c r="D594" s="25">
        <f t="shared" si="102"/>
        <v>2057921.1042735998</v>
      </c>
      <c r="E594" s="25">
        <f>$C594/((1+'How much will I make'!$C$5/12)^(Calculations!$B$1*12-Calculations!$A594))</f>
        <v>5460.6665646446172</v>
      </c>
      <c r="F594" s="25">
        <f t="shared" si="103"/>
        <v>1201481.3086439956</v>
      </c>
      <c r="G594" s="25">
        <f t="shared" si="94"/>
        <v>2191.7549153100013</v>
      </c>
      <c r="H594" s="25">
        <f t="shared" si="104"/>
        <v>5659140.4942707634</v>
      </c>
      <c r="I594" s="25">
        <f>G594/((1+'How much will I make'!$C$5/12)^(Calculations!$B$1*12-Calculations!$A594))</f>
        <v>3462.8213313267943</v>
      </c>
      <c r="J594" s="25">
        <f t="shared" si="105"/>
        <v>2051307.6319468517</v>
      </c>
      <c r="K594" s="25">
        <f t="shared" si="95"/>
        <v>1392.4902122655783</v>
      </c>
      <c r="L594" s="25">
        <f t="shared" si="106"/>
        <v>22404211.118728079</v>
      </c>
      <c r="M594" s="25">
        <f>K594/((1+'How much will I make'!$C$5/12)^(Calculations!$B$1*12-Calculations!$A594))</f>
        <v>2200.0383240910883</v>
      </c>
      <c r="N594" s="25">
        <f t="shared" si="107"/>
        <v>5602018.5838318244</v>
      </c>
      <c r="O594" s="25">
        <f t="shared" si="96"/>
        <v>886.34204205872561</v>
      </c>
      <c r="P594" s="25">
        <f t="shared" si="108"/>
        <v>108365798.58121587</v>
      </c>
      <c r="Q594" s="25">
        <f>O594/((1+'How much will I make'!$C$5/12)^(Calculations!$B$1*12-Calculations!$A594))</f>
        <v>1400.359186446078</v>
      </c>
      <c r="R594" s="25">
        <f t="shared" si="109"/>
        <v>21990453.366507035</v>
      </c>
      <c r="S594" s="25">
        <f t="shared" si="97"/>
        <v>565.21407343652174</v>
      </c>
      <c r="T594" s="25">
        <f t="shared" si="110"/>
        <v>580356783.76033473</v>
      </c>
      <c r="U594" s="25">
        <f>S594/((1+'How much will I make'!$C$5/12)^(Calculations!$B$1*12-Calculations!$A594))</f>
        <v>892.99918370903526</v>
      </c>
      <c r="V594" s="25">
        <f t="shared" si="111"/>
        <v>105460664.6863777</v>
      </c>
      <c r="W594" s="25">
        <f t="shared" si="98"/>
        <v>361.09416087969339</v>
      </c>
      <c r="X594" s="25">
        <f t="shared" si="112"/>
        <v>3284762255.8039122</v>
      </c>
      <c r="Y594" s="25">
        <f>W594/((1+'How much will I make'!$C$5/12)^(Calculations!$B$1*12-Calculations!$A594))</f>
        <v>570.50382512083684</v>
      </c>
      <c r="Z594" s="25">
        <f t="shared" si="113"/>
        <v>560124328.79745805</v>
      </c>
      <c r="AA594" s="25">
        <f t="shared" si="99"/>
        <v>231.10928208347161</v>
      </c>
      <c r="AB594" s="25">
        <f t="shared" si="114"/>
        <v>19205079284.192829</v>
      </c>
      <c r="AC594" s="25">
        <f>AA594/((1+'How much will I make'!$C$5/12)^(Calculations!$B$1*12-Calculations!$A594))</f>
        <v>365.13669766451693</v>
      </c>
      <c r="AD594" s="25">
        <f t="shared" si="115"/>
        <v>3144572954.7058201</v>
      </c>
      <c r="AE594" s="25">
        <f t="shared" si="100"/>
        <v>148.18264966091971</v>
      </c>
      <c r="AF594" s="25">
        <f t="shared" si="116"/>
        <v>114565042142.08049</v>
      </c>
      <c r="AG594" s="25">
        <f>AE594/((1+'How much will I make'!$C$5/12)^(Calculations!$B$1*12-Calculations!$A594))</f>
        <v>234.11834808445312</v>
      </c>
      <c r="AH594" s="25">
        <f t="shared" si="117"/>
        <v>18238879454.699738</v>
      </c>
    </row>
    <row r="595" spans="1:34" ht="15.75" customHeight="1">
      <c r="A595" s="22">
        <f t="shared" si="101"/>
        <v>591</v>
      </c>
      <c r="B595" s="22">
        <f t="shared" si="124"/>
        <v>5460.6665646446172</v>
      </c>
      <c r="C595" s="25">
        <f t="shared" si="93"/>
        <v>3441.9278545471552</v>
      </c>
      <c r="D595" s="25">
        <f t="shared" si="102"/>
        <v>2061363.0321281468</v>
      </c>
      <c r="E595" s="25">
        <f>$C595/((1+'How much will I make'!$C$5/12)^(Calculations!$B$1*12-Calculations!$A595))</f>
        <v>5460.6665646446172</v>
      </c>
      <c r="F595" s="25">
        <f t="shared" si="103"/>
        <v>1206941.9752086401</v>
      </c>
      <c r="G595" s="25">
        <f t="shared" si="94"/>
        <v>2173.6412383239685</v>
      </c>
      <c r="H595" s="25">
        <f t="shared" si="104"/>
        <v>5661314.1355090877</v>
      </c>
      <c r="I595" s="25">
        <f>G595/((1+'How much will I make'!$C$5/12)^(Calculations!$B$1*12-Calculations!$A595))</f>
        <v>3448.5121522717263</v>
      </c>
      <c r="J595" s="25">
        <f t="shared" si="105"/>
        <v>2054756.1440991235</v>
      </c>
      <c r="K595" s="25">
        <f t="shared" si="95"/>
        <v>1375.2989750771146</v>
      </c>
      <c r="L595" s="25">
        <f t="shared" si="106"/>
        <v>22405586.417703155</v>
      </c>
      <c r="M595" s="25">
        <f>K595/((1+'How much will I make'!$C$5/12)^(Calculations!$B$1*12-Calculations!$A595))</f>
        <v>2181.9310127816975</v>
      </c>
      <c r="N595" s="25">
        <f t="shared" si="107"/>
        <v>5604200.5148446057</v>
      </c>
      <c r="O595" s="25">
        <f t="shared" si="96"/>
        <v>871.81184464792739</v>
      </c>
      <c r="P595" s="25">
        <f t="shared" si="108"/>
        <v>108366670.39306052</v>
      </c>
      <c r="Q595" s="25">
        <f>O595/((1+'How much will I make'!$C$5/12)^(Calculations!$B$1*12-Calculations!$A595))</f>
        <v>1383.1416554651848</v>
      </c>
      <c r="R595" s="25">
        <f t="shared" si="109"/>
        <v>21991836.508162498</v>
      </c>
      <c r="S595" s="25">
        <f t="shared" si="97"/>
        <v>553.67909234598051</v>
      </c>
      <c r="T595" s="25">
        <f t="shared" si="110"/>
        <v>580357337.43942702</v>
      </c>
      <c r="U595" s="25">
        <f>S595/((1+'How much will I make'!$C$5/12)^(Calculations!$B$1*12-Calculations!$A595))</f>
        <v>878.41960519950021</v>
      </c>
      <c r="V595" s="25">
        <f t="shared" si="111"/>
        <v>105461543.1059829</v>
      </c>
      <c r="W595" s="25">
        <f t="shared" si="98"/>
        <v>352.28698622409104</v>
      </c>
      <c r="X595" s="25">
        <f t="shared" si="112"/>
        <v>3284762608.0908985</v>
      </c>
      <c r="Y595" s="25">
        <f>W595/((1+'How much will I make'!$C$5/12)^(Calculations!$B$1*12-Calculations!$A595))</f>
        <v>558.90821891919381</v>
      </c>
      <c r="Z595" s="25">
        <f t="shared" si="113"/>
        <v>560124887.70567691</v>
      </c>
      <c r="AA595" s="25">
        <f t="shared" si="99"/>
        <v>224.55962631592388</v>
      </c>
      <c r="AB595" s="25">
        <f t="shared" si="114"/>
        <v>19205079508.752457</v>
      </c>
      <c r="AC595" s="25">
        <f>AA595/((1+'How much will I make'!$C$5/12)^(Calculations!$B$1*12-Calculations!$A595))</f>
        <v>356.26698031234258</v>
      </c>
      <c r="AD595" s="25">
        <f t="shared" si="115"/>
        <v>3144573310.9728003</v>
      </c>
      <c r="AE595" s="25">
        <f t="shared" si="100"/>
        <v>143.4025641879868</v>
      </c>
      <c r="AF595" s="25">
        <f t="shared" si="116"/>
        <v>114565042285.48305</v>
      </c>
      <c r="AG595" s="25">
        <f>AE595/((1+'How much will I make'!$C$5/12)^(Calculations!$B$1*12-Calculations!$A595))</f>
        <v>227.51016890465004</v>
      </c>
      <c r="AH595" s="25">
        <f t="shared" si="117"/>
        <v>18238879682.209908</v>
      </c>
    </row>
    <row r="596" spans="1:34" ht="15.75" customHeight="1">
      <c r="A596" s="22">
        <f t="shared" si="101"/>
        <v>592</v>
      </c>
      <c r="B596" s="22">
        <f t="shared" si="124"/>
        <v>5460.6665646446172</v>
      </c>
      <c r="C596" s="25">
        <f t="shared" si="93"/>
        <v>3427.6459962295326</v>
      </c>
      <c r="D596" s="25">
        <f t="shared" si="102"/>
        <v>2064790.6781243763</v>
      </c>
      <c r="E596" s="25">
        <f>$C596/((1+'How much will I make'!$C$5/12)^(Calculations!$B$1*12-Calculations!$A596))</f>
        <v>5460.6665646446172</v>
      </c>
      <c r="F596" s="25">
        <f t="shared" si="103"/>
        <v>1212402.6417732846</v>
      </c>
      <c r="G596" s="25">
        <f t="shared" si="94"/>
        <v>2155.6772611477372</v>
      </c>
      <c r="H596" s="25">
        <f t="shared" si="104"/>
        <v>5663469.8127702354</v>
      </c>
      <c r="I596" s="25">
        <f>G596/((1+'How much will I make'!$C$5/12)^(Calculations!$B$1*12-Calculations!$A596))</f>
        <v>3434.2621020557272</v>
      </c>
      <c r="J596" s="25">
        <f t="shared" si="105"/>
        <v>2058190.4062011794</v>
      </c>
      <c r="K596" s="25">
        <f t="shared" si="95"/>
        <v>1358.3199753848044</v>
      </c>
      <c r="L596" s="25">
        <f t="shared" si="106"/>
        <v>22406944.737678539</v>
      </c>
      <c r="M596" s="25">
        <f>K596/((1+'How much will I make'!$C$5/12)^(Calculations!$B$1*12-Calculations!$A596))</f>
        <v>2163.9727328411072</v>
      </c>
      <c r="N596" s="25">
        <f t="shared" si="107"/>
        <v>5606364.4875774467</v>
      </c>
      <c r="O596" s="25">
        <f t="shared" si="96"/>
        <v>857.5198471946826</v>
      </c>
      <c r="P596" s="25">
        <f t="shared" si="108"/>
        <v>108367527.91290772</v>
      </c>
      <c r="Q596" s="25">
        <f>O596/((1+'How much will I make'!$C$5/12)^(Calculations!$B$1*12-Calculations!$A596))</f>
        <v>1366.1358154389734</v>
      </c>
      <c r="R596" s="25">
        <f t="shared" si="109"/>
        <v>21993202.643977936</v>
      </c>
      <c r="S596" s="25">
        <f t="shared" si="97"/>
        <v>542.37951903279725</v>
      </c>
      <c r="T596" s="25">
        <f t="shared" si="110"/>
        <v>580357879.818946</v>
      </c>
      <c r="U596" s="25">
        <f>S596/((1+'How much will I make'!$C$5/12)^(Calculations!$B$1*12-Calculations!$A596))</f>
        <v>864.0780606248145</v>
      </c>
      <c r="V596" s="25">
        <f t="shared" si="111"/>
        <v>105462407.18404353</v>
      </c>
      <c r="W596" s="25">
        <f t="shared" si="98"/>
        <v>343.69462070643033</v>
      </c>
      <c r="X596" s="25">
        <f t="shared" si="112"/>
        <v>3284762951.7855191</v>
      </c>
      <c r="Y596" s="25">
        <f>W596/((1+'How much will I make'!$C$5/12)^(Calculations!$B$1*12-Calculations!$A596))</f>
        <v>547.54829577042983</v>
      </c>
      <c r="Z596" s="25">
        <f t="shared" si="113"/>
        <v>560125435.25397265</v>
      </c>
      <c r="AA596" s="25">
        <f t="shared" si="99"/>
        <v>218.19558832316494</v>
      </c>
      <c r="AB596" s="25">
        <f t="shared" si="114"/>
        <v>19205079726.948044</v>
      </c>
      <c r="AC596" s="25">
        <f>AA596/((1+'How much will I make'!$C$5/12)^(Calculations!$B$1*12-Calculations!$A596))</f>
        <v>347.61272168127357</v>
      </c>
      <c r="AD596" s="25">
        <f t="shared" si="115"/>
        <v>3144573658.5855217</v>
      </c>
      <c r="AE596" s="25">
        <f t="shared" si="100"/>
        <v>138.77667502063238</v>
      </c>
      <c r="AF596" s="25">
        <f t="shared" si="116"/>
        <v>114565042424.25972</v>
      </c>
      <c r="AG596" s="25">
        <f>AE596/((1+'How much will I make'!$C$5/12)^(Calculations!$B$1*12-Calculations!$A596))</f>
        <v>221.08851091137362</v>
      </c>
      <c r="AH596" s="25">
        <f t="shared" si="117"/>
        <v>18238879903.29842</v>
      </c>
    </row>
    <row r="597" spans="1:34" ht="15.75" customHeight="1">
      <c r="A597" s="22">
        <f t="shared" si="101"/>
        <v>593</v>
      </c>
      <c r="B597" s="22">
        <f t="shared" si="124"/>
        <v>5460.6665646446172</v>
      </c>
      <c r="C597" s="25">
        <f t="shared" si="93"/>
        <v>3413.4233987348048</v>
      </c>
      <c r="D597" s="25">
        <f t="shared" si="102"/>
        <v>2068204.1015231111</v>
      </c>
      <c r="E597" s="25">
        <f>$C597/((1+'How much will I make'!$C$5/12)^(Calculations!$B$1*12-Calculations!$A597))</f>
        <v>5460.6665646446172</v>
      </c>
      <c r="F597" s="25">
        <f t="shared" si="103"/>
        <v>1217863.3083379292</v>
      </c>
      <c r="G597" s="25">
        <f t="shared" si="94"/>
        <v>2137.8617465927973</v>
      </c>
      <c r="H597" s="25">
        <f t="shared" si="104"/>
        <v>5665607.6745168278</v>
      </c>
      <c r="I597" s="25">
        <f>G597/((1+'How much will I make'!$C$5/12)^(Calculations!$B$1*12-Calculations!$A597))</f>
        <v>3420.0709363447527</v>
      </c>
      <c r="J597" s="25">
        <f t="shared" si="105"/>
        <v>2061610.4771375242</v>
      </c>
      <c r="K597" s="25">
        <f t="shared" si="95"/>
        <v>1341.5505929726464</v>
      </c>
      <c r="L597" s="25">
        <f t="shared" si="106"/>
        <v>22408286.288271513</v>
      </c>
      <c r="M597" s="25">
        <f>K597/((1+'How much will I make'!$C$5/12)^(Calculations!$B$1*12-Calculations!$A597))</f>
        <v>2146.1622576736904</v>
      </c>
      <c r="N597" s="25">
        <f t="shared" si="107"/>
        <v>5608510.6498351209</v>
      </c>
      <c r="O597" s="25">
        <f t="shared" si="96"/>
        <v>843.46214478165496</v>
      </c>
      <c r="P597" s="25">
        <f t="shared" si="108"/>
        <v>108368371.3750525</v>
      </c>
      <c r="Q597" s="25">
        <f>O597/((1+'How much will I make'!$C$5/12)^(Calculations!$B$1*12-Calculations!$A597))</f>
        <v>1349.3390636098054</v>
      </c>
      <c r="R597" s="25">
        <f t="shared" si="109"/>
        <v>21994551.983041547</v>
      </c>
      <c r="S597" s="25">
        <f t="shared" si="97"/>
        <v>531.31054925661783</v>
      </c>
      <c r="T597" s="25">
        <f t="shared" si="110"/>
        <v>580358411.12949526</v>
      </c>
      <c r="U597" s="25">
        <f>S597/((1+'How much will I make'!$C$5/12)^(Calculations!$B$1*12-Calculations!$A597))</f>
        <v>849.97066371665437</v>
      </c>
      <c r="V597" s="25">
        <f t="shared" si="111"/>
        <v>105463257.15470724</v>
      </c>
      <c r="W597" s="25">
        <f t="shared" si="98"/>
        <v>335.31182507944425</v>
      </c>
      <c r="X597" s="25">
        <f t="shared" si="112"/>
        <v>3284763287.0973444</v>
      </c>
      <c r="Y597" s="25">
        <f>W597/((1+'How much will I make'!$C$5/12)^(Calculations!$B$1*12-Calculations!$A597))</f>
        <v>536.41926536859182</v>
      </c>
      <c r="Z597" s="25">
        <f t="shared" si="113"/>
        <v>560125971.67323804</v>
      </c>
      <c r="AA597" s="25">
        <f t="shared" si="99"/>
        <v>212.01190768242751</v>
      </c>
      <c r="AB597" s="25">
        <f t="shared" si="114"/>
        <v>19205079938.959953</v>
      </c>
      <c r="AC597" s="25">
        <f>AA597/((1+'How much will I make'!$C$5/12)^(Calculations!$B$1*12-Calculations!$A597))</f>
        <v>339.16868795622241</v>
      </c>
      <c r="AD597" s="25">
        <f t="shared" si="115"/>
        <v>3144573997.7542095</v>
      </c>
      <c r="AE597" s="25">
        <f t="shared" si="100"/>
        <v>134.30000808448293</v>
      </c>
      <c r="AF597" s="25">
        <f t="shared" si="116"/>
        <v>114565042558.55972</v>
      </c>
      <c r="AG597" s="25">
        <f>AE597/((1+'How much will I make'!$C$5/12)^(Calculations!$B$1*12-Calculations!$A597))</f>
        <v>214.8481093937138</v>
      </c>
      <c r="AH597" s="25">
        <f t="shared" si="117"/>
        <v>18238880118.14653</v>
      </c>
    </row>
    <row r="598" spans="1:34" ht="15.75" customHeight="1">
      <c r="A598" s="22">
        <f t="shared" si="101"/>
        <v>594</v>
      </c>
      <c r="B598" s="22">
        <f t="shared" si="124"/>
        <v>5460.6665646446172</v>
      </c>
      <c r="C598" s="25">
        <f t="shared" si="93"/>
        <v>3399.2598161674405</v>
      </c>
      <c r="D598" s="25">
        <f t="shared" si="102"/>
        <v>2071603.3613392785</v>
      </c>
      <c r="E598" s="25">
        <f>$C598/((1+'How much will I make'!$C$5/12)^(Calculations!$B$1*12-Calculations!$A598))</f>
        <v>5460.6665646446172</v>
      </c>
      <c r="F598" s="25">
        <f t="shared" si="103"/>
        <v>1223323.9749025737</v>
      </c>
      <c r="G598" s="25">
        <f t="shared" si="94"/>
        <v>2120.193467695336</v>
      </c>
      <c r="H598" s="25">
        <f t="shared" si="104"/>
        <v>5667727.8679845231</v>
      </c>
      <c r="I598" s="25">
        <f>G598/((1+'How much will I make'!$C$5/12)^(Calculations!$B$1*12-Calculations!$A598))</f>
        <v>3405.9384118144021</v>
      </c>
      <c r="J598" s="25">
        <f t="shared" si="105"/>
        <v>2065016.4155493386</v>
      </c>
      <c r="K598" s="25">
        <f t="shared" si="95"/>
        <v>1324.9882399729838</v>
      </c>
      <c r="L598" s="25">
        <f t="shared" si="106"/>
        <v>22409611.276511487</v>
      </c>
      <c r="M598" s="25">
        <f>K598/((1+'How much will I make'!$C$5/12)^(Calculations!$B$1*12-Calculations!$A598))</f>
        <v>2128.4983707792562</v>
      </c>
      <c r="N598" s="25">
        <f t="shared" si="107"/>
        <v>5610639.1482059006</v>
      </c>
      <c r="O598" s="25">
        <f t="shared" si="96"/>
        <v>829.63489650654594</v>
      </c>
      <c r="P598" s="25">
        <f t="shared" si="108"/>
        <v>108369201.009949</v>
      </c>
      <c r="Q598" s="25">
        <f>O598/((1+'How much will I make'!$C$5/12)^(Calculations!$B$1*12-Calculations!$A598))</f>
        <v>1332.7488292211601</v>
      </c>
      <c r="R598" s="25">
        <f t="shared" si="109"/>
        <v>21995884.731870767</v>
      </c>
      <c r="S598" s="25">
        <f t="shared" si="97"/>
        <v>520.46747682280932</v>
      </c>
      <c r="T598" s="25">
        <f t="shared" si="110"/>
        <v>580358931.59697211</v>
      </c>
      <c r="U598" s="25">
        <f>S598/((1+'How much will I make'!$C$5/12)^(Calculations!$B$1*12-Calculations!$A598))</f>
        <v>836.09359165597425</v>
      </c>
      <c r="V598" s="25">
        <f t="shared" si="111"/>
        <v>105464093.2482989</v>
      </c>
      <c r="W598" s="25">
        <f t="shared" si="98"/>
        <v>327.13348788238466</v>
      </c>
      <c r="X598" s="25">
        <f t="shared" si="112"/>
        <v>3284763614.2308321</v>
      </c>
      <c r="Y598" s="25">
        <f>W598/((1+'How much will I make'!$C$5/12)^(Calculations!$B$1*12-Calculations!$A598))</f>
        <v>525.5164347716692</v>
      </c>
      <c r="Z598" s="25">
        <f t="shared" si="113"/>
        <v>560126497.18967283</v>
      </c>
      <c r="AA598" s="25">
        <f t="shared" si="99"/>
        <v>206.00347305175146</v>
      </c>
      <c r="AB598" s="25">
        <f t="shared" si="114"/>
        <v>19205080144.963425</v>
      </c>
      <c r="AC598" s="25">
        <f>AA598/((1+'How much will I make'!$C$5/12)^(Calculations!$B$1*12-Calculations!$A598))</f>
        <v>330.92977245931019</v>
      </c>
      <c r="AD598" s="25">
        <f t="shared" si="115"/>
        <v>3144574328.6839819</v>
      </c>
      <c r="AE598" s="25">
        <f t="shared" si="100"/>
        <v>129.96774975917697</v>
      </c>
      <c r="AF598" s="25">
        <f t="shared" si="116"/>
        <v>114565042688.52747</v>
      </c>
      <c r="AG598" s="25">
        <f>AE598/((1+'How much will I make'!$C$5/12)^(Calculations!$B$1*12-Calculations!$A598))</f>
        <v>208.78384824147179</v>
      </c>
      <c r="AH598" s="25">
        <f t="shared" si="117"/>
        <v>18238880326.930378</v>
      </c>
    </row>
    <row r="599" spans="1:34" ht="15.75" customHeight="1">
      <c r="A599" s="22">
        <f t="shared" si="101"/>
        <v>595</v>
      </c>
      <c r="B599" s="22">
        <f t="shared" si="124"/>
        <v>5460.6665646446172</v>
      </c>
      <c r="C599" s="25">
        <f t="shared" si="93"/>
        <v>3385.1550036522226</v>
      </c>
      <c r="D599" s="25">
        <f t="shared" si="102"/>
        <v>2074988.5163429307</v>
      </c>
      <c r="E599" s="25">
        <f>$C599/((1+'How much will I make'!$C$5/12)^(Calculations!$B$1*12-Calculations!$A599))</f>
        <v>5460.6665646446172</v>
      </c>
      <c r="F599" s="25">
        <f t="shared" si="103"/>
        <v>1228784.6414672183</v>
      </c>
      <c r="G599" s="25">
        <f t="shared" si="94"/>
        <v>2102.6712076317381</v>
      </c>
      <c r="H599" s="25">
        <f t="shared" si="104"/>
        <v>5669830.539192155</v>
      </c>
      <c r="I599" s="25">
        <f>G599/((1+'How much will I make'!$C$5/12)^(Calculations!$B$1*12-Calculations!$A599))</f>
        <v>3391.8642861457479</v>
      </c>
      <c r="J599" s="25">
        <f t="shared" si="105"/>
        <v>2068408.2798354842</v>
      </c>
      <c r="K599" s="25">
        <f t="shared" si="95"/>
        <v>1308.6303604671448</v>
      </c>
      <c r="L599" s="25">
        <f t="shared" si="106"/>
        <v>22410919.906871952</v>
      </c>
      <c r="M599" s="25">
        <f>K599/((1+'How much will I make'!$C$5/12)^(Calculations!$B$1*12-Calculations!$A599))</f>
        <v>2110.9798656699627</v>
      </c>
      <c r="N599" s="25">
        <f t="shared" si="107"/>
        <v>5612750.1280715708</v>
      </c>
      <c r="O599" s="25">
        <f t="shared" si="96"/>
        <v>816.03432443266831</v>
      </c>
      <c r="P599" s="25">
        <f t="shared" si="108"/>
        <v>108370017.04427344</v>
      </c>
      <c r="Q599" s="25">
        <f>O599/((1+'How much will I make'!$C$5/12)^(Calculations!$B$1*12-Calculations!$A599))</f>
        <v>1316.3625731241793</v>
      </c>
      <c r="R599" s="25">
        <f t="shared" si="109"/>
        <v>21997201.094443891</v>
      </c>
      <c r="S599" s="25">
        <f t="shared" si="97"/>
        <v>509.84569158152755</v>
      </c>
      <c r="T599" s="25">
        <f t="shared" si="110"/>
        <v>580359441.44266367</v>
      </c>
      <c r="U599" s="25">
        <f>S599/((1+'How much will I make'!$C$5/12)^(Calculations!$B$1*12-Calculations!$A599))</f>
        <v>822.44308403710136</v>
      </c>
      <c r="V599" s="25">
        <f t="shared" si="111"/>
        <v>105464915.69138293</v>
      </c>
      <c r="W599" s="25">
        <f t="shared" si="98"/>
        <v>319.15462232427763</v>
      </c>
      <c r="X599" s="25">
        <f t="shared" si="112"/>
        <v>3284763933.3854547</v>
      </c>
      <c r="Y599" s="25">
        <f>W599/((1+'How much will I make'!$C$5/12)^(Calculations!$B$1*12-Calculations!$A599))</f>
        <v>514.83520642265148</v>
      </c>
      <c r="Z599" s="25">
        <f t="shared" si="113"/>
        <v>560127012.02487922</v>
      </c>
      <c r="AA599" s="25">
        <f t="shared" si="99"/>
        <v>200.16531794502166</v>
      </c>
      <c r="AB599" s="25">
        <f t="shared" si="114"/>
        <v>19205080345.128742</v>
      </c>
      <c r="AC599" s="25">
        <f>AA599/((1+'How much will I make'!$C$5/12)^(Calculations!$B$1*12-Calculations!$A599))</f>
        <v>322.8909925615132</v>
      </c>
      <c r="AD599" s="25">
        <f t="shared" si="115"/>
        <v>3144574651.5749745</v>
      </c>
      <c r="AE599" s="25">
        <f t="shared" si="100"/>
        <v>125.77524170242937</v>
      </c>
      <c r="AF599" s="25">
        <f t="shared" si="116"/>
        <v>114565042814.3027</v>
      </c>
      <c r="AG599" s="25">
        <f>AE599/((1+'How much will I make'!$C$5/12)^(Calculations!$B$1*12-Calculations!$A599))</f>
        <v>202.89075575078519</v>
      </c>
      <c r="AH599" s="25">
        <f t="shared" si="117"/>
        <v>18238880529.821133</v>
      </c>
    </row>
    <row r="600" spans="1:34" ht="15.75" customHeight="1">
      <c r="A600" s="22">
        <f t="shared" si="101"/>
        <v>596</v>
      </c>
      <c r="B600" s="22">
        <f t="shared" si="124"/>
        <v>5460.6665646446172</v>
      </c>
      <c r="C600" s="25">
        <f t="shared" si="93"/>
        <v>3371.1087173300139</v>
      </c>
      <c r="D600" s="25">
        <f t="shared" si="102"/>
        <v>2078359.6250602608</v>
      </c>
      <c r="E600" s="25">
        <f>$C600/((1+'How much will I make'!$C$5/12)^(Calculations!$B$1*12-Calculations!$A600))</f>
        <v>5460.6665646446172</v>
      </c>
      <c r="F600" s="25">
        <f t="shared" si="103"/>
        <v>1234245.3080318628</v>
      </c>
      <c r="G600" s="25">
        <f t="shared" si="94"/>
        <v>2085.293759634782</v>
      </c>
      <c r="H600" s="25">
        <f t="shared" si="104"/>
        <v>5671915.8329517897</v>
      </c>
      <c r="I600" s="25">
        <f>G600/((1+'How much will I make'!$C$5/12)^(Calculations!$B$1*12-Calculations!$A600))</f>
        <v>3377.8483180211797</v>
      </c>
      <c r="J600" s="25">
        <f t="shared" si="105"/>
        <v>2071786.1281535055</v>
      </c>
      <c r="K600" s="25">
        <f t="shared" si="95"/>
        <v>1292.474430091007</v>
      </c>
      <c r="L600" s="25">
        <f t="shared" si="106"/>
        <v>22412212.381302044</v>
      </c>
      <c r="M600" s="25">
        <f>K600/((1+'How much will I make'!$C$5/12)^(Calculations!$B$1*12-Calculations!$A600))</f>
        <v>2093.6055457879052</v>
      </c>
      <c r="N600" s="25">
        <f t="shared" si="107"/>
        <v>5614843.7336173588</v>
      </c>
      <c r="O600" s="25">
        <f t="shared" si="96"/>
        <v>802.65671255672271</v>
      </c>
      <c r="P600" s="25">
        <f t="shared" si="108"/>
        <v>108370819.700986</v>
      </c>
      <c r="Q600" s="25">
        <f>O600/((1+'How much will I make'!$C$5/12)^(Calculations!$B$1*12-Calculations!$A600))</f>
        <v>1300.1777873890458</v>
      </c>
      <c r="R600" s="25">
        <f t="shared" si="109"/>
        <v>21998501.272231281</v>
      </c>
      <c r="S600" s="25">
        <f t="shared" si="97"/>
        <v>499.44067746761891</v>
      </c>
      <c r="T600" s="25">
        <f t="shared" si="110"/>
        <v>580359940.88334119</v>
      </c>
      <c r="U600" s="25">
        <f>S600/((1+'How much will I make'!$C$5/12)^(Calculations!$B$1*12-Calculations!$A600))</f>
        <v>809.01544184874081</v>
      </c>
      <c r="V600" s="25">
        <f t="shared" si="111"/>
        <v>105465724.70682478</v>
      </c>
      <c r="W600" s="25">
        <f t="shared" si="98"/>
        <v>311.3703632431978</v>
      </c>
      <c r="X600" s="25">
        <f t="shared" si="112"/>
        <v>3284764244.7558179</v>
      </c>
      <c r="Y600" s="25">
        <f>W600/((1+'How much will I make'!$C$5/12)^(Calculations!$B$1*12-Calculations!$A600))</f>
        <v>504.37107621080918</v>
      </c>
      <c r="Z600" s="25">
        <f t="shared" si="113"/>
        <v>560127516.39595544</v>
      </c>
      <c r="AA600" s="25">
        <f t="shared" si="99"/>
        <v>194.49261662674172</v>
      </c>
      <c r="AB600" s="25">
        <f t="shared" si="114"/>
        <v>19205080539.621357</v>
      </c>
      <c r="AC600" s="25">
        <f>AA600/((1+'How much will I make'!$C$5/12)^(Calculations!$B$1*12-Calculations!$A600))</f>
        <v>315.04748666933079</v>
      </c>
      <c r="AD600" s="25">
        <f t="shared" si="115"/>
        <v>3144574966.6224613</v>
      </c>
      <c r="AE600" s="25">
        <f t="shared" si="100"/>
        <v>121.71797584106065</v>
      </c>
      <c r="AF600" s="25">
        <f t="shared" si="116"/>
        <v>114565042936.02068</v>
      </c>
      <c r="AG600" s="25">
        <f>AE600/((1+'How much will I make'!$C$5/12)^(Calculations!$B$1*12-Calculations!$A600))</f>
        <v>197.16400054814201</v>
      </c>
      <c r="AH600" s="25">
        <f t="shared" si="117"/>
        <v>18238880726.985134</v>
      </c>
    </row>
    <row r="601" spans="1:34" ht="15.75" customHeight="1">
      <c r="A601" s="22">
        <f t="shared" si="101"/>
        <v>597</v>
      </c>
      <c r="B601" s="22">
        <f t="shared" si="124"/>
        <v>5460.6665646446172</v>
      </c>
      <c r="C601" s="25">
        <f t="shared" si="93"/>
        <v>3357.1207143535407</v>
      </c>
      <c r="D601" s="25">
        <f t="shared" si="102"/>
        <v>2081716.7457746144</v>
      </c>
      <c r="E601" s="25">
        <f>$C601/((1+'How much will I make'!$C$5/12)^(Calculations!$B$1*12-Calculations!$A601))</f>
        <v>5460.6665646446172</v>
      </c>
      <c r="F601" s="25">
        <f t="shared" si="103"/>
        <v>1239705.9745965074</v>
      </c>
      <c r="G601" s="25">
        <f t="shared" si="94"/>
        <v>2068.0599269105278</v>
      </c>
      <c r="H601" s="25">
        <f t="shared" si="104"/>
        <v>5673983.8928787</v>
      </c>
      <c r="I601" s="25">
        <f>G601/((1+'How much will I make'!$C$5/12)^(Calculations!$B$1*12-Calculations!$A601))</f>
        <v>3363.8902671202659</v>
      </c>
      <c r="J601" s="25">
        <f t="shared" si="105"/>
        <v>2075150.0184206257</v>
      </c>
      <c r="K601" s="25">
        <f t="shared" si="95"/>
        <v>1276.5179556454393</v>
      </c>
      <c r="L601" s="25">
        <f t="shared" si="106"/>
        <v>22413488.89925769</v>
      </c>
      <c r="M601" s="25">
        <f>K601/((1+'How much will I make'!$C$5/12)^(Calculations!$B$1*12-Calculations!$A601))</f>
        <v>2076.3742244233963</v>
      </c>
      <c r="N601" s="25">
        <f t="shared" si="107"/>
        <v>5616920.1078417823</v>
      </c>
      <c r="O601" s="25">
        <f t="shared" si="96"/>
        <v>789.4984057934978</v>
      </c>
      <c r="P601" s="25">
        <f t="shared" si="108"/>
        <v>108371609.1993918</v>
      </c>
      <c r="Q601" s="25">
        <f>O601/((1+'How much will I make'!$C$5/12)^(Calculations!$B$1*12-Calculations!$A601))</f>
        <v>1284.1919949211476</v>
      </c>
      <c r="R601" s="25">
        <f t="shared" si="109"/>
        <v>21999785.464226201</v>
      </c>
      <c r="S601" s="25">
        <f t="shared" si="97"/>
        <v>489.24801058052458</v>
      </c>
      <c r="T601" s="25">
        <f t="shared" si="110"/>
        <v>580360430.13135183</v>
      </c>
      <c r="U601" s="25">
        <f>S601/((1+'How much will I make'!$C$5/12)^(Calculations!$B$1*12-Calculations!$A601))</f>
        <v>795.80702647161843</v>
      </c>
      <c r="V601" s="25">
        <f t="shared" si="111"/>
        <v>105466520.51385126</v>
      </c>
      <c r="W601" s="25">
        <f t="shared" si="98"/>
        <v>303.77596413970514</v>
      </c>
      <c r="X601" s="25">
        <f t="shared" si="112"/>
        <v>3284764548.5317822</v>
      </c>
      <c r="Y601" s="25">
        <f>W601/((1+'How much will I make'!$C$5/12)^(Calculations!$B$1*12-Calculations!$A601))</f>
        <v>494.11963157237807</v>
      </c>
      <c r="Z601" s="25">
        <f t="shared" si="113"/>
        <v>560128010.51558697</v>
      </c>
      <c r="AA601" s="25">
        <f t="shared" si="99"/>
        <v>188.98068012314988</v>
      </c>
      <c r="AB601" s="25">
        <f t="shared" si="114"/>
        <v>19205080728.602036</v>
      </c>
      <c r="AC601" s="25">
        <f>AA601/((1+'How much will I make'!$C$5/12)^(Calculations!$B$1*12-Calculations!$A601))</f>
        <v>307.39451128465072</v>
      </c>
      <c r="AD601" s="25">
        <f t="shared" si="115"/>
        <v>3144575274.0169725</v>
      </c>
      <c r="AE601" s="25">
        <f t="shared" si="100"/>
        <v>117.79158952360707</v>
      </c>
      <c r="AF601" s="25">
        <f t="shared" si="116"/>
        <v>114565043053.81227</v>
      </c>
      <c r="AG601" s="25">
        <f>AE601/((1+'How much will I make'!$C$5/12)^(Calculations!$B$1*12-Calculations!$A601))</f>
        <v>191.59888762944445</v>
      </c>
      <c r="AH601" s="25">
        <f t="shared" si="117"/>
        <v>18238880918.584023</v>
      </c>
    </row>
    <row r="602" spans="1:34" ht="15.75" customHeight="1">
      <c r="A602" s="22">
        <f t="shared" si="101"/>
        <v>598</v>
      </c>
      <c r="B602" s="22">
        <f t="shared" si="124"/>
        <v>5460.6665646446172</v>
      </c>
      <c r="C602" s="25">
        <f t="shared" si="93"/>
        <v>3343.1907528831944</v>
      </c>
      <c r="D602" s="25">
        <f t="shared" si="102"/>
        <v>2085059.9365274976</v>
      </c>
      <c r="E602" s="25">
        <f>$C602/((1+'How much will I make'!$C$5/12)^(Calculations!$B$1*12-Calculations!$A602))</f>
        <v>5460.6665646446172</v>
      </c>
      <c r="F602" s="25">
        <f t="shared" si="103"/>
        <v>1245166.6411611519</v>
      </c>
      <c r="G602" s="25">
        <f t="shared" si="94"/>
        <v>2050.9685225558951</v>
      </c>
      <c r="H602" s="25">
        <f t="shared" si="104"/>
        <v>5676034.8614012562</v>
      </c>
      <c r="I602" s="25">
        <f>G602/((1+'How much will I make'!$C$5/12)^(Calculations!$B$1*12-Calculations!$A602))</f>
        <v>3349.9898941156362</v>
      </c>
      <c r="J602" s="25">
        <f t="shared" si="105"/>
        <v>2078500.0083147413</v>
      </c>
      <c r="K602" s="25">
        <f t="shared" si="95"/>
        <v>1260.7584747115447</v>
      </c>
      <c r="L602" s="25">
        <f t="shared" si="106"/>
        <v>22414749.657732401</v>
      </c>
      <c r="M602" s="25">
        <f>K602/((1+'How much will I make'!$C$5/12)^(Calculations!$B$1*12-Calculations!$A602))</f>
        <v>2059.2847246339029</v>
      </c>
      <c r="N602" s="25">
        <f t="shared" si="107"/>
        <v>5618979.3925664164</v>
      </c>
      <c r="O602" s="25">
        <f t="shared" si="96"/>
        <v>776.55580897721075</v>
      </c>
      <c r="P602" s="25">
        <f t="shared" si="108"/>
        <v>108372385.75520077</v>
      </c>
      <c r="Q602" s="25">
        <f>O602/((1+'How much will I make'!$C$5/12)^(Calculations!$B$1*12-Calculations!$A602))</f>
        <v>1268.4027490819528</v>
      </c>
      <c r="R602" s="25">
        <f t="shared" si="109"/>
        <v>22001053.866975281</v>
      </c>
      <c r="S602" s="25">
        <f t="shared" si="97"/>
        <v>479.26335730337109</v>
      </c>
      <c r="T602" s="25">
        <f t="shared" si="110"/>
        <v>580360909.39470911</v>
      </c>
      <c r="U602" s="25">
        <f>S602/((1+'How much will I make'!$C$5/12)^(Calculations!$B$1*12-Calculations!$A602))</f>
        <v>782.81425869248994</v>
      </c>
      <c r="V602" s="25">
        <f t="shared" si="111"/>
        <v>105467303.32810995</v>
      </c>
      <c r="W602" s="25">
        <f t="shared" si="98"/>
        <v>296.3667942826392</v>
      </c>
      <c r="X602" s="25">
        <f t="shared" si="112"/>
        <v>3284764844.8985763</v>
      </c>
      <c r="Y602" s="25">
        <f>W602/((1+'How much will I make'!$C$5/12)^(Calculations!$B$1*12-Calculations!$A602))</f>
        <v>484.07654962985009</v>
      </c>
      <c r="Z602" s="25">
        <f t="shared" si="113"/>
        <v>560128494.59213662</v>
      </c>
      <c r="AA602" s="25">
        <f t="shared" si="99"/>
        <v>183.62495234638047</v>
      </c>
      <c r="AB602" s="25">
        <f t="shared" si="114"/>
        <v>19205080912.22699</v>
      </c>
      <c r="AC602" s="25">
        <f>AA602/((1+'How much will I make'!$C$5/12)^(Calculations!$B$1*12-Calculations!$A602))</f>
        <v>299.92743813603573</v>
      </c>
      <c r="AD602" s="25">
        <f t="shared" si="115"/>
        <v>3144575573.9444108</v>
      </c>
      <c r="AE602" s="25">
        <f t="shared" si="100"/>
        <v>113.99186082929715</v>
      </c>
      <c r="AF602" s="25">
        <f t="shared" si="116"/>
        <v>114565043167.80414</v>
      </c>
      <c r="AG602" s="25">
        <f>AE602/((1+'How much will I make'!$C$5/12)^(Calculations!$B$1*12-Calculations!$A602))</f>
        <v>186.19085451087139</v>
      </c>
      <c r="AH602" s="25">
        <f t="shared" si="117"/>
        <v>18238881104.774876</v>
      </c>
    </row>
    <row r="603" spans="1:34" ht="15.75" customHeight="1">
      <c r="A603" s="22">
        <f t="shared" si="101"/>
        <v>599</v>
      </c>
      <c r="B603" s="22">
        <f t="shared" si="124"/>
        <v>5460.6665646446172</v>
      </c>
      <c r="C603" s="25">
        <f t="shared" si="93"/>
        <v>3329.3185920828482</v>
      </c>
      <c r="D603" s="25">
        <f t="shared" si="102"/>
        <v>2088389.2551195805</v>
      </c>
      <c r="E603" s="25">
        <f>$C603/((1+'How much will I make'!$C$5/12)^(Calculations!$B$1*12-Calculations!$A603))</f>
        <v>5460.6665646446172</v>
      </c>
      <c r="F603" s="25">
        <f t="shared" si="103"/>
        <v>1250627.3077257965</v>
      </c>
      <c r="G603" s="25">
        <f t="shared" si="94"/>
        <v>2034.0183694769212</v>
      </c>
      <c r="H603" s="25">
        <f t="shared" si="104"/>
        <v>5678068.8797707334</v>
      </c>
      <c r="I603" s="25">
        <f>G603/((1+'How much will I make'!$C$5/12)^(Calculations!$B$1*12-Calculations!$A603))</f>
        <v>3336.1469606688788</v>
      </c>
      <c r="J603" s="25">
        <f t="shared" si="105"/>
        <v>2081836.1552754103</v>
      </c>
      <c r="K603" s="25">
        <f t="shared" si="95"/>
        <v>1245.1935552706618</v>
      </c>
      <c r="L603" s="25">
        <f t="shared" si="106"/>
        <v>22415994.85128767</v>
      </c>
      <c r="M603" s="25">
        <f>K603/((1+'How much will I make'!$C$5/12)^(Calculations!$B$1*12-Calculations!$A603))</f>
        <v>2042.3358791636658</v>
      </c>
      <c r="N603" s="25">
        <f t="shared" si="107"/>
        <v>5621021.7284455802</v>
      </c>
      <c r="O603" s="25">
        <f t="shared" si="96"/>
        <v>763.82538587922397</v>
      </c>
      <c r="P603" s="25">
        <f t="shared" si="108"/>
        <v>108373149.58058666</v>
      </c>
      <c r="Q603" s="25">
        <f>O603/((1+'How much will I make'!$C$5/12)^(Calculations!$B$1*12-Calculations!$A603))</f>
        <v>1252.8076333145525</v>
      </c>
      <c r="R603" s="25">
        <f t="shared" si="109"/>
        <v>22002306.674608596</v>
      </c>
      <c r="S603" s="25">
        <f t="shared" si="97"/>
        <v>469.48247246044531</v>
      </c>
      <c r="T603" s="25">
        <f t="shared" si="110"/>
        <v>580361378.87718153</v>
      </c>
      <c r="U603" s="25">
        <f>S603/((1+'How much will I make'!$C$5/12)^(Calculations!$B$1*12-Calculations!$A603))</f>
        <v>770.03361773424569</v>
      </c>
      <c r="V603" s="25">
        <f t="shared" si="111"/>
        <v>105468073.36172768</v>
      </c>
      <c r="W603" s="25">
        <f t="shared" si="98"/>
        <v>289.1383358855017</v>
      </c>
      <c r="X603" s="25">
        <f t="shared" si="112"/>
        <v>3284765134.036912</v>
      </c>
      <c r="Y603" s="25">
        <f>W603/((1+'How much will I make'!$C$5/12)^(Calculations!$B$1*12-Calculations!$A603))</f>
        <v>474.23759536908091</v>
      </c>
      <c r="Z603" s="25">
        <f t="shared" si="113"/>
        <v>560128968.82973194</v>
      </c>
      <c r="AA603" s="25">
        <f t="shared" si="99"/>
        <v>178.42100632846686</v>
      </c>
      <c r="AB603" s="25">
        <f t="shared" si="114"/>
        <v>19205081090.647995</v>
      </c>
      <c r="AC603" s="25">
        <f>AA603/((1+'How much will I make'!$C$5/12)^(Calculations!$B$1*12-Calculations!$A603))</f>
        <v>292.64175137969488</v>
      </c>
      <c r="AD603" s="25">
        <f t="shared" si="115"/>
        <v>3144575866.5861621</v>
      </c>
      <c r="AE603" s="25">
        <f t="shared" si="100"/>
        <v>110.31470402835208</v>
      </c>
      <c r="AF603" s="25">
        <f t="shared" si="116"/>
        <v>114565043278.11884</v>
      </c>
      <c r="AG603" s="25">
        <f>AE603/((1+'How much will I make'!$C$5/12)^(Calculations!$B$1*12-Calculations!$A603))</f>
        <v>180.93546748838716</v>
      </c>
      <c r="AH603" s="25">
        <f t="shared" si="117"/>
        <v>18238881285.710342</v>
      </c>
    </row>
    <row r="604" spans="1:34" ht="15.75" customHeight="1">
      <c r="A604" s="22">
        <f t="shared" si="101"/>
        <v>600</v>
      </c>
      <c r="B604" s="22">
        <f t="shared" si="124"/>
        <v>5460.6665646446172</v>
      </c>
      <c r="C604" s="25">
        <f t="shared" si="93"/>
        <v>3315.5039921156999</v>
      </c>
      <c r="D604" s="25">
        <f t="shared" si="102"/>
        <v>2091704.7591116962</v>
      </c>
      <c r="E604" s="25">
        <f>$C604/((1+'How much will I make'!$C$5/12)^(Calculations!$B$1*12-Calculations!$A604))</f>
        <v>5460.6665646446172</v>
      </c>
      <c r="F604" s="25">
        <f t="shared" si="103"/>
        <v>1256087.974290441</v>
      </c>
      <c r="G604" s="25">
        <f t="shared" si="94"/>
        <v>2017.2083003076905</v>
      </c>
      <c r="H604" s="25">
        <f t="shared" si="104"/>
        <v>5680086.0880710408</v>
      </c>
      <c r="I604" s="25">
        <f>G604/((1+'How much will I make'!$C$5/12)^(Calculations!$B$1*12-Calculations!$A604))</f>
        <v>3322.3612294264449</v>
      </c>
      <c r="J604" s="25">
        <f t="shared" si="105"/>
        <v>2085158.5165048367</v>
      </c>
      <c r="K604" s="25">
        <f t="shared" si="95"/>
        <v>1229.8207953290487</v>
      </c>
      <c r="L604" s="25">
        <f t="shared" si="106"/>
        <v>22417224.672082998</v>
      </c>
      <c r="M604" s="25">
        <f>K604/((1+'How much will I make'!$C$5/12)^(Calculations!$B$1*12-Calculations!$A604))</f>
        <v>2025.5265303639644</v>
      </c>
      <c r="N604" s="25">
        <f t="shared" si="107"/>
        <v>5623047.2549759438</v>
      </c>
      <c r="O604" s="25">
        <f t="shared" si="96"/>
        <v>751.30365824185958</v>
      </c>
      <c r="P604" s="25">
        <f t="shared" si="108"/>
        <v>108373900.8842449</v>
      </c>
      <c r="Q604" s="25">
        <f>O604/((1+'How much will I make'!$C$5/12)^(Calculations!$B$1*12-Calculations!$A604))</f>
        <v>1237.4042607737995</v>
      </c>
      <c r="R604" s="25">
        <f t="shared" si="109"/>
        <v>22003544.078869369</v>
      </c>
      <c r="S604" s="25">
        <f t="shared" si="97"/>
        <v>459.90119751227292</v>
      </c>
      <c r="T604" s="25">
        <f t="shared" si="110"/>
        <v>580361838.77837908</v>
      </c>
      <c r="U604" s="25">
        <f>S604/((1+'How much will I make'!$C$5/12)^(Calculations!$B$1*12-Calculations!$A604))</f>
        <v>757.46164030184968</v>
      </c>
      <c r="V604" s="25">
        <f t="shared" si="111"/>
        <v>105468830.82336798</v>
      </c>
      <c r="W604" s="25">
        <f t="shared" si="98"/>
        <v>282.08618135170894</v>
      </c>
      <c r="X604" s="25">
        <f t="shared" si="112"/>
        <v>3284765416.1230931</v>
      </c>
      <c r="Y604" s="25">
        <f>W604/((1+'How much will I make'!$C$5/12)^(Calculations!$B$1*12-Calculations!$A604))</f>
        <v>464.59861985344907</v>
      </c>
      <c r="Z604" s="25">
        <f t="shared" si="113"/>
        <v>560129433.42835176</v>
      </c>
      <c r="AA604" s="25">
        <f t="shared" si="99"/>
        <v>173.3645405620731</v>
      </c>
      <c r="AB604" s="25">
        <f t="shared" si="114"/>
        <v>19205081264.012535</v>
      </c>
      <c r="AC604" s="25">
        <f>AA604/((1+'How much will I make'!$C$5/12)^(Calculations!$B$1*12-Calculations!$A604))</f>
        <v>285.53304486844723</v>
      </c>
      <c r="AD604" s="25">
        <f t="shared" si="115"/>
        <v>3144576152.1192069</v>
      </c>
      <c r="AE604" s="25">
        <f t="shared" si="100"/>
        <v>106.75616518872781</v>
      </c>
      <c r="AF604" s="25">
        <f t="shared" si="116"/>
        <v>114565043384.875</v>
      </c>
      <c r="AG604" s="25">
        <f>AE604/((1+'How much will I make'!$C$5/12)^(Calculations!$B$1*12-Calculations!$A604))</f>
        <v>175.82841800282779</v>
      </c>
      <c r="AH604" s="25">
        <f t="shared" si="117"/>
        <v>18238881461.538761</v>
      </c>
    </row>
    <row r="605" spans="1:34" ht="15.75" customHeight="1">
      <c r="A605" s="22">
        <f t="shared" si="101"/>
        <v>601</v>
      </c>
      <c r="B605" s="22">
        <f>B604*(1+'How much will I make'!$C$4)</f>
        <v>5733.699892876848</v>
      </c>
      <c r="C605" s="25">
        <f t="shared" si="93"/>
        <v>3466.8340498471225</v>
      </c>
      <c r="D605" s="25">
        <f t="shared" si="102"/>
        <v>2095171.5931615434</v>
      </c>
      <c r="E605" s="25">
        <f>$C605/((1+'How much will I make'!$C$5/12)^(Calculations!$B$1*12-Calculations!$A605))</f>
        <v>5733.699892876848</v>
      </c>
      <c r="F605" s="25">
        <f t="shared" si="103"/>
        <v>1261821.6741833179</v>
      </c>
      <c r="G605" s="25">
        <f t="shared" si="94"/>
        <v>2100.5640151964385</v>
      </c>
      <c r="H605" s="25">
        <f t="shared" si="104"/>
        <v>5682186.6520862374</v>
      </c>
      <c r="I605" s="25">
        <f>G605/((1+'How much will I make'!$C$5/12)^(Calculations!$B$1*12-Calculations!$A605))</f>
        <v>3474.0640872163717</v>
      </c>
      <c r="J605" s="25">
        <f t="shared" si="105"/>
        <v>2088632.580592053</v>
      </c>
      <c r="K605" s="25">
        <f t="shared" si="95"/>
        <v>1275.3697136745689</v>
      </c>
      <c r="L605" s="25">
        <f t="shared" si="106"/>
        <v>22418500.041796673</v>
      </c>
      <c r="M605" s="25">
        <f>K605/((1+'How much will I make'!$C$5/12)^(Calculations!$B$1*12-Calculations!$A605))</f>
        <v>2109.2983066197576</v>
      </c>
      <c r="N605" s="25">
        <f t="shared" si="107"/>
        <v>5625156.5532825636</v>
      </c>
      <c r="O605" s="25">
        <f t="shared" si="96"/>
        <v>775.93656506946161</v>
      </c>
      <c r="P605" s="25">
        <f t="shared" si="108"/>
        <v>108374676.82080998</v>
      </c>
      <c r="Q605" s="25">
        <f>O605/((1+'How much will I make'!$C$5/12)^(Calculations!$B$1*12-Calculations!$A605))</f>
        <v>1283.2997876590571</v>
      </c>
      <c r="R605" s="25">
        <f t="shared" si="109"/>
        <v>22004827.378657028</v>
      </c>
      <c r="S605" s="25">
        <f t="shared" si="97"/>
        <v>473.0412317269093</v>
      </c>
      <c r="T605" s="25">
        <f t="shared" si="110"/>
        <v>580362311.81961083</v>
      </c>
      <c r="U605" s="25">
        <f>S605/((1+'How much will I make'!$C$5/12)^(Calculations!$B$1*12-Calculations!$A605))</f>
        <v>782.34966562605314</v>
      </c>
      <c r="V605" s="25">
        <f t="shared" si="111"/>
        <v>105469613.17303361</v>
      </c>
      <c r="W605" s="25">
        <f t="shared" si="98"/>
        <v>288.96633211638476</v>
      </c>
      <c r="X605" s="25">
        <f t="shared" si="112"/>
        <v>3284765705.0894251</v>
      </c>
      <c r="Y605" s="25">
        <f>W605/((1+'How much will I make'!$C$5/12)^(Calculations!$B$1*12-Calculations!$A605))</f>
        <v>477.91333639802951</v>
      </c>
      <c r="Z605" s="25">
        <f t="shared" si="113"/>
        <v>560129911.34168816</v>
      </c>
      <c r="AA605" s="25">
        <f t="shared" si="99"/>
        <v>176.87394421717582</v>
      </c>
      <c r="AB605" s="25">
        <f t="shared" si="114"/>
        <v>19205081440.886478</v>
      </c>
      <c r="AC605" s="25">
        <f>AA605/((1+'How much will I make'!$C$5/12)^(Calculations!$B$1*12-Calculations!$A605))</f>
        <v>292.52687046137885</v>
      </c>
      <c r="AD605" s="25">
        <f t="shared" si="115"/>
        <v>3144576444.6460772</v>
      </c>
      <c r="AE605" s="25">
        <f t="shared" si="100"/>
        <v>108.47803882080403</v>
      </c>
      <c r="AF605" s="25">
        <f t="shared" si="116"/>
        <v>114565043493.35304</v>
      </c>
      <c r="AG605" s="25">
        <f>AE605/((1+'How much will I make'!$C$5/12)^(Calculations!$B$1*12-Calculations!$A605))</f>
        <v>179.40879506296594</v>
      </c>
      <c r="AH605" s="25">
        <f t="shared" si="117"/>
        <v>18238881640.947556</v>
      </c>
    </row>
    <row r="606" spans="1:34" ht="15.75" customHeight="1">
      <c r="A606" s="22">
        <f t="shared" si="101"/>
        <v>602</v>
      </c>
      <c r="B606" s="22">
        <f t="shared" ref="B606:B616" si="125">B605</f>
        <v>5733.699892876848</v>
      </c>
      <c r="C606" s="25">
        <f t="shared" si="93"/>
        <v>3452.4488463207849</v>
      </c>
      <c r="D606" s="25">
        <f t="shared" si="102"/>
        <v>2098624.042007864</v>
      </c>
      <c r="E606" s="25">
        <f>$C606/((1+'How much will I make'!$C$5/12)^(Calculations!$B$1*12-Calculations!$A606))</f>
        <v>5733.699892876848</v>
      </c>
      <c r="F606" s="25">
        <f t="shared" si="103"/>
        <v>1267555.3740761948</v>
      </c>
      <c r="G606" s="25">
        <f t="shared" si="94"/>
        <v>2083.2039820129967</v>
      </c>
      <c r="H606" s="25">
        <f t="shared" si="104"/>
        <v>5684269.8560682507</v>
      </c>
      <c r="I606" s="25">
        <f>G606/((1+'How much will I make'!$C$5/12)^(Calculations!$B$1*12-Calculations!$A606))</f>
        <v>3459.7084504923378</v>
      </c>
      <c r="J606" s="25">
        <f t="shared" si="105"/>
        <v>2092092.2890425452</v>
      </c>
      <c r="K606" s="25">
        <f t="shared" si="95"/>
        <v>1259.6244085674753</v>
      </c>
      <c r="L606" s="25">
        <f t="shared" si="106"/>
        <v>22419759.666205242</v>
      </c>
      <c r="M606" s="25">
        <f>K606/((1+'How much will I make'!$C$5/12)^(Calculations!$B$1*12-Calculations!$A606))</f>
        <v>2091.9378267298835</v>
      </c>
      <c r="N606" s="25">
        <f t="shared" si="107"/>
        <v>5627248.4911092939</v>
      </c>
      <c r="O606" s="25">
        <f t="shared" si="96"/>
        <v>763.21629351094589</v>
      </c>
      <c r="P606" s="25">
        <f t="shared" si="108"/>
        <v>108375440.03710349</v>
      </c>
      <c r="Q606" s="25">
        <f>O606/((1+'How much will I make'!$C$5/12)^(Calculations!$B$1*12-Calculations!$A606))</f>
        <v>1267.5215115812823</v>
      </c>
      <c r="R606" s="25">
        <f t="shared" si="109"/>
        <v>22006094.900168609</v>
      </c>
      <c r="S606" s="25">
        <f t="shared" si="97"/>
        <v>463.38732903860512</v>
      </c>
      <c r="T606" s="25">
        <f t="shared" si="110"/>
        <v>580362775.20693982</v>
      </c>
      <c r="U606" s="25">
        <f>S606/((1+'How much will I make'!$C$5/12)^(Calculations!$B$1*12-Calculations!$A606))</f>
        <v>769.57660986073017</v>
      </c>
      <c r="V606" s="25">
        <f t="shared" si="111"/>
        <v>105470382.74964347</v>
      </c>
      <c r="W606" s="25">
        <f t="shared" si="98"/>
        <v>281.91837279647297</v>
      </c>
      <c r="X606" s="25">
        <f t="shared" si="112"/>
        <v>3284765987.0077977</v>
      </c>
      <c r="Y606" s="25">
        <f>W606/((1+'How much will I make'!$C$5/12)^(Calculations!$B$1*12-Calculations!$A606))</f>
        <v>468.19965069888275</v>
      </c>
      <c r="Z606" s="25">
        <f t="shared" si="113"/>
        <v>560130379.5413388</v>
      </c>
      <c r="AA606" s="25">
        <f t="shared" si="99"/>
        <v>171.86132231628417</v>
      </c>
      <c r="AB606" s="25">
        <f t="shared" si="114"/>
        <v>19205081612.747799</v>
      </c>
      <c r="AC606" s="25">
        <f>AA606/((1+'How much will I make'!$C$5/12)^(Calculations!$B$1*12-Calculations!$A606))</f>
        <v>285.42095457972596</v>
      </c>
      <c r="AD606" s="25">
        <f t="shared" si="115"/>
        <v>3144576730.0670319</v>
      </c>
      <c r="AE606" s="25">
        <f t="shared" si="100"/>
        <v>104.97874724593939</v>
      </c>
      <c r="AF606" s="25">
        <f t="shared" si="116"/>
        <v>114565043598.33179</v>
      </c>
      <c r="AG606" s="25">
        <f>AE606/((1+'How much will I make'!$C$5/12)^(Calculations!$B$1*12-Calculations!$A606))</f>
        <v>174.34483713780162</v>
      </c>
      <c r="AH606" s="25">
        <f t="shared" si="117"/>
        <v>18238881815.292393</v>
      </c>
    </row>
    <row r="607" spans="1:34" ht="15.75" customHeight="1">
      <c r="A607" s="22">
        <f t="shared" si="101"/>
        <v>603</v>
      </c>
      <c r="B607" s="22">
        <f t="shared" si="125"/>
        <v>5733.699892876848</v>
      </c>
      <c r="C607" s="25">
        <f t="shared" si="93"/>
        <v>3438.1233324356367</v>
      </c>
      <c r="D607" s="25">
        <f t="shared" si="102"/>
        <v>2102062.1653402997</v>
      </c>
      <c r="E607" s="25">
        <f>$C607/((1+'How much will I make'!$C$5/12)^(Calculations!$B$1*12-Calculations!$A607))</f>
        <v>5733.699892876848</v>
      </c>
      <c r="F607" s="25">
        <f t="shared" si="103"/>
        <v>1273289.0739690717</v>
      </c>
      <c r="G607" s="25">
        <f t="shared" si="94"/>
        <v>2065.9874201781786</v>
      </c>
      <c r="H607" s="25">
        <f t="shared" si="104"/>
        <v>5686335.8434884287</v>
      </c>
      <c r="I607" s="25">
        <f>G607/((1+'How much will I make'!$C$5/12)^(Calculations!$B$1*12-Calculations!$A607))</f>
        <v>3445.4121345812123</v>
      </c>
      <c r="J607" s="25">
        <f t="shared" si="105"/>
        <v>2095537.7011771265</v>
      </c>
      <c r="K607" s="25">
        <f t="shared" si="95"/>
        <v>1244.0734899431857</v>
      </c>
      <c r="L607" s="25">
        <f t="shared" si="106"/>
        <v>22421003.739695184</v>
      </c>
      <c r="M607" s="25">
        <f>K607/((1+'How much will I make'!$C$5/12)^(Calculations!$B$1*12-Calculations!$A607))</f>
        <v>2074.720231448156</v>
      </c>
      <c r="N607" s="25">
        <f t="shared" si="107"/>
        <v>5629323.2113407422</v>
      </c>
      <c r="O607" s="25">
        <f t="shared" si="96"/>
        <v>750.70455099437322</v>
      </c>
      <c r="P607" s="25">
        <f t="shared" si="108"/>
        <v>108376190.74165449</v>
      </c>
      <c r="Q607" s="25">
        <f>O607/((1+'How much will I make'!$C$5/12)^(Calculations!$B$1*12-Calculations!$A607))</f>
        <v>1251.9372307011847</v>
      </c>
      <c r="R607" s="25">
        <f t="shared" si="109"/>
        <v>22007346.837399311</v>
      </c>
      <c r="S607" s="25">
        <f t="shared" si="97"/>
        <v>453.93044477251124</v>
      </c>
      <c r="T607" s="25">
        <f t="shared" si="110"/>
        <v>580363229.13738453</v>
      </c>
      <c r="U607" s="25">
        <f>S607/((1+'How much will I make'!$C$5/12)^(Calculations!$B$1*12-Calculations!$A607))</f>
        <v>757.0120937813715</v>
      </c>
      <c r="V607" s="25">
        <f t="shared" si="111"/>
        <v>105471139.76173726</v>
      </c>
      <c r="W607" s="25">
        <f t="shared" si="98"/>
        <v>275.04231492338835</v>
      </c>
      <c r="X607" s="25">
        <f t="shared" si="112"/>
        <v>3284766262.0501127</v>
      </c>
      <c r="Y607" s="25">
        <f>W607/((1+'How much will I make'!$C$5/12)^(Calculations!$B$1*12-Calculations!$A607))</f>
        <v>458.68339763589745</v>
      </c>
      <c r="Z607" s="25">
        <f t="shared" si="113"/>
        <v>560130838.22473645</v>
      </c>
      <c r="AA607" s="25">
        <f t="shared" si="99"/>
        <v>166.99075852594419</v>
      </c>
      <c r="AB607" s="25">
        <f t="shared" si="114"/>
        <v>19205081779.738556</v>
      </c>
      <c r="AC607" s="25">
        <f>AA607/((1+'How much will I make'!$C$5/12)^(Calculations!$B$1*12-Calculations!$A607))</f>
        <v>278.48765203932783</v>
      </c>
      <c r="AD607" s="25">
        <f t="shared" si="115"/>
        <v>3144577008.5546837</v>
      </c>
      <c r="AE607" s="25">
        <f t="shared" si="100"/>
        <v>101.59233604445747</v>
      </c>
      <c r="AF607" s="25">
        <f t="shared" si="116"/>
        <v>114565043699.92412</v>
      </c>
      <c r="AG607" s="25">
        <f>AE607/((1+'How much will I make'!$C$5/12)^(Calculations!$B$1*12-Calculations!$A607))</f>
        <v>169.42381350891205</v>
      </c>
      <c r="AH607" s="25">
        <f t="shared" si="117"/>
        <v>18238881984.716206</v>
      </c>
    </row>
    <row r="608" spans="1:34" ht="15.75" customHeight="1">
      <c r="A608" s="22">
        <f t="shared" si="101"/>
        <v>604</v>
      </c>
      <c r="B608" s="22">
        <f t="shared" si="125"/>
        <v>5733.699892876848</v>
      </c>
      <c r="C608" s="25">
        <f t="shared" si="93"/>
        <v>3423.8572605168165</v>
      </c>
      <c r="D608" s="25">
        <f t="shared" si="102"/>
        <v>2105486.0226008166</v>
      </c>
      <c r="E608" s="25">
        <f>$C608/((1+'How much will I make'!$C$5/12)^(Calculations!$B$1*12-Calculations!$A608))</f>
        <v>5733.699892876848</v>
      </c>
      <c r="F608" s="25">
        <f t="shared" si="103"/>
        <v>1279022.7738619486</v>
      </c>
      <c r="G608" s="25">
        <f t="shared" si="94"/>
        <v>2048.9131439783587</v>
      </c>
      <c r="H608" s="25">
        <f t="shared" si="104"/>
        <v>5688384.7566324072</v>
      </c>
      <c r="I608" s="25">
        <f>G608/((1+'How much will I make'!$C$5/12)^(Calculations!$B$1*12-Calculations!$A608))</f>
        <v>3431.1748943556699</v>
      </c>
      <c r="J608" s="25">
        <f t="shared" si="105"/>
        <v>2098968.876071482</v>
      </c>
      <c r="K608" s="25">
        <f t="shared" si="95"/>
        <v>1228.7145579685787</v>
      </c>
      <c r="L608" s="25">
        <f t="shared" si="106"/>
        <v>22422232.454253152</v>
      </c>
      <c r="M608" s="25">
        <f>K608/((1+'How much will I make'!$C$5/12)^(Calculations!$B$1*12-Calculations!$A608))</f>
        <v>2057.644344769571</v>
      </c>
      <c r="N608" s="25">
        <f t="shared" si="107"/>
        <v>5631380.8556855116</v>
      </c>
      <c r="O608" s="25">
        <f t="shared" si="96"/>
        <v>738.3979190108588</v>
      </c>
      <c r="P608" s="25">
        <f t="shared" si="108"/>
        <v>108376929.1395735</v>
      </c>
      <c r="Q608" s="25">
        <f>O608/((1+'How much will I make'!$C$5/12)^(Calculations!$B$1*12-Calculations!$A608))</f>
        <v>1236.5445598319077</v>
      </c>
      <c r="R608" s="25">
        <f t="shared" si="109"/>
        <v>22008583.381959144</v>
      </c>
      <c r="S608" s="25">
        <f t="shared" si="97"/>
        <v>444.66655814450081</v>
      </c>
      <c r="T608" s="25">
        <f t="shared" si="110"/>
        <v>580363673.80394268</v>
      </c>
      <c r="U608" s="25">
        <f>S608/((1+'How much will I make'!$C$5/12)^(Calculations!$B$1*12-Calculations!$A608))</f>
        <v>744.65271265841034</v>
      </c>
      <c r="V608" s="25">
        <f t="shared" si="111"/>
        <v>105471884.41444992</v>
      </c>
      <c r="W608" s="25">
        <f t="shared" si="98"/>
        <v>268.33396577891546</v>
      </c>
      <c r="X608" s="25">
        <f t="shared" si="112"/>
        <v>3284766530.3840785</v>
      </c>
      <c r="Y608" s="25">
        <f>W608/((1+'How much will I make'!$C$5/12)^(Calculations!$B$1*12-Calculations!$A608))</f>
        <v>449.36056435061499</v>
      </c>
      <c r="Z608" s="25">
        <f t="shared" si="113"/>
        <v>560131287.5853008</v>
      </c>
      <c r="AA608" s="25">
        <f t="shared" si="99"/>
        <v>162.25822690780004</v>
      </c>
      <c r="AB608" s="25">
        <f t="shared" si="114"/>
        <v>19205081941.996784</v>
      </c>
      <c r="AC608" s="25">
        <f>AA608/((1+'How much will I make'!$C$5/12)^(Calculations!$B$1*12-Calculations!$A608))</f>
        <v>271.72276980355468</v>
      </c>
      <c r="AD608" s="25">
        <f t="shared" si="115"/>
        <v>3144577280.2774534</v>
      </c>
      <c r="AE608" s="25">
        <f t="shared" si="100"/>
        <v>98.315163913991057</v>
      </c>
      <c r="AF608" s="25">
        <f t="shared" si="116"/>
        <v>114565043798.23929</v>
      </c>
      <c r="AG608" s="25">
        <f>AE608/((1+'How much will I make'!$C$5/12)^(Calculations!$B$1*12-Calculations!$A608))</f>
        <v>164.64168974051526</v>
      </c>
      <c r="AH608" s="25">
        <f t="shared" si="117"/>
        <v>18238882149.357895</v>
      </c>
    </row>
    <row r="609" spans="1:34" ht="15.75" customHeight="1">
      <c r="A609" s="22">
        <f t="shared" si="101"/>
        <v>605</v>
      </c>
      <c r="B609" s="22">
        <f t="shared" si="125"/>
        <v>5733.699892876848</v>
      </c>
      <c r="C609" s="25">
        <f t="shared" si="93"/>
        <v>3409.6503839171619</v>
      </c>
      <c r="D609" s="25">
        <f t="shared" si="102"/>
        <v>2108895.6729847337</v>
      </c>
      <c r="E609" s="25">
        <f>$C609/((1+'How much will I make'!$C$5/12)^(Calculations!$B$1*12-Calculations!$A609))</f>
        <v>5733.699892876848</v>
      </c>
      <c r="F609" s="25">
        <f t="shared" si="103"/>
        <v>1284756.4737548255</v>
      </c>
      <c r="G609" s="25">
        <f t="shared" si="94"/>
        <v>2031.9799774991993</v>
      </c>
      <c r="H609" s="25">
        <f t="shared" si="104"/>
        <v>5690416.736609906</v>
      </c>
      <c r="I609" s="25">
        <f>G609/((1+'How much will I make'!$C$5/12)^(Calculations!$B$1*12-Calculations!$A609))</f>
        <v>3416.9964857013083</v>
      </c>
      <c r="J609" s="25">
        <f t="shared" si="105"/>
        <v>2102385.8725571833</v>
      </c>
      <c r="K609" s="25">
        <f t="shared" si="95"/>
        <v>1213.5452424381024</v>
      </c>
      <c r="L609" s="25">
        <f t="shared" si="106"/>
        <v>22423445.999495592</v>
      </c>
      <c r="M609" s="25">
        <f>K609/((1+'How much will I make'!$C$5/12)^(Calculations!$B$1*12-Calculations!$A609))</f>
        <v>2040.7090003681751</v>
      </c>
      <c r="N609" s="25">
        <f t="shared" si="107"/>
        <v>5633421.5646858802</v>
      </c>
      <c r="O609" s="25">
        <f t="shared" si="96"/>
        <v>726.29303509264787</v>
      </c>
      <c r="P609" s="25">
        <f t="shared" si="108"/>
        <v>108377655.43260859</v>
      </c>
      <c r="Q609" s="25">
        <f>O609/((1+'How much will I make'!$C$5/12)^(Calculations!$B$1*12-Calculations!$A609))</f>
        <v>1221.3411431126628</v>
      </c>
      <c r="R609" s="25">
        <f t="shared" si="109"/>
        <v>22009804.723102257</v>
      </c>
      <c r="S609" s="25">
        <f t="shared" si="97"/>
        <v>435.5917304272661</v>
      </c>
      <c r="T609" s="25">
        <f t="shared" si="110"/>
        <v>580364109.39567316</v>
      </c>
      <c r="U609" s="25">
        <f>S609/((1+'How much will I make'!$C$5/12)^(Calculations!$B$1*12-Calculations!$A609))</f>
        <v>732.49511734970156</v>
      </c>
      <c r="V609" s="25">
        <f t="shared" si="111"/>
        <v>105472616.90956727</v>
      </c>
      <c r="W609" s="25">
        <f t="shared" si="98"/>
        <v>261.78923490625891</v>
      </c>
      <c r="X609" s="25">
        <f t="shared" si="112"/>
        <v>3284766792.1733136</v>
      </c>
      <c r="Y609" s="25">
        <f>W609/((1+'How much will I make'!$C$5/12)^(Calculations!$B$1*12-Calculations!$A609))</f>
        <v>440.22721954674057</v>
      </c>
      <c r="Z609" s="25">
        <f t="shared" si="113"/>
        <v>560131727.81252038</v>
      </c>
      <c r="AA609" s="25">
        <f t="shared" si="99"/>
        <v>157.65981561891505</v>
      </c>
      <c r="AB609" s="25">
        <f t="shared" si="114"/>
        <v>19205082099.656601</v>
      </c>
      <c r="AC609" s="25">
        <f>AA609/((1+'How much will I make'!$C$5/12)^(Calculations!$B$1*12-Calculations!$A609))</f>
        <v>265.12221669091781</v>
      </c>
      <c r="AD609" s="25">
        <f t="shared" si="115"/>
        <v>3144577545.3996701</v>
      </c>
      <c r="AE609" s="25">
        <f t="shared" si="100"/>
        <v>95.143707013539739</v>
      </c>
      <c r="AF609" s="25">
        <f t="shared" si="116"/>
        <v>114565043893.383</v>
      </c>
      <c r="AG609" s="25">
        <f>AE609/((1+'How much will I make'!$C$5/12)^(Calculations!$B$1*12-Calculations!$A609))</f>
        <v>159.99454527203298</v>
      </c>
      <c r="AH609" s="25">
        <f t="shared" si="117"/>
        <v>18238882309.35244</v>
      </c>
    </row>
    <row r="610" spans="1:34" ht="15.75" customHeight="1">
      <c r="A610" s="22">
        <f t="shared" si="101"/>
        <v>606</v>
      </c>
      <c r="B610" s="22">
        <f t="shared" si="125"/>
        <v>5733.699892876848</v>
      </c>
      <c r="C610" s="25">
        <f t="shared" si="93"/>
        <v>3395.5024570129422</v>
      </c>
      <c r="D610" s="25">
        <f t="shared" si="102"/>
        <v>2112291.1754417466</v>
      </c>
      <c r="E610" s="25">
        <f>$C610/((1+'How much will I make'!$C$5/12)^(Calculations!$B$1*12-Calculations!$A610))</f>
        <v>5733.699892876848</v>
      </c>
      <c r="F610" s="25">
        <f t="shared" si="103"/>
        <v>1290490.1736477024</v>
      </c>
      <c r="G610" s="25">
        <f t="shared" si="94"/>
        <v>2015.1867545446601</v>
      </c>
      <c r="H610" s="25">
        <f t="shared" si="104"/>
        <v>5692431.9233644502</v>
      </c>
      <c r="I610" s="25">
        <f>G610/((1+'How much will I make'!$C$5/12)^(Calculations!$B$1*12-Calculations!$A610))</f>
        <v>3402.8766655124582</v>
      </c>
      <c r="J610" s="25">
        <f t="shared" si="105"/>
        <v>2105788.7492226958</v>
      </c>
      <c r="K610" s="25">
        <f t="shared" si="95"/>
        <v>1198.5632024080021</v>
      </c>
      <c r="L610" s="25">
        <f t="shared" si="106"/>
        <v>22424644.562697999</v>
      </c>
      <c r="M610" s="25">
        <f>K610/((1+'How much will I make'!$C$5/12)^(Calculations!$B$1*12-Calculations!$A610))</f>
        <v>2023.9130415174072</v>
      </c>
      <c r="N610" s="25">
        <f t="shared" si="107"/>
        <v>5635445.4777273973</v>
      </c>
      <c r="O610" s="25">
        <f t="shared" si="96"/>
        <v>714.38659189440773</v>
      </c>
      <c r="P610" s="25">
        <f t="shared" si="108"/>
        <v>108378369.81920049</v>
      </c>
      <c r="Q610" s="25">
        <f>O610/((1+'How much will I make'!$C$5/12)^(Calculations!$B$1*12-Calculations!$A610))</f>
        <v>1206.3246536481624</v>
      </c>
      <c r="R610" s="25">
        <f t="shared" si="109"/>
        <v>22011011.047755904</v>
      </c>
      <c r="S610" s="25">
        <f t="shared" si="97"/>
        <v>426.7021032756893</v>
      </c>
      <c r="T610" s="25">
        <f t="shared" si="110"/>
        <v>580364536.09777641</v>
      </c>
      <c r="U610" s="25">
        <f>S610/((1+'How much will I make'!$C$5/12)^(Calculations!$B$1*12-Calculations!$A610))</f>
        <v>720.53601339297165</v>
      </c>
      <c r="V610" s="25">
        <f t="shared" si="111"/>
        <v>105473337.44558066</v>
      </c>
      <c r="W610" s="25">
        <f t="shared" si="98"/>
        <v>255.40413161586241</v>
      </c>
      <c r="X610" s="25">
        <f t="shared" si="112"/>
        <v>3284767047.577445</v>
      </c>
      <c r="Y610" s="25">
        <f>W610/((1+'How much will I make'!$C$5/12)^(Calculations!$B$1*12-Calculations!$A610))</f>
        <v>431.27951183237593</v>
      </c>
      <c r="Z610" s="25">
        <f t="shared" si="113"/>
        <v>560132159.09203219</v>
      </c>
      <c r="AA610" s="25">
        <f t="shared" si="99"/>
        <v>153.19172367829802</v>
      </c>
      <c r="AB610" s="25">
        <f t="shared" si="114"/>
        <v>19205082252.848324</v>
      </c>
      <c r="AC610" s="25">
        <f>AA610/((1+'How much will I make'!$C$5/12)^(Calculations!$B$1*12-Calculations!$A610))</f>
        <v>258.68200090085492</v>
      </c>
      <c r="AD610" s="25">
        <f t="shared" si="115"/>
        <v>3144577804.0816712</v>
      </c>
      <c r="AE610" s="25">
        <f t="shared" si="100"/>
        <v>92.074555174393311</v>
      </c>
      <c r="AF610" s="25">
        <f t="shared" si="116"/>
        <v>114565043985.45755</v>
      </c>
      <c r="AG610" s="25">
        <f>AE610/((1+'How much will I make'!$C$5/12)^(Calculations!$B$1*12-Calculations!$A610))</f>
        <v>155.47857020387076</v>
      </c>
      <c r="AH610" s="25">
        <f t="shared" si="117"/>
        <v>18238882464.831009</v>
      </c>
    </row>
    <row r="611" spans="1:34" ht="15.75" customHeight="1">
      <c r="A611" s="22">
        <f t="shared" si="101"/>
        <v>607</v>
      </c>
      <c r="B611" s="22">
        <f t="shared" si="125"/>
        <v>5733.699892876848</v>
      </c>
      <c r="C611" s="25">
        <f t="shared" si="93"/>
        <v>3381.4132351996082</v>
      </c>
      <c r="D611" s="25">
        <f t="shared" si="102"/>
        <v>2115672.5886769462</v>
      </c>
      <c r="E611" s="25">
        <f>$C611/((1+'How much will I make'!$C$5/12)^(Calculations!$B$1*12-Calculations!$A611))</f>
        <v>5733.699892876848</v>
      </c>
      <c r="F611" s="25">
        <f t="shared" si="103"/>
        <v>1296223.8735405793</v>
      </c>
      <c r="G611" s="25">
        <f t="shared" si="94"/>
        <v>1998.5323185566879</v>
      </c>
      <c r="H611" s="25">
        <f t="shared" si="104"/>
        <v>5694430.4556830069</v>
      </c>
      <c r="I611" s="25">
        <f>G611/((1+'How much will I make'!$C$5/12)^(Calculations!$B$1*12-Calculations!$A611))</f>
        <v>3388.8151916880297</v>
      </c>
      <c r="J611" s="25">
        <f t="shared" si="105"/>
        <v>2109177.5644143838</v>
      </c>
      <c r="K611" s="25">
        <f t="shared" si="95"/>
        <v>1183.7661258350638</v>
      </c>
      <c r="L611" s="25">
        <f t="shared" si="106"/>
        <v>22425828.328823835</v>
      </c>
      <c r="M611" s="25">
        <f>K611/((1+'How much will I make'!$C$5/12)^(Calculations!$B$1*12-Calculations!$A611))</f>
        <v>2007.2553210110927</v>
      </c>
      <c r="N611" s="25">
        <f t="shared" si="107"/>
        <v>5637452.7330484083</v>
      </c>
      <c r="O611" s="25">
        <f t="shared" si="96"/>
        <v>702.67533628958176</v>
      </c>
      <c r="P611" s="25">
        <f t="shared" si="108"/>
        <v>108379072.49453677</v>
      </c>
      <c r="Q611" s="25">
        <f>O611/((1+'How much will I make'!$C$5/12)^(Calculations!$B$1*12-Calculations!$A611))</f>
        <v>1191.4927931524899</v>
      </c>
      <c r="R611" s="25">
        <f t="shared" si="109"/>
        <v>22012202.540549058</v>
      </c>
      <c r="S611" s="25">
        <f t="shared" si="97"/>
        <v>417.99389708638967</v>
      </c>
      <c r="T611" s="25">
        <f t="shared" si="110"/>
        <v>580364954.09167349</v>
      </c>
      <c r="U611" s="25">
        <f>S611/((1+'How much will I make'!$C$5/12)^(Calculations!$B$1*12-Calculations!$A611))</f>
        <v>708.77216011308712</v>
      </c>
      <c r="V611" s="25">
        <f t="shared" si="111"/>
        <v>105474046.21774077</v>
      </c>
      <c r="W611" s="25">
        <f t="shared" si="98"/>
        <v>249.17476255206086</v>
      </c>
      <c r="X611" s="25">
        <f t="shared" si="112"/>
        <v>3284767296.7522078</v>
      </c>
      <c r="Y611" s="25">
        <f>W611/((1+'How much will I make'!$C$5/12)^(Calculations!$B$1*12-Calculations!$A611))</f>
        <v>422.51366809594577</v>
      </c>
      <c r="Z611" s="25">
        <f t="shared" si="113"/>
        <v>560132581.60570025</v>
      </c>
      <c r="AA611" s="25">
        <f t="shared" si="99"/>
        <v>148.85025782506693</v>
      </c>
      <c r="AB611" s="25">
        <f t="shared" si="114"/>
        <v>19205082401.698582</v>
      </c>
      <c r="AC611" s="25">
        <f>AA611/((1+'How much will I make'!$C$5/12)^(Calculations!$B$1*12-Calculations!$A611))</f>
        <v>252.39822759961984</v>
      </c>
      <c r="AD611" s="25">
        <f t="shared" si="115"/>
        <v>3144578056.4798989</v>
      </c>
      <c r="AE611" s="25">
        <f t="shared" si="100"/>
        <v>89.104408233283834</v>
      </c>
      <c r="AF611" s="25">
        <f t="shared" si="116"/>
        <v>114565044074.56195</v>
      </c>
      <c r="AG611" s="25">
        <f>AE611/((1+'How much will I make'!$C$5/12)^(Calculations!$B$1*12-Calculations!$A611))</f>
        <v>151.09006217392286</v>
      </c>
      <c r="AH611" s="25">
        <f t="shared" si="117"/>
        <v>18238882615.92107</v>
      </c>
    </row>
    <row r="612" spans="1:34" ht="15.75" customHeight="1">
      <c r="A612" s="22">
        <f t="shared" si="101"/>
        <v>608</v>
      </c>
      <c r="B612" s="22">
        <f t="shared" si="125"/>
        <v>5733.699892876848</v>
      </c>
      <c r="C612" s="25">
        <f t="shared" si="93"/>
        <v>3367.3824748875777</v>
      </c>
      <c r="D612" s="25">
        <f t="shared" si="102"/>
        <v>2119039.9711518339</v>
      </c>
      <c r="E612" s="25">
        <f>$C612/((1+'How much will I make'!$C$5/12)^(Calculations!$B$1*12-Calculations!$A612))</f>
        <v>5733.699892876848</v>
      </c>
      <c r="F612" s="25">
        <f t="shared" si="103"/>
        <v>1301957.5734334562</v>
      </c>
      <c r="G612" s="25">
        <f t="shared" si="94"/>
        <v>1982.0155225355584</v>
      </c>
      <c r="H612" s="25">
        <f t="shared" si="104"/>
        <v>5696412.4712055428</v>
      </c>
      <c r="I612" s="25">
        <f>G612/((1+'How much will I make'!$C$5/12)^(Calculations!$B$1*12-Calculations!$A612))</f>
        <v>3374.8118231273343</v>
      </c>
      <c r="J612" s="25">
        <f t="shared" si="105"/>
        <v>2112552.3762375112</v>
      </c>
      <c r="K612" s="25">
        <f t="shared" si="95"/>
        <v>1169.1517292198162</v>
      </c>
      <c r="L612" s="25">
        <f t="shared" si="106"/>
        <v>22426997.480553053</v>
      </c>
      <c r="M612" s="25">
        <f>K612/((1+'How much will I make'!$C$5/12)^(Calculations!$B$1*12-Calculations!$A612))</f>
        <v>1990.7347010850747</v>
      </c>
      <c r="N612" s="25">
        <f t="shared" si="107"/>
        <v>5639443.4677494932</v>
      </c>
      <c r="O612" s="25">
        <f t="shared" si="96"/>
        <v>691.15606848155574</v>
      </c>
      <c r="P612" s="25">
        <f t="shared" si="108"/>
        <v>108379763.65060526</v>
      </c>
      <c r="Q612" s="25">
        <f>O612/((1+'How much will I make'!$C$5/12)^(Calculations!$B$1*12-Calculations!$A612))</f>
        <v>1176.8432915973356</v>
      </c>
      <c r="R612" s="25">
        <f t="shared" si="109"/>
        <v>22013379.383840654</v>
      </c>
      <c r="S612" s="25">
        <f t="shared" si="97"/>
        <v>409.46340939074906</v>
      </c>
      <c r="T612" s="25">
        <f t="shared" si="110"/>
        <v>580365363.55508292</v>
      </c>
      <c r="U612" s="25">
        <f>S612/((1+'How much will I make'!$C$5/12)^(Calculations!$B$1*12-Calculations!$A612))</f>
        <v>697.20036974389359</v>
      </c>
      <c r="V612" s="25">
        <f t="shared" si="111"/>
        <v>105474743.41811052</v>
      </c>
      <c r="W612" s="25">
        <f t="shared" si="98"/>
        <v>243.09732931908383</v>
      </c>
      <c r="X612" s="25">
        <f t="shared" si="112"/>
        <v>3284767539.8495369</v>
      </c>
      <c r="Y612" s="25">
        <f>W612/((1+'How much will I make'!$C$5/12)^(Calculations!$B$1*12-Calculations!$A612))</f>
        <v>413.92599191513381</v>
      </c>
      <c r="Z612" s="25">
        <f t="shared" si="113"/>
        <v>560132995.53169215</v>
      </c>
      <c r="AA612" s="25">
        <f t="shared" si="99"/>
        <v>144.63182946565212</v>
      </c>
      <c r="AB612" s="25">
        <f t="shared" si="114"/>
        <v>19205082546.33041</v>
      </c>
      <c r="AC612" s="25">
        <f>AA612/((1+'How much will I make'!$C$5/12)^(Calculations!$B$1*12-Calculations!$A612))</f>
        <v>246.2670965648112</v>
      </c>
      <c r="AD612" s="25">
        <f t="shared" si="115"/>
        <v>3144578302.7469954</v>
      </c>
      <c r="AE612" s="25">
        <f t="shared" si="100"/>
        <v>86.230072483823051</v>
      </c>
      <c r="AF612" s="25">
        <f t="shared" si="116"/>
        <v>114565044160.79202</v>
      </c>
      <c r="AG612" s="25">
        <f>AE612/((1+'How much will I make'!$C$5/12)^(Calculations!$B$1*12-Calculations!$A612))</f>
        <v>146.82542332223949</v>
      </c>
      <c r="AH612" s="25">
        <f t="shared" si="117"/>
        <v>18238882762.746494</v>
      </c>
    </row>
    <row r="613" spans="1:34" ht="15.75" customHeight="1">
      <c r="A613" s="22">
        <f t="shared" si="101"/>
        <v>609</v>
      </c>
      <c r="B613" s="22">
        <f t="shared" si="125"/>
        <v>5733.699892876848</v>
      </c>
      <c r="C613" s="25">
        <f t="shared" si="93"/>
        <v>3353.4099334980028</v>
      </c>
      <c r="D613" s="25">
        <f t="shared" si="102"/>
        <v>2122393.381085332</v>
      </c>
      <c r="E613" s="25">
        <f>$C613/((1+'How much will I make'!$C$5/12)^(Calculations!$B$1*12-Calculations!$A613))</f>
        <v>5733.699892876848</v>
      </c>
      <c r="F613" s="25">
        <f t="shared" si="103"/>
        <v>1307691.2733263331</v>
      </c>
      <c r="G613" s="25">
        <f t="shared" si="94"/>
        <v>1965.6352289608847</v>
      </c>
      <c r="H613" s="25">
        <f t="shared" si="104"/>
        <v>5698378.1064345036</v>
      </c>
      <c r="I613" s="25">
        <f>G613/((1+'How much will I make'!$C$5/12)^(Calculations!$B$1*12-Calculations!$A613))</f>
        <v>3360.8663197259821</v>
      </c>
      <c r="J613" s="25">
        <f t="shared" si="105"/>
        <v>2115913.2425572369</v>
      </c>
      <c r="K613" s="25">
        <f t="shared" si="95"/>
        <v>1154.7177572541395</v>
      </c>
      <c r="L613" s="25">
        <f t="shared" si="106"/>
        <v>22428152.198310308</v>
      </c>
      <c r="M613" s="25">
        <f>K613/((1+'How much will I make'!$C$5/12)^(Calculations!$B$1*12-Calculations!$A613))</f>
        <v>1974.3500533395188</v>
      </c>
      <c r="N613" s="25">
        <f t="shared" si="107"/>
        <v>5641417.8178028325</v>
      </c>
      <c r="O613" s="25">
        <f t="shared" si="96"/>
        <v>679.82564112939917</v>
      </c>
      <c r="P613" s="25">
        <f t="shared" si="108"/>
        <v>108380443.47624639</v>
      </c>
      <c r="Q613" s="25">
        <f>O613/((1+'How much will I make'!$C$5/12)^(Calculations!$B$1*12-Calculations!$A613))</f>
        <v>1162.3739068645816</v>
      </c>
      <c r="R613" s="25">
        <f t="shared" si="109"/>
        <v>22014541.75774752</v>
      </c>
      <c r="S613" s="25">
        <f t="shared" si="97"/>
        <v>401.10701328073378</v>
      </c>
      <c r="T613" s="25">
        <f t="shared" si="110"/>
        <v>580365764.66209614</v>
      </c>
      <c r="U613" s="25">
        <f>S613/((1+'How much will I make'!$C$5/12)^(Calculations!$B$1*12-Calculations!$A613))</f>
        <v>685.81750656440147</v>
      </c>
      <c r="V613" s="25">
        <f t="shared" si="111"/>
        <v>105475429.23561709</v>
      </c>
      <c r="W613" s="25">
        <f t="shared" si="98"/>
        <v>237.16812616495983</v>
      </c>
      <c r="X613" s="25">
        <f t="shared" si="112"/>
        <v>3284767777.017663</v>
      </c>
      <c r="Y613" s="25">
        <f>W613/((1+'How much will I make'!$C$5/12)^(Calculations!$B$1*12-Calculations!$A613))</f>
        <v>405.51286199815951</v>
      </c>
      <c r="Z613" s="25">
        <f t="shared" si="113"/>
        <v>560133401.04455411</v>
      </c>
      <c r="AA613" s="25">
        <f t="shared" si="99"/>
        <v>140.53295170751625</v>
      </c>
      <c r="AB613" s="25">
        <f t="shared" si="114"/>
        <v>19205082686.863361</v>
      </c>
      <c r="AC613" s="25">
        <f>AA613/((1+'How much will I make'!$C$5/12)^(Calculations!$B$1*12-Calculations!$A613))</f>
        <v>240.28489988712352</v>
      </c>
      <c r="AD613" s="25">
        <f t="shared" si="115"/>
        <v>3144578543.0318952</v>
      </c>
      <c r="AE613" s="25">
        <f t="shared" si="100"/>
        <v>83.44845724240939</v>
      </c>
      <c r="AF613" s="25">
        <f t="shared" si="116"/>
        <v>114565044244.24048</v>
      </c>
      <c r="AG613" s="25">
        <f>AE613/((1+'How much will I make'!$C$5/12)^(Calculations!$B$1*12-Calculations!$A613))</f>
        <v>142.68115734136978</v>
      </c>
      <c r="AH613" s="25">
        <f t="shared" si="117"/>
        <v>18238882905.42765</v>
      </c>
    </row>
    <row r="614" spans="1:34" ht="15.75" customHeight="1">
      <c r="A614" s="22">
        <f t="shared" si="101"/>
        <v>610</v>
      </c>
      <c r="B614" s="22">
        <f t="shared" si="125"/>
        <v>5733.699892876848</v>
      </c>
      <c r="C614" s="25">
        <f t="shared" si="93"/>
        <v>3339.495369458592</v>
      </c>
      <c r="D614" s="25">
        <f t="shared" si="102"/>
        <v>2125732.8764547906</v>
      </c>
      <c r="E614" s="25">
        <f>$C614/((1+'How much will I make'!$C$5/12)^(Calculations!$B$1*12-Calculations!$A614))</f>
        <v>5733.699892876848</v>
      </c>
      <c r="F614" s="25">
        <f t="shared" si="103"/>
        <v>1313424.97321921</v>
      </c>
      <c r="G614" s="25">
        <f t="shared" si="94"/>
        <v>1949.3903097132736</v>
      </c>
      <c r="H614" s="25">
        <f t="shared" si="104"/>
        <v>5700327.4967442164</v>
      </c>
      <c r="I614" s="25">
        <f>G614/((1+'How much will I make'!$C$5/12)^(Calculations!$B$1*12-Calculations!$A614))</f>
        <v>3346.9784423717419</v>
      </c>
      <c r="J614" s="25">
        <f t="shared" si="105"/>
        <v>2119260.2209996087</v>
      </c>
      <c r="K614" s="25">
        <f t="shared" si="95"/>
        <v>1140.461982473224</v>
      </c>
      <c r="L614" s="25">
        <f t="shared" si="106"/>
        <v>22429292.660292782</v>
      </c>
      <c r="M614" s="25">
        <f>K614/((1+'How much will I make'!$C$5/12)^(Calculations!$B$1*12-Calculations!$A614))</f>
        <v>1958.100258661827</v>
      </c>
      <c r="N614" s="25">
        <f t="shared" si="107"/>
        <v>5643375.9180614939</v>
      </c>
      <c r="O614" s="25">
        <f t="shared" si="96"/>
        <v>668.68095848793359</v>
      </c>
      <c r="P614" s="25">
        <f t="shared" si="108"/>
        <v>108381112.15720488</v>
      </c>
      <c r="Q614" s="25">
        <f>O614/((1+'How much will I make'!$C$5/12)^(Calculations!$B$1*12-Calculations!$A614))</f>
        <v>1148.0824244031319</v>
      </c>
      <c r="R614" s="25">
        <f t="shared" si="109"/>
        <v>22015689.840171922</v>
      </c>
      <c r="S614" s="25">
        <f t="shared" si="97"/>
        <v>392.92115586684133</v>
      </c>
      <c r="T614" s="25">
        <f t="shared" si="110"/>
        <v>580366157.58325195</v>
      </c>
      <c r="U614" s="25">
        <f>S614/((1+'How much will I make'!$C$5/12)^(Calculations!$B$1*12-Calculations!$A614))</f>
        <v>674.62048604906443</v>
      </c>
      <c r="V614" s="25">
        <f t="shared" si="111"/>
        <v>105476103.85610314</v>
      </c>
      <c r="W614" s="25">
        <f t="shared" si="98"/>
        <v>231.38353772191206</v>
      </c>
      <c r="X614" s="25">
        <f t="shared" si="112"/>
        <v>3284768008.4012008</v>
      </c>
      <c r="Y614" s="25">
        <f>W614/((1+'How much will I make'!$C$5/12)^(Calculations!$B$1*12-Calculations!$A614))</f>
        <v>397.27073065673358</v>
      </c>
      <c r="Z614" s="25">
        <f t="shared" si="113"/>
        <v>560133798.31528473</v>
      </c>
      <c r="AA614" s="25">
        <f t="shared" si="99"/>
        <v>136.55023647693886</v>
      </c>
      <c r="AB614" s="25">
        <f t="shared" si="114"/>
        <v>19205082823.413597</v>
      </c>
      <c r="AC614" s="25">
        <f>AA614/((1+'How much will I make'!$C$5/12)^(Calculations!$B$1*12-Calculations!$A614))</f>
        <v>234.44801972792214</v>
      </c>
      <c r="AD614" s="25">
        <f t="shared" si="115"/>
        <v>3144578777.4799147</v>
      </c>
      <c r="AE614" s="25">
        <f t="shared" si="100"/>
        <v>80.756571524912303</v>
      </c>
      <c r="AF614" s="25">
        <f t="shared" si="116"/>
        <v>114565044324.99706</v>
      </c>
      <c r="AG614" s="25">
        <f>AE614/((1+'How much will I make'!$C$5/12)^(Calculations!$B$1*12-Calculations!$A614))</f>
        <v>138.65386660996015</v>
      </c>
      <c r="AH614" s="25">
        <f t="shared" si="117"/>
        <v>18238883044.081516</v>
      </c>
    </row>
    <row r="615" spans="1:34" ht="15.75" customHeight="1">
      <c r="A615" s="22">
        <f t="shared" si="101"/>
        <v>611</v>
      </c>
      <c r="B615" s="22">
        <f t="shared" si="125"/>
        <v>5733.699892876848</v>
      </c>
      <c r="C615" s="25">
        <f t="shared" si="93"/>
        <v>3325.6385421994273</v>
      </c>
      <c r="D615" s="25">
        <f t="shared" si="102"/>
        <v>2129058.5149969901</v>
      </c>
      <c r="E615" s="25">
        <f>$C615/((1+'How much will I make'!$C$5/12)^(Calculations!$B$1*12-Calculations!$A615))</f>
        <v>5733.699892876848</v>
      </c>
      <c r="F615" s="25">
        <f t="shared" si="103"/>
        <v>1319158.673112087</v>
      </c>
      <c r="G615" s="25">
        <f t="shared" si="94"/>
        <v>1933.2796459966355</v>
      </c>
      <c r="H615" s="25">
        <f t="shared" si="104"/>
        <v>5702260.7763902135</v>
      </c>
      <c r="I615" s="25">
        <f>G615/((1+'How much will I make'!$C$5/12)^(Calculations!$B$1*12-Calculations!$A615))</f>
        <v>3333.1479529404546</v>
      </c>
      <c r="J615" s="25">
        <f t="shared" si="105"/>
        <v>2122593.3689525491</v>
      </c>
      <c r="K615" s="25">
        <f t="shared" si="95"/>
        <v>1126.3822049118264</v>
      </c>
      <c r="L615" s="25">
        <f t="shared" si="106"/>
        <v>22430419.042497694</v>
      </c>
      <c r="M615" s="25">
        <f>K615/((1+'How much will I make'!$C$5/12)^(Calculations!$B$1*12-Calculations!$A615))</f>
        <v>1941.9842071502076</v>
      </c>
      <c r="N615" s="25">
        <f t="shared" si="107"/>
        <v>5645317.9022686444</v>
      </c>
      <c r="O615" s="25">
        <f t="shared" si="96"/>
        <v>657.71897556190197</v>
      </c>
      <c r="P615" s="25">
        <f t="shared" si="108"/>
        <v>108381769.87618044</v>
      </c>
      <c r="Q615" s="25">
        <f>O615/((1+'How much will I make'!$C$5/12)^(Calculations!$B$1*12-Calculations!$A615))</f>
        <v>1133.9666568899788</v>
      </c>
      <c r="R615" s="25">
        <f t="shared" si="109"/>
        <v>22016823.806828812</v>
      </c>
      <c r="S615" s="25">
        <f t="shared" si="97"/>
        <v>384.90235676751814</v>
      </c>
      <c r="T615" s="25">
        <f t="shared" si="110"/>
        <v>580366542.4856087</v>
      </c>
      <c r="U615" s="25">
        <f>S615/((1+'How much will I make'!$C$5/12)^(Calculations!$B$1*12-Calculations!$A615))</f>
        <v>663.60627403193712</v>
      </c>
      <c r="V615" s="25">
        <f t="shared" si="111"/>
        <v>105476767.46237718</v>
      </c>
      <c r="W615" s="25">
        <f t="shared" si="98"/>
        <v>225.74003680186539</v>
      </c>
      <c r="X615" s="25">
        <f t="shared" si="112"/>
        <v>3284768234.1412377</v>
      </c>
      <c r="Y615" s="25">
        <f>W615/((1+'How much will I make'!$C$5/12)^(Calculations!$B$1*12-Calculations!$A615))</f>
        <v>389.19612231005198</v>
      </c>
      <c r="Z615" s="25">
        <f t="shared" si="113"/>
        <v>560134187.51140702</v>
      </c>
      <c r="AA615" s="25">
        <f t="shared" si="99"/>
        <v>132.68039171848312</v>
      </c>
      <c r="AB615" s="25">
        <f t="shared" si="114"/>
        <v>19205082956.09399</v>
      </c>
      <c r="AC615" s="25">
        <f>AA615/((1+'How much will I make'!$C$5/12)^(Calculations!$B$1*12-Calculations!$A615))</f>
        <v>228.7529261312925</v>
      </c>
      <c r="AD615" s="25">
        <f t="shared" si="115"/>
        <v>3144579006.232841</v>
      </c>
      <c r="AE615" s="25">
        <f t="shared" si="100"/>
        <v>78.151520830560287</v>
      </c>
      <c r="AF615" s="25">
        <f t="shared" si="116"/>
        <v>114565044403.14857</v>
      </c>
      <c r="AG615" s="25">
        <f>AE615/((1+'How much will I make'!$C$5/12)^(Calculations!$B$1*12-Calculations!$A615))</f>
        <v>134.74024940725965</v>
      </c>
      <c r="AH615" s="25">
        <f t="shared" si="117"/>
        <v>18238883178.821766</v>
      </c>
    </row>
    <row r="616" spans="1:34" ht="15.75" customHeight="1">
      <c r="A616" s="22">
        <f t="shared" si="101"/>
        <v>612</v>
      </c>
      <c r="B616" s="22">
        <f t="shared" si="125"/>
        <v>5733.699892876848</v>
      </c>
      <c r="C616" s="25">
        <f t="shared" si="93"/>
        <v>3311.8392121488077</v>
      </c>
      <c r="D616" s="25">
        <f t="shared" si="102"/>
        <v>2132370.354209139</v>
      </c>
      <c r="E616" s="25">
        <f>$C616/((1+'How much will I make'!$C$5/12)^(Calculations!$B$1*12-Calculations!$A616))</f>
        <v>5733.699892876848</v>
      </c>
      <c r="F616" s="25">
        <f t="shared" si="103"/>
        <v>1324892.3730049639</v>
      </c>
      <c r="G616" s="25">
        <f t="shared" si="94"/>
        <v>1917.3021282611264</v>
      </c>
      <c r="H616" s="25">
        <f t="shared" si="104"/>
        <v>5704178.0785184745</v>
      </c>
      <c r="I616" s="25">
        <f>G616/((1+'How much will I make'!$C$5/12)^(Calculations!$B$1*12-Calculations!$A616))</f>
        <v>3319.3746142919408</v>
      </c>
      <c r="J616" s="25">
        <f t="shared" si="105"/>
        <v>2125912.7435668409</v>
      </c>
      <c r="K616" s="25">
        <f t="shared" si="95"/>
        <v>1112.4762517647666</v>
      </c>
      <c r="L616" s="25">
        <f t="shared" si="106"/>
        <v>22431531.518749461</v>
      </c>
      <c r="M616" s="25">
        <f>K616/((1+'How much will I make'!$C$5/12)^(Calculations!$B$1*12-Calculations!$A616))</f>
        <v>1926.0007980378596</v>
      </c>
      <c r="N616" s="25">
        <f t="shared" si="107"/>
        <v>5647243.9030666826</v>
      </c>
      <c r="O616" s="25">
        <f t="shared" si="96"/>
        <v>646.93669727400197</v>
      </c>
      <c r="P616" s="25">
        <f t="shared" si="108"/>
        <v>108382416.81287771</v>
      </c>
      <c r="Q616" s="25">
        <f>O616/((1+'How much will I make'!$C$5/12)^(Calculations!$B$1*12-Calculations!$A616))</f>
        <v>1120.0244438954298</v>
      </c>
      <c r="R616" s="25">
        <f t="shared" si="109"/>
        <v>22017943.831272706</v>
      </c>
      <c r="S616" s="25">
        <f t="shared" si="97"/>
        <v>377.04720662940554</v>
      </c>
      <c r="T616" s="25">
        <f t="shared" si="110"/>
        <v>580366919.53281534</v>
      </c>
      <c r="U616" s="25">
        <f>S616/((1+'How much will I make'!$C$5/12)^(Calculations!$B$1*12-Calculations!$A616))</f>
        <v>652.77188588447689</v>
      </c>
      <c r="V616" s="25">
        <f t="shared" si="111"/>
        <v>105477420.23426306</v>
      </c>
      <c r="W616" s="25">
        <f t="shared" si="98"/>
        <v>220.23418224572237</v>
      </c>
      <c r="X616" s="25">
        <f t="shared" si="112"/>
        <v>3284768454.3754201</v>
      </c>
      <c r="Y616" s="25">
        <f>W616/((1+'How much will I make'!$C$5/12)^(Calculations!$B$1*12-Calculations!$A616))</f>
        <v>381.28563201919729</v>
      </c>
      <c r="Z616" s="25">
        <f t="shared" si="113"/>
        <v>560134568.79703903</v>
      </c>
      <c r="AA616" s="25">
        <f t="shared" si="99"/>
        <v>128.92021867382979</v>
      </c>
      <c r="AB616" s="25">
        <f t="shared" si="114"/>
        <v>19205083085.01421</v>
      </c>
      <c r="AC616" s="25">
        <f>AA616/((1+'How much will I make'!$C$5/12)^(Calculations!$B$1*12-Calculations!$A616))</f>
        <v>223.19617488923686</v>
      </c>
      <c r="AD616" s="25">
        <f t="shared" si="115"/>
        <v>3144579229.4290161</v>
      </c>
      <c r="AE616" s="25">
        <f t="shared" si="100"/>
        <v>75.630504029574467</v>
      </c>
      <c r="AF616" s="25">
        <f t="shared" si="116"/>
        <v>114565044478.77908</v>
      </c>
      <c r="AG616" s="25">
        <f>AE616/((1+'How much will I make'!$C$5/12)^(Calculations!$B$1*12-Calculations!$A616))</f>
        <v>130.93709720624827</v>
      </c>
      <c r="AH616" s="25">
        <f t="shared" si="117"/>
        <v>18238883309.758862</v>
      </c>
    </row>
    <row r="617" spans="1:34" ht="15.75" customHeight="1">
      <c r="A617" s="22">
        <f t="shared" si="101"/>
        <v>613</v>
      </c>
      <c r="B617" s="22">
        <f>B616*(1+'How much will I make'!$C$4)</f>
        <v>6020.3848875206904</v>
      </c>
      <c r="C617" s="25">
        <f t="shared" si="93"/>
        <v>3463.0019977655584</v>
      </c>
      <c r="D617" s="25">
        <f t="shared" si="102"/>
        <v>2135833.3562069046</v>
      </c>
      <c r="E617" s="25">
        <f>$C617/((1+'How much will I make'!$C$5/12)^(Calculations!$B$1*12-Calculations!$A617))</f>
        <v>6020.3848875206904</v>
      </c>
      <c r="F617" s="25">
        <f t="shared" si="103"/>
        <v>1330912.7578924845</v>
      </c>
      <c r="G617" s="25">
        <f t="shared" si="94"/>
        <v>1996.5294889330739</v>
      </c>
      <c r="H617" s="25">
        <f t="shared" si="104"/>
        <v>5706174.6080074077</v>
      </c>
      <c r="I617" s="25">
        <f>G617/((1+'How much will I make'!$C$5/12)^(Calculations!$B$1*12-Calculations!$A617))</f>
        <v>3470.9410997792384</v>
      </c>
      <c r="J617" s="25">
        <f t="shared" si="105"/>
        <v>2129383.6846666201</v>
      </c>
      <c r="K617" s="25">
        <f t="shared" si="95"/>
        <v>1153.6790759042028</v>
      </c>
      <c r="L617" s="25">
        <f t="shared" si="106"/>
        <v>22432685.197825365</v>
      </c>
      <c r="M617" s="25">
        <f>K617/((1+'How much will I make'!$C$5/12)^(Calculations!$B$1*12-Calculations!$A617))</f>
        <v>2005.6563865986852</v>
      </c>
      <c r="N617" s="25">
        <f t="shared" si="107"/>
        <v>5649249.5594532816</v>
      </c>
      <c r="O617" s="25">
        <f t="shared" si="96"/>
        <v>668.14773652888709</v>
      </c>
      <c r="P617" s="25">
        <f t="shared" si="108"/>
        <v>108383084.96061425</v>
      </c>
      <c r="Q617" s="25">
        <f>O617/((1+'How much will I make'!$C$5/12)^(Calculations!$B$1*12-Calculations!$A617))</f>
        <v>1161.5663341300756</v>
      </c>
      <c r="R617" s="25">
        <f t="shared" si="109"/>
        <v>22019105.397606835</v>
      </c>
      <c r="S617" s="25">
        <f t="shared" si="97"/>
        <v>387.81998396167427</v>
      </c>
      <c r="T617" s="25">
        <f t="shared" si="110"/>
        <v>580367307.3527993</v>
      </c>
      <c r="U617" s="25">
        <f>S617/((1+'How much will I make'!$C$5/12)^(Calculations!$B$1*12-Calculations!$A617))</f>
        <v>674.22010499210967</v>
      </c>
      <c r="V617" s="25">
        <f t="shared" si="111"/>
        <v>105478094.45436805</v>
      </c>
      <c r="W617" s="25">
        <f t="shared" si="98"/>
        <v>225.60574766634977</v>
      </c>
      <c r="X617" s="25">
        <f t="shared" si="112"/>
        <v>3284768679.9811678</v>
      </c>
      <c r="Y617" s="25">
        <f>W617/((1+'How much will I make'!$C$5/12)^(Calculations!$B$1*12-Calculations!$A617))</f>
        <v>392.21272025389385</v>
      </c>
      <c r="Z617" s="25">
        <f t="shared" si="113"/>
        <v>560134961.00975931</v>
      </c>
      <c r="AA617" s="25">
        <f t="shared" si="99"/>
        <v>131.5299396996158</v>
      </c>
      <c r="AB617" s="25">
        <f t="shared" si="114"/>
        <v>19205083216.544151</v>
      </c>
      <c r="AC617" s="25">
        <f>AA617/((1+'How much will I make'!$C$5/12)^(Calculations!$B$1*12-Calculations!$A617))</f>
        <v>228.6631257316655</v>
      </c>
      <c r="AD617" s="25">
        <f t="shared" si="115"/>
        <v>3144579458.0921416</v>
      </c>
      <c r="AE617" s="25">
        <f t="shared" si="100"/>
        <v>76.850350868761154</v>
      </c>
      <c r="AF617" s="25">
        <f t="shared" si="116"/>
        <v>114565044555.62944</v>
      </c>
      <c r="AG617" s="25">
        <f>AE617/((1+'How much will I make'!$C$5/12)^(Calculations!$B$1*12-Calculations!$A617))</f>
        <v>133.60335664532712</v>
      </c>
      <c r="AH617" s="25">
        <f t="shared" si="117"/>
        <v>18238883443.362217</v>
      </c>
    </row>
    <row r="618" spans="1:34" ht="15.75" customHeight="1">
      <c r="A618" s="22">
        <f t="shared" si="101"/>
        <v>614</v>
      </c>
      <c r="B618" s="22">
        <f t="shared" ref="B618:B628" si="126">B617</f>
        <v>6020.3848875206904</v>
      </c>
      <c r="C618" s="25">
        <f t="shared" si="93"/>
        <v>3448.6326948702649</v>
      </c>
      <c r="D618" s="25">
        <f t="shared" si="102"/>
        <v>2139281.9889017749</v>
      </c>
      <c r="E618" s="25">
        <f>$C618/((1+'How much will I make'!$C$5/12)^(Calculations!$B$1*12-Calculations!$A618))</f>
        <v>6020.3848875206904</v>
      </c>
      <c r="F618" s="25">
        <f t="shared" si="103"/>
        <v>1336933.1427800052</v>
      </c>
      <c r="G618" s="25">
        <f t="shared" si="94"/>
        <v>1980.0292452228828</v>
      </c>
      <c r="H618" s="25">
        <f t="shared" si="104"/>
        <v>5708154.6372526307</v>
      </c>
      <c r="I618" s="25">
        <f>G618/((1+'How much will I make'!$C$5/12)^(Calculations!$B$1*12-Calculations!$A618))</f>
        <v>3456.5983679619681</v>
      </c>
      <c r="J618" s="25">
        <f t="shared" si="105"/>
        <v>2132840.2830345822</v>
      </c>
      <c r="K618" s="25">
        <f t="shared" si="95"/>
        <v>1139.4361243498297</v>
      </c>
      <c r="L618" s="25">
        <f t="shared" si="106"/>
        <v>22433824.633949716</v>
      </c>
      <c r="M618" s="25">
        <f>K618/((1+'How much will I make'!$C$5/12)^(Calculations!$B$1*12-Calculations!$A618))</f>
        <v>1989.1489266266794</v>
      </c>
      <c r="N618" s="25">
        <f t="shared" si="107"/>
        <v>5651238.7083799085</v>
      </c>
      <c r="O618" s="25">
        <f t="shared" si="96"/>
        <v>657.19449494644641</v>
      </c>
      <c r="P618" s="25">
        <f t="shared" si="108"/>
        <v>108383742.1551092</v>
      </c>
      <c r="Q618" s="25">
        <f>O618/((1+'How much will I make'!$C$5/12)^(Calculations!$B$1*12-Calculations!$A618))</f>
        <v>1147.2847808415913</v>
      </c>
      <c r="R618" s="25">
        <f t="shared" si="109"/>
        <v>22020252.682387676</v>
      </c>
      <c r="S618" s="25">
        <f t="shared" si="97"/>
        <v>379.90529041143606</v>
      </c>
      <c r="T618" s="25">
        <f t="shared" si="110"/>
        <v>580367687.25808966</v>
      </c>
      <c r="U618" s="25">
        <f>S618/((1+'How much will I make'!$C$5/12)^(Calculations!$B$1*12-Calculations!$A618))</f>
        <v>663.21242980856516</v>
      </c>
      <c r="V618" s="25">
        <f t="shared" si="111"/>
        <v>105478757.66679786</v>
      </c>
      <c r="W618" s="25">
        <f t="shared" si="98"/>
        <v>220.10316845497542</v>
      </c>
      <c r="X618" s="25">
        <f t="shared" si="112"/>
        <v>3284768900.0843363</v>
      </c>
      <c r="Y618" s="25">
        <f>W618/((1+'How much will I make'!$C$5/12)^(Calculations!$B$1*12-Calculations!$A618))</f>
        <v>384.240916996701</v>
      </c>
      <c r="Z618" s="25">
        <f t="shared" si="113"/>
        <v>560135345.25067627</v>
      </c>
      <c r="AA618" s="25">
        <f t="shared" si="99"/>
        <v>127.80237055833118</v>
      </c>
      <c r="AB618" s="25">
        <f t="shared" si="114"/>
        <v>19205083344.346523</v>
      </c>
      <c r="AC618" s="25">
        <f>AA618/((1+'How much will I make'!$C$5/12)^(Calculations!$B$1*12-Calculations!$A618))</f>
        <v>223.10855587583566</v>
      </c>
      <c r="AD618" s="25">
        <f t="shared" si="115"/>
        <v>3144579681.2006974</v>
      </c>
      <c r="AE618" s="25">
        <f t="shared" si="100"/>
        <v>74.371307292349485</v>
      </c>
      <c r="AF618" s="25">
        <f t="shared" si="116"/>
        <v>114565044630.00075</v>
      </c>
      <c r="AG618" s="25">
        <f>AE618/((1+'How much will I make'!$C$5/12)^(Calculations!$B$1*12-Calculations!$A618))</f>
        <v>129.83229415937029</v>
      </c>
      <c r="AH618" s="25">
        <f t="shared" si="117"/>
        <v>18238883573.194511</v>
      </c>
    </row>
    <row r="619" spans="1:34" ht="15.75" customHeight="1">
      <c r="A619" s="22">
        <f t="shared" si="101"/>
        <v>615</v>
      </c>
      <c r="B619" s="22">
        <f t="shared" si="126"/>
        <v>6020.3848875206904</v>
      </c>
      <c r="C619" s="25">
        <f t="shared" si="93"/>
        <v>3434.3230156384375</v>
      </c>
      <c r="D619" s="25">
        <f t="shared" si="102"/>
        <v>2142716.3119174135</v>
      </c>
      <c r="E619" s="25">
        <f>$C619/((1+'How much will I make'!$C$5/12)^(Calculations!$B$1*12-Calculations!$A619))</f>
        <v>6020.3848875206904</v>
      </c>
      <c r="F619" s="25">
        <f t="shared" si="103"/>
        <v>1342953.5276675259</v>
      </c>
      <c r="G619" s="25">
        <f t="shared" si="94"/>
        <v>1963.66536716319</v>
      </c>
      <c r="H619" s="25">
        <f t="shared" si="104"/>
        <v>5710118.3026197935</v>
      </c>
      <c r="I619" s="25">
        <f>G619/((1+'How much will I make'!$C$5/12)^(Calculations!$B$1*12-Calculations!$A619))</f>
        <v>3442.3149036315485</v>
      </c>
      <c r="J619" s="25">
        <f t="shared" si="105"/>
        <v>2136282.5979382135</v>
      </c>
      <c r="K619" s="25">
        <f t="shared" si="95"/>
        <v>1125.3690117035358</v>
      </c>
      <c r="L619" s="25">
        <f t="shared" si="106"/>
        <v>22434950.00296142</v>
      </c>
      <c r="M619" s="25">
        <f>K619/((1+'How much will I make'!$C$5/12)^(Calculations!$B$1*12-Calculations!$A619))</f>
        <v>1972.777330522757</v>
      </c>
      <c r="N619" s="25">
        <f t="shared" si="107"/>
        <v>5653211.4857104309</v>
      </c>
      <c r="O619" s="25">
        <f t="shared" si="96"/>
        <v>646.42081470142296</v>
      </c>
      <c r="P619" s="25">
        <f t="shared" si="108"/>
        <v>108384388.5759239</v>
      </c>
      <c r="Q619" s="25">
        <f>O619/((1+'How much will I make'!$C$5/12)^(Calculations!$B$1*12-Calculations!$A619))</f>
        <v>1133.1788204214085</v>
      </c>
      <c r="R619" s="25">
        <f t="shared" si="109"/>
        <v>22021385.861208096</v>
      </c>
      <c r="S619" s="25">
        <f t="shared" si="97"/>
        <v>372.15212121936605</v>
      </c>
      <c r="T619" s="25">
        <f t="shared" si="110"/>
        <v>580368059.41021085</v>
      </c>
      <c r="U619" s="25">
        <f>S619/((1+'How much will I make'!$C$5/12)^(Calculations!$B$1*12-Calculations!$A619))</f>
        <v>652.38447177087471</v>
      </c>
      <c r="V619" s="25">
        <f t="shared" si="111"/>
        <v>105479410.05126964</v>
      </c>
      <c r="W619" s="25">
        <f t="shared" si="98"/>
        <v>214.73479849265891</v>
      </c>
      <c r="X619" s="25">
        <f t="shared" si="112"/>
        <v>3284769114.8191347</v>
      </c>
      <c r="Y619" s="25">
        <f>W619/((1+'How much will I make'!$C$5/12)^(Calculations!$B$1*12-Calculations!$A619))</f>
        <v>376.43114226099567</v>
      </c>
      <c r="Z619" s="25">
        <f t="shared" si="113"/>
        <v>560135721.68181849</v>
      </c>
      <c r="AA619" s="25">
        <f t="shared" si="99"/>
        <v>124.18044102833798</v>
      </c>
      <c r="AB619" s="25">
        <f t="shared" si="114"/>
        <v>19205083468.526966</v>
      </c>
      <c r="AC619" s="25">
        <f>AA619/((1+'How much will I make'!$C$5/12)^(Calculations!$B$1*12-Calculations!$A619))</f>
        <v>217.68891484241459</v>
      </c>
      <c r="AD619" s="25">
        <f t="shared" si="115"/>
        <v>3144579898.8896122</v>
      </c>
      <c r="AE619" s="25">
        <f t="shared" si="100"/>
        <v>71.972232863564017</v>
      </c>
      <c r="AF619" s="25">
        <f t="shared" si="116"/>
        <v>114565044701.97298</v>
      </c>
      <c r="AG619" s="25">
        <f>AE619/((1+'How much will I make'!$C$5/12)^(Calculations!$B$1*12-Calculations!$A619))</f>
        <v>126.16767295325906</v>
      </c>
      <c r="AH619" s="25">
        <f t="shared" si="117"/>
        <v>18238883699.362183</v>
      </c>
    </row>
    <row r="620" spans="1:34" ht="15.75" customHeight="1">
      <c r="A620" s="22">
        <f t="shared" si="101"/>
        <v>616</v>
      </c>
      <c r="B620" s="22">
        <f t="shared" si="126"/>
        <v>6020.3848875206904</v>
      </c>
      <c r="C620" s="25">
        <f t="shared" si="93"/>
        <v>3420.0727126689844</v>
      </c>
      <c r="D620" s="25">
        <f t="shared" si="102"/>
        <v>2146136.3846300826</v>
      </c>
      <c r="E620" s="25">
        <f>$C620/((1+'How much will I make'!$C$5/12)^(Calculations!$B$1*12-Calculations!$A620))</f>
        <v>6020.3848875206904</v>
      </c>
      <c r="F620" s="25">
        <f t="shared" si="103"/>
        <v>1348973.9125550466</v>
      </c>
      <c r="G620" s="25">
        <f t="shared" si="94"/>
        <v>1947.4367277651468</v>
      </c>
      <c r="H620" s="25">
        <f t="shared" si="104"/>
        <v>5712065.7393475585</v>
      </c>
      <c r="I620" s="25">
        <f>G620/((1+'How much will I make'!$C$5/12)^(Calculations!$B$1*12-Calculations!$A620))</f>
        <v>3428.0904618810032</v>
      </c>
      <c r="J620" s="25">
        <f t="shared" si="105"/>
        <v>2139710.6884000944</v>
      </c>
      <c r="K620" s="25">
        <f t="shared" si="95"/>
        <v>1111.4755671146029</v>
      </c>
      <c r="L620" s="25">
        <f t="shared" si="106"/>
        <v>22436061.478528533</v>
      </c>
      <c r="M620" s="25">
        <f>K620/((1+'How much will I make'!$C$5/12)^(Calculations!$B$1*12-Calculations!$A620))</f>
        <v>1956.5404800657786</v>
      </c>
      <c r="N620" s="25">
        <f t="shared" si="107"/>
        <v>5655168.026190497</v>
      </c>
      <c r="O620" s="25">
        <f t="shared" si="96"/>
        <v>635.82375216533399</v>
      </c>
      <c r="P620" s="25">
        <f t="shared" si="108"/>
        <v>108385024.39967607</v>
      </c>
      <c r="Q620" s="25">
        <f>O620/((1+'How much will I make'!$C$5/12)^(Calculations!$B$1*12-Calculations!$A620))</f>
        <v>1119.2462939408172</v>
      </c>
      <c r="R620" s="25">
        <f t="shared" si="109"/>
        <v>22022505.107502036</v>
      </c>
      <c r="S620" s="25">
        <f t="shared" si="97"/>
        <v>364.55717996999124</v>
      </c>
      <c r="T620" s="25">
        <f t="shared" si="110"/>
        <v>580368423.96739078</v>
      </c>
      <c r="U620" s="25">
        <f>S620/((1+'How much will I make'!$C$5/12)^(Calculations!$B$1*12-Calculations!$A620))</f>
        <v>641.7332967215541</v>
      </c>
      <c r="V620" s="25">
        <f t="shared" si="111"/>
        <v>105480051.78456636</v>
      </c>
      <c r="W620" s="25">
        <f t="shared" si="98"/>
        <v>209.49736438308187</v>
      </c>
      <c r="X620" s="25">
        <f t="shared" si="112"/>
        <v>3284769324.3164992</v>
      </c>
      <c r="Y620" s="25">
        <f>W620/((1+'How much will I make'!$C$5/12)^(Calculations!$B$1*12-Calculations!$A620))</f>
        <v>368.7801027841461</v>
      </c>
      <c r="Z620" s="25">
        <f t="shared" si="113"/>
        <v>560136090.46192122</v>
      </c>
      <c r="AA620" s="25">
        <f t="shared" si="99"/>
        <v>120.66115727449848</v>
      </c>
      <c r="AB620" s="25">
        <f t="shared" si="114"/>
        <v>19205083589.188122</v>
      </c>
      <c r="AC620" s="25">
        <f>AA620/((1+'How much will I make'!$C$5/12)^(Calculations!$B$1*12-Calculations!$A620))</f>
        <v>212.40092500818591</v>
      </c>
      <c r="AD620" s="25">
        <f t="shared" si="115"/>
        <v>3144580111.2905374</v>
      </c>
      <c r="AE620" s="25">
        <f t="shared" si="100"/>
        <v>69.650547932481288</v>
      </c>
      <c r="AF620" s="25">
        <f t="shared" si="116"/>
        <v>114565044771.62352</v>
      </c>
      <c r="AG620" s="25">
        <f>AE620/((1+'How much will I make'!$C$5/12)^(Calculations!$B$1*12-Calculations!$A620))</f>
        <v>122.60648863602991</v>
      </c>
      <c r="AH620" s="25">
        <f t="shared" si="117"/>
        <v>18238883821.96867</v>
      </c>
    </row>
    <row r="621" spans="1:34" ht="15.75" customHeight="1">
      <c r="A621" s="22">
        <f t="shared" si="101"/>
        <v>617</v>
      </c>
      <c r="B621" s="22">
        <f t="shared" si="126"/>
        <v>6020.3848875206904</v>
      </c>
      <c r="C621" s="25">
        <f t="shared" si="93"/>
        <v>3405.8815395873703</v>
      </c>
      <c r="D621" s="25">
        <f t="shared" si="102"/>
        <v>2149542.26616967</v>
      </c>
      <c r="E621" s="25">
        <f>$C621/((1+'How much will I make'!$C$5/12)^(Calculations!$B$1*12-Calculations!$A621))</f>
        <v>6020.3848875206904</v>
      </c>
      <c r="F621" s="25">
        <f t="shared" si="103"/>
        <v>1354994.2974425673</v>
      </c>
      <c r="G621" s="25">
        <f t="shared" si="94"/>
        <v>1931.342209353865</v>
      </c>
      <c r="H621" s="25">
        <f t="shared" si="104"/>
        <v>5713997.0815569125</v>
      </c>
      <c r="I621" s="25">
        <f>G621/((1+'How much will I make'!$C$5/12)^(Calculations!$B$1*12-Calculations!$A621))</f>
        <v>3413.9247988153797</v>
      </c>
      <c r="J621" s="25">
        <f t="shared" si="105"/>
        <v>2143124.6131989099</v>
      </c>
      <c r="K621" s="25">
        <f t="shared" si="95"/>
        <v>1097.7536465329415</v>
      </c>
      <c r="L621" s="25">
        <f t="shared" si="106"/>
        <v>22437159.232175067</v>
      </c>
      <c r="M621" s="25">
        <f>K621/((1+'How much will I make'!$C$5/12)^(Calculations!$B$1*12-Calculations!$A621))</f>
        <v>1940.4372662380772</v>
      </c>
      <c r="N621" s="25">
        <f t="shared" si="107"/>
        <v>5657108.463456735</v>
      </c>
      <c r="O621" s="25">
        <f t="shared" si="96"/>
        <v>625.40041196590221</v>
      </c>
      <c r="P621" s="25">
        <f t="shared" si="108"/>
        <v>108385649.80008803</v>
      </c>
      <c r="Q621" s="25">
        <f>O621/((1+'How much will I make'!$C$5/12)^(Calculations!$B$1*12-Calculations!$A621))</f>
        <v>1105.485069015315</v>
      </c>
      <c r="R621" s="25">
        <f t="shared" si="109"/>
        <v>22023610.59257105</v>
      </c>
      <c r="S621" s="25">
        <f t="shared" si="97"/>
        <v>357.11723752162408</v>
      </c>
      <c r="T621" s="25">
        <f t="shared" si="110"/>
        <v>580368781.08462834</v>
      </c>
      <c r="U621" s="25">
        <f>S621/((1+'How much will I make'!$C$5/12)^(Calculations!$B$1*12-Calculations!$A621))</f>
        <v>631.25601840773277</v>
      </c>
      <c r="V621" s="25">
        <f t="shared" si="111"/>
        <v>105480683.04058477</v>
      </c>
      <c r="W621" s="25">
        <f t="shared" si="98"/>
        <v>204.38767256886044</v>
      </c>
      <c r="X621" s="25">
        <f t="shared" si="112"/>
        <v>3284769528.7041717</v>
      </c>
      <c r="Y621" s="25">
        <f>W621/((1+'How much will I make'!$C$5/12)^(Calculations!$B$1*12-Calculations!$A621))</f>
        <v>361.284572239753</v>
      </c>
      <c r="Z621" s="25">
        <f t="shared" si="113"/>
        <v>560136451.74649346</v>
      </c>
      <c r="AA621" s="25">
        <f t="shared" si="99"/>
        <v>117.24161030720501</v>
      </c>
      <c r="AB621" s="25">
        <f t="shared" si="114"/>
        <v>19205083706.429733</v>
      </c>
      <c r="AC621" s="25">
        <f>AA621/((1+'How much will I make'!$C$5/12)^(Calculations!$B$1*12-Calculations!$A621))</f>
        <v>207.24138836831094</v>
      </c>
      <c r="AD621" s="25">
        <f t="shared" si="115"/>
        <v>3144580318.5319257</v>
      </c>
      <c r="AE621" s="25">
        <f t="shared" si="100"/>
        <v>67.40375606369156</v>
      </c>
      <c r="AF621" s="25">
        <f t="shared" si="116"/>
        <v>114565044839.02728</v>
      </c>
      <c r="AG621" s="25">
        <f>AE621/((1+'How much will I make'!$C$5/12)^(Calculations!$B$1*12-Calculations!$A621))</f>
        <v>119.14582161807743</v>
      </c>
      <c r="AH621" s="25">
        <f t="shared" si="117"/>
        <v>18238883941.114491</v>
      </c>
    </row>
    <row r="622" spans="1:34" ht="15.75" customHeight="1">
      <c r="A622" s="22">
        <f t="shared" si="101"/>
        <v>618</v>
      </c>
      <c r="B622" s="22">
        <f t="shared" si="126"/>
        <v>6020.3848875206904</v>
      </c>
      <c r="C622" s="25">
        <f t="shared" si="93"/>
        <v>3391.749251041364</v>
      </c>
      <c r="D622" s="25">
        <f t="shared" si="102"/>
        <v>2152934.0154207116</v>
      </c>
      <c r="E622" s="25">
        <f>$C622/((1+'How much will I make'!$C$5/12)^(Calculations!$B$1*12-Calculations!$A622))</f>
        <v>6020.3848875206904</v>
      </c>
      <c r="F622" s="25">
        <f t="shared" si="103"/>
        <v>1361014.682330088</v>
      </c>
      <c r="G622" s="25">
        <f t="shared" si="94"/>
        <v>1915.3807034914364</v>
      </c>
      <c r="H622" s="25">
        <f t="shared" si="104"/>
        <v>5715912.4622604037</v>
      </c>
      <c r="I622" s="25">
        <f>G622/((1+'How much will I make'!$C$5/12)^(Calculations!$B$1*12-Calculations!$A622))</f>
        <v>3399.8176715475488</v>
      </c>
      <c r="J622" s="25">
        <f t="shared" si="105"/>
        <v>2146524.4308704576</v>
      </c>
      <c r="K622" s="25">
        <f t="shared" si="95"/>
        <v>1084.2011323782135</v>
      </c>
      <c r="L622" s="25">
        <f t="shared" si="106"/>
        <v>22438243.433307447</v>
      </c>
      <c r="M622" s="25">
        <f>K622/((1+'How much will I make'!$C$5/12)^(Calculations!$B$1*12-Calculations!$A622))</f>
        <v>1924.4665891496979</v>
      </c>
      <c r="N622" s="25">
        <f t="shared" si="107"/>
        <v>5659032.930045885</v>
      </c>
      <c r="O622" s="25">
        <f t="shared" si="96"/>
        <v>615.14794619596944</v>
      </c>
      <c r="P622" s="25">
        <f t="shared" si="108"/>
        <v>108386264.94803423</v>
      </c>
      <c r="Q622" s="25">
        <f>O622/((1+'How much will I make'!$C$5/12)^(Calculations!$B$1*12-Calculations!$A622))</f>
        <v>1091.8930394782419</v>
      </c>
      <c r="R622" s="25">
        <f t="shared" si="109"/>
        <v>22024702.48561053</v>
      </c>
      <c r="S622" s="25">
        <f t="shared" si="97"/>
        <v>349.82913063342772</v>
      </c>
      <c r="T622" s="25">
        <f t="shared" si="110"/>
        <v>580369130.91375899</v>
      </c>
      <c r="U622" s="25">
        <f>S622/((1+'How much will I make'!$C$5/12)^(Calculations!$B$1*12-Calculations!$A622))</f>
        <v>620.94979769903534</v>
      </c>
      <c r="V622" s="25">
        <f t="shared" si="111"/>
        <v>105481303.99038248</v>
      </c>
      <c r="W622" s="25">
        <f t="shared" si="98"/>
        <v>199.40260738425405</v>
      </c>
      <c r="X622" s="25">
        <f t="shared" si="112"/>
        <v>3284769728.1067791</v>
      </c>
      <c r="Y622" s="25">
        <f>W622/((1+'How much will I make'!$C$5/12)^(Calculations!$B$1*12-Calculations!$A622))</f>
        <v>353.94138987715644</v>
      </c>
      <c r="Z622" s="25">
        <f t="shared" si="113"/>
        <v>560136805.68788338</v>
      </c>
      <c r="AA622" s="25">
        <f t="shared" si="99"/>
        <v>113.91897357785103</v>
      </c>
      <c r="AB622" s="25">
        <f t="shared" si="114"/>
        <v>19205083820.348705</v>
      </c>
      <c r="AC622" s="25">
        <f>AA622/((1+'How much will I make'!$C$5/12)^(Calculations!$B$1*12-Calculations!$A622))</f>
        <v>202.20718460227917</v>
      </c>
      <c r="AD622" s="25">
        <f t="shared" si="115"/>
        <v>3144580520.7391105</v>
      </c>
      <c r="AE622" s="25">
        <f t="shared" si="100"/>
        <v>65.229441351959579</v>
      </c>
      <c r="AF622" s="25">
        <f t="shared" si="116"/>
        <v>114565044904.25673</v>
      </c>
      <c r="AG622" s="25">
        <f>AE622/((1+'How much will I make'!$C$5/12)^(Calculations!$B$1*12-Calculations!$A622))</f>
        <v>115.78283471756723</v>
      </c>
      <c r="AH622" s="25">
        <f t="shared" si="117"/>
        <v>18238884056.897324</v>
      </c>
    </row>
    <row r="623" spans="1:34" ht="15.75" customHeight="1">
      <c r="A623" s="22">
        <f t="shared" si="101"/>
        <v>619</v>
      </c>
      <c r="B623" s="22">
        <f t="shared" si="126"/>
        <v>6020.3848875206904</v>
      </c>
      <c r="C623" s="25">
        <f t="shared" si="93"/>
        <v>3377.6756026967946</v>
      </c>
      <c r="D623" s="25">
        <f t="shared" si="102"/>
        <v>2156311.6910234084</v>
      </c>
      <c r="E623" s="25">
        <f>$C623/((1+'How much will I make'!$C$5/12)^(Calculations!$B$1*12-Calculations!$A623))</f>
        <v>6020.3848875206904</v>
      </c>
      <c r="F623" s="25">
        <f t="shared" si="103"/>
        <v>1367035.0672176087</v>
      </c>
      <c r="G623" s="25">
        <f t="shared" si="94"/>
        <v>1899.5511109005984</v>
      </c>
      <c r="H623" s="25">
        <f t="shared" si="104"/>
        <v>5717812.0133713046</v>
      </c>
      <c r="I623" s="25">
        <f>G623/((1+'How much will I make'!$C$5/12)^(Calculations!$B$1*12-Calculations!$A623))</f>
        <v>3385.7688381940461</v>
      </c>
      <c r="J623" s="25">
        <f t="shared" si="105"/>
        <v>2149910.1997086518</v>
      </c>
      <c r="K623" s="25">
        <f t="shared" si="95"/>
        <v>1070.8159332130506</v>
      </c>
      <c r="L623" s="25">
        <f t="shared" si="106"/>
        <v>22439314.249240659</v>
      </c>
      <c r="M623" s="25">
        <f>K623/((1+'How much will I make'!$C$5/12)^(Calculations!$B$1*12-Calculations!$A623))</f>
        <v>1908.6273579632807</v>
      </c>
      <c r="N623" s="25">
        <f t="shared" si="107"/>
        <v>5660941.5574038485</v>
      </c>
      <c r="O623" s="25">
        <f t="shared" si="96"/>
        <v>605.06355363537989</v>
      </c>
      <c r="P623" s="25">
        <f t="shared" si="108"/>
        <v>108386870.01158786</v>
      </c>
      <c r="Q623" s="25">
        <f>O623/((1+'How much will I make'!$C$5/12)^(Calculations!$B$1*12-Calculations!$A623))</f>
        <v>1078.4681250584274</v>
      </c>
      <c r="R623" s="25">
        <f t="shared" si="109"/>
        <v>22025780.95373559</v>
      </c>
      <c r="S623" s="25">
        <f t="shared" si="97"/>
        <v>342.68976062050069</v>
      </c>
      <c r="T623" s="25">
        <f t="shared" si="110"/>
        <v>580369473.60351956</v>
      </c>
      <c r="U623" s="25">
        <f>S623/((1+'How much will I make'!$C$5/12)^(Calculations!$B$1*12-Calculations!$A623))</f>
        <v>610.81184181823483</v>
      </c>
      <c r="V623" s="25">
        <f t="shared" si="111"/>
        <v>105481914.80222429</v>
      </c>
      <c r="W623" s="25">
        <f t="shared" si="98"/>
        <v>194.53912915536984</v>
      </c>
      <c r="X623" s="25">
        <f t="shared" si="112"/>
        <v>3284769922.6459084</v>
      </c>
      <c r="Y623" s="25">
        <f>W623/((1+'How much will I make'!$C$5/12)^(Calculations!$B$1*12-Calculations!$A623))</f>
        <v>346.74745918859634</v>
      </c>
      <c r="Z623" s="25">
        <f t="shared" si="113"/>
        <v>560137152.43534255</v>
      </c>
      <c r="AA623" s="25">
        <f t="shared" si="99"/>
        <v>110.69050064244634</v>
      </c>
      <c r="AB623" s="25">
        <f t="shared" si="114"/>
        <v>19205083931.039207</v>
      </c>
      <c r="AC623" s="25">
        <f>AA623/((1+'How much will I make'!$C$5/12)^(Calculations!$B$1*12-Calculations!$A623))</f>
        <v>197.29526918683914</v>
      </c>
      <c r="AD623" s="25">
        <f t="shared" si="115"/>
        <v>3144580718.0343795</v>
      </c>
      <c r="AE623" s="25">
        <f t="shared" si="100"/>
        <v>63.125265824477012</v>
      </c>
      <c r="AF623" s="25">
        <f t="shared" si="116"/>
        <v>114565044967.38199</v>
      </c>
      <c r="AG623" s="25">
        <f>AE623/((1+'How much will I make'!$C$5/12)^(Calculations!$B$1*12-Calculations!$A623))</f>
        <v>112.51477083441006</v>
      </c>
      <c r="AH623" s="25">
        <f t="shared" si="117"/>
        <v>18238884169.412094</v>
      </c>
    </row>
    <row r="624" spans="1:34" ht="15.75" customHeight="1">
      <c r="A624" s="22">
        <f t="shared" si="101"/>
        <v>620</v>
      </c>
      <c r="B624" s="22">
        <f t="shared" si="126"/>
        <v>6020.3848875206904</v>
      </c>
      <c r="C624" s="25">
        <f t="shared" si="93"/>
        <v>3363.6603512333218</v>
      </c>
      <c r="D624" s="25">
        <f t="shared" si="102"/>
        <v>2159675.3513746415</v>
      </c>
      <c r="E624" s="25">
        <f>$C624/((1+'How much will I make'!$C$5/12)^(Calculations!$B$1*12-Calculations!$A624))</f>
        <v>6020.3848875206904</v>
      </c>
      <c r="F624" s="25">
        <f t="shared" si="103"/>
        <v>1373055.4521051294</v>
      </c>
      <c r="G624" s="25">
        <f t="shared" si="94"/>
        <v>1883.8523413890225</v>
      </c>
      <c r="H624" s="25">
        <f t="shared" si="104"/>
        <v>5719695.8657126939</v>
      </c>
      <c r="I624" s="25">
        <f>G624/((1+'How much will I make'!$C$5/12)^(Calculations!$B$1*12-Calculations!$A624))</f>
        <v>3371.7780578709298</v>
      </c>
      <c r="J624" s="25">
        <f t="shared" si="105"/>
        <v>2153281.9777665227</v>
      </c>
      <c r="K624" s="25">
        <f t="shared" si="95"/>
        <v>1057.5959834202968</v>
      </c>
      <c r="L624" s="25">
        <f t="shared" si="106"/>
        <v>22440371.845224079</v>
      </c>
      <c r="M624" s="25">
        <f>K624/((1+'How much will I make'!$C$5/12)^(Calculations!$B$1*12-Calculations!$A624))</f>
        <v>1892.91849081955</v>
      </c>
      <c r="N624" s="25">
        <f t="shared" si="107"/>
        <v>5662834.4758946681</v>
      </c>
      <c r="O624" s="25">
        <f t="shared" si="96"/>
        <v>595.14447898561957</v>
      </c>
      <c r="P624" s="25">
        <f t="shared" si="108"/>
        <v>108387465.15606685</v>
      </c>
      <c r="Q624" s="25">
        <f>O624/((1+'How much will I make'!$C$5/12)^(Calculations!$B$1*12-Calculations!$A624))</f>
        <v>1065.2082710618076</v>
      </c>
      <c r="R624" s="25">
        <f t="shared" si="109"/>
        <v>22026846.16200665</v>
      </c>
      <c r="S624" s="25">
        <f t="shared" si="97"/>
        <v>335.69609203640886</v>
      </c>
      <c r="T624" s="25">
        <f t="shared" si="110"/>
        <v>580369809.29961157</v>
      </c>
      <c r="U624" s="25">
        <f>S624/((1+'How much will I make'!$C$5/12)^(Calculations!$B$1*12-Calculations!$A624))</f>
        <v>600.83940358446785</v>
      </c>
      <c r="V624" s="25">
        <f t="shared" si="111"/>
        <v>105482515.64162788</v>
      </c>
      <c r="W624" s="25">
        <f t="shared" si="98"/>
        <v>189.79427234670229</v>
      </c>
      <c r="X624" s="25">
        <f t="shared" si="112"/>
        <v>3284770112.4401808</v>
      </c>
      <c r="Y624" s="25">
        <f>W624/((1+'How much will I make'!$C$5/12)^(Calculations!$B$1*12-Calculations!$A624))</f>
        <v>339.6997466034623</v>
      </c>
      <c r="Z624" s="25">
        <f t="shared" si="113"/>
        <v>560137492.13508916</v>
      </c>
      <c r="AA624" s="25">
        <f t="shared" si="99"/>
        <v>107.55352289144587</v>
      </c>
      <c r="AB624" s="25">
        <f t="shared" si="114"/>
        <v>19205084038.592731</v>
      </c>
      <c r="AC624" s="25">
        <f>AA624/((1+'How much will I make'!$C$5/12)^(Calculations!$B$1*12-Calculations!$A624))</f>
        <v>192.50267155477025</v>
      </c>
      <c r="AD624" s="25">
        <f t="shared" si="115"/>
        <v>3144580910.5370512</v>
      </c>
      <c r="AE624" s="25">
        <f t="shared" si="100"/>
        <v>61.088966926913223</v>
      </c>
      <c r="AF624" s="25">
        <f t="shared" si="116"/>
        <v>114565045028.47096</v>
      </c>
      <c r="AG624" s="25">
        <f>AE624/((1+'How much will I make'!$C$5/12)^(Calculations!$B$1*12-Calculations!$A624))</f>
        <v>109.33895068989041</v>
      </c>
      <c r="AH624" s="25">
        <f t="shared" si="117"/>
        <v>18238884278.751045</v>
      </c>
    </row>
    <row r="625" spans="1:34" ht="15.75" customHeight="1">
      <c r="A625" s="22">
        <f t="shared" si="101"/>
        <v>621</v>
      </c>
      <c r="B625" s="22">
        <f t="shared" si="126"/>
        <v>6020.3848875206904</v>
      </c>
      <c r="C625" s="25">
        <f t="shared" si="93"/>
        <v>3349.7032543402379</v>
      </c>
      <c r="D625" s="25">
        <f t="shared" si="102"/>
        <v>2163025.0546289817</v>
      </c>
      <c r="E625" s="25">
        <f>$C625/((1+'How much will I make'!$C$5/12)^(Calculations!$B$1*12-Calculations!$A625))</f>
        <v>6020.3848875206904</v>
      </c>
      <c r="F625" s="25">
        <f t="shared" si="103"/>
        <v>1379075.8369926501</v>
      </c>
      <c r="G625" s="25">
        <f t="shared" si="94"/>
        <v>1868.2833137742377</v>
      </c>
      <c r="H625" s="25">
        <f t="shared" si="104"/>
        <v>5721564.1490264684</v>
      </c>
      <c r="I625" s="25">
        <f>G625/((1+'How much will I make'!$C$5/12)^(Calculations!$B$1*12-Calculations!$A625))</f>
        <v>3357.8450906896455</v>
      </c>
      <c r="J625" s="25">
        <f t="shared" si="105"/>
        <v>2156639.8228572123</v>
      </c>
      <c r="K625" s="25">
        <f t="shared" si="95"/>
        <v>1044.539242884244</v>
      </c>
      <c r="L625" s="25">
        <f t="shared" si="106"/>
        <v>22441416.384466965</v>
      </c>
      <c r="M625" s="25">
        <f>K625/((1+'How much will I make'!$C$5/12)^(Calculations!$B$1*12-Calculations!$A625))</f>
        <v>1877.3389147634223</v>
      </c>
      <c r="N625" s="25">
        <f t="shared" si="107"/>
        <v>5664711.8148094313</v>
      </c>
      <c r="O625" s="25">
        <f t="shared" si="96"/>
        <v>585.38801211700275</v>
      </c>
      <c r="P625" s="25">
        <f t="shared" si="108"/>
        <v>108388050.54407896</v>
      </c>
      <c r="Q625" s="25">
        <f>O625/((1+'How much will I make'!$C$5/12)^(Calculations!$B$1*12-Calculations!$A625))</f>
        <v>1052.111448056949</v>
      </c>
      <c r="R625" s="25">
        <f t="shared" si="109"/>
        <v>22027898.273454707</v>
      </c>
      <c r="S625" s="25">
        <f t="shared" si="97"/>
        <v>328.84515138260457</v>
      </c>
      <c r="T625" s="25">
        <f t="shared" si="110"/>
        <v>580370138.14476299</v>
      </c>
      <c r="U625" s="25">
        <f>S625/((1+'How much will I make'!$C$5/12)^(Calculations!$B$1*12-Calculations!$A625))</f>
        <v>591.02978066880291</v>
      </c>
      <c r="V625" s="25">
        <f t="shared" si="111"/>
        <v>105483106.67140855</v>
      </c>
      <c r="W625" s="25">
        <f t="shared" si="98"/>
        <v>185.16514375288028</v>
      </c>
      <c r="X625" s="25">
        <f t="shared" si="112"/>
        <v>3284770297.6053247</v>
      </c>
      <c r="Y625" s="25">
        <f>W625/((1+'How much will I make'!$C$5/12)^(Calculations!$B$1*12-Calculations!$A625))</f>
        <v>332.79528020908299</v>
      </c>
      <c r="Z625" s="25">
        <f t="shared" si="113"/>
        <v>560137824.93036938</v>
      </c>
      <c r="AA625" s="25">
        <f t="shared" si="99"/>
        <v>104.50544734391504</v>
      </c>
      <c r="AB625" s="25">
        <f t="shared" si="114"/>
        <v>19205084143.098179</v>
      </c>
      <c r="AC625" s="25">
        <f>AA625/((1+'How much will I make'!$C$5/12)^(Calculations!$B$1*12-Calculations!$A625))</f>
        <v>187.82649329837909</v>
      </c>
      <c r="AD625" s="25">
        <f t="shared" si="115"/>
        <v>3144581098.3635445</v>
      </c>
      <c r="AE625" s="25">
        <f t="shared" si="100"/>
        <v>59.118355090561174</v>
      </c>
      <c r="AF625" s="25">
        <f t="shared" si="116"/>
        <v>114565045087.58932</v>
      </c>
      <c r="AG625" s="25">
        <f>AE625/((1+'How much will I make'!$C$5/12)^(Calculations!$B$1*12-Calculations!$A625))</f>
        <v>106.25277063009509</v>
      </c>
      <c r="AH625" s="25">
        <f t="shared" si="117"/>
        <v>18238884385.003815</v>
      </c>
    </row>
    <row r="626" spans="1:34" ht="15.75" customHeight="1">
      <c r="A626" s="22">
        <f t="shared" si="101"/>
        <v>622</v>
      </c>
      <c r="B626" s="22">
        <f t="shared" si="126"/>
        <v>6020.3848875206904</v>
      </c>
      <c r="C626" s="25">
        <f t="shared" si="93"/>
        <v>3335.80407071227</v>
      </c>
      <c r="D626" s="25">
        <f t="shared" si="102"/>
        <v>2166360.8586996938</v>
      </c>
      <c r="E626" s="25">
        <f>$C626/((1+'How much will I make'!$C$5/12)^(Calculations!$B$1*12-Calculations!$A626))</f>
        <v>6020.3848875206904</v>
      </c>
      <c r="F626" s="25">
        <f t="shared" si="103"/>
        <v>1385096.2218801707</v>
      </c>
      <c r="G626" s="25">
        <f t="shared" si="94"/>
        <v>1852.8429558091614</v>
      </c>
      <c r="H626" s="25">
        <f t="shared" si="104"/>
        <v>5723416.9919822775</v>
      </c>
      <c r="I626" s="25">
        <f>G626/((1+'How much will I make'!$C$5/12)^(Calculations!$B$1*12-Calculations!$A626))</f>
        <v>3343.9696977529115</v>
      </c>
      <c r="J626" s="25">
        <f t="shared" si="105"/>
        <v>2159983.7925549652</v>
      </c>
      <c r="K626" s="25">
        <f t="shared" si="95"/>
        <v>1031.6436966757963</v>
      </c>
      <c r="L626" s="25">
        <f t="shared" si="106"/>
        <v>22442448.028163642</v>
      </c>
      <c r="M626" s="25">
        <f>K626/((1+'How much will I make'!$C$5/12)^(Calculations!$B$1*12-Calculations!$A626))</f>
        <v>1861.8875656707189</v>
      </c>
      <c r="N626" s="25">
        <f t="shared" si="107"/>
        <v>5666573.7023751019</v>
      </c>
      <c r="O626" s="25">
        <f t="shared" si="96"/>
        <v>575.79148732819942</v>
      </c>
      <c r="P626" s="25">
        <f t="shared" si="108"/>
        <v>108388626.33556628</v>
      </c>
      <c r="Q626" s="25">
        <f>O626/((1+'How much will I make'!$C$5/12)^(Calculations!$B$1*12-Calculations!$A626))</f>
        <v>1039.1756515644456</v>
      </c>
      <c r="R626" s="25">
        <f t="shared" si="109"/>
        <v>22028937.449106272</v>
      </c>
      <c r="S626" s="25">
        <f t="shared" si="97"/>
        <v>322.13402584418412</v>
      </c>
      <c r="T626" s="25">
        <f t="shared" si="110"/>
        <v>580370460.27878881</v>
      </c>
      <c r="U626" s="25">
        <f>S626/((1+'How much will I make'!$C$5/12)^(Calculations!$B$1*12-Calculations!$A626))</f>
        <v>581.38031486196542</v>
      </c>
      <c r="V626" s="25">
        <f t="shared" si="111"/>
        <v>105483688.05172341</v>
      </c>
      <c r="W626" s="25">
        <f t="shared" si="98"/>
        <v>180.64892073451736</v>
      </c>
      <c r="X626" s="25">
        <f t="shared" si="112"/>
        <v>3284770478.2542453</v>
      </c>
      <c r="Y626" s="25">
        <f>W626/((1+'How much will I make'!$C$5/12)^(Calculations!$B$1*12-Calculations!$A626))</f>
        <v>326.03114849751631</v>
      </c>
      <c r="Z626" s="25">
        <f t="shared" si="113"/>
        <v>560138150.96151793</v>
      </c>
      <c r="AA626" s="25">
        <f t="shared" si="99"/>
        <v>101.54375450420893</v>
      </c>
      <c r="AB626" s="25">
        <f t="shared" si="114"/>
        <v>19205084244.641933</v>
      </c>
      <c r="AC626" s="25">
        <f>AA626/((1+'How much will I make'!$C$5/12)^(Calculations!$B$1*12-Calculations!$A626))</f>
        <v>183.2639064166371</v>
      </c>
      <c r="AD626" s="25">
        <f t="shared" si="115"/>
        <v>3144581281.6274509</v>
      </c>
      <c r="AE626" s="25">
        <f t="shared" si="100"/>
        <v>57.211311377962424</v>
      </c>
      <c r="AF626" s="25">
        <f t="shared" si="116"/>
        <v>114565045144.80064</v>
      </c>
      <c r="AG626" s="25">
        <f>AE626/((1+'How much will I make'!$C$5/12)^(Calculations!$B$1*12-Calculations!$A626))</f>
        <v>103.2537004913424</v>
      </c>
      <c r="AH626" s="25">
        <f t="shared" si="117"/>
        <v>18238884488.257515</v>
      </c>
    </row>
    <row r="627" spans="1:34" ht="15.75" customHeight="1">
      <c r="A627" s="22">
        <f t="shared" si="101"/>
        <v>623</v>
      </c>
      <c r="B627" s="22">
        <f t="shared" si="126"/>
        <v>6020.3848875206904</v>
      </c>
      <c r="C627" s="25">
        <f t="shared" si="93"/>
        <v>3321.9625600454128</v>
      </c>
      <c r="D627" s="25">
        <f t="shared" si="102"/>
        <v>2169682.8212597393</v>
      </c>
      <c r="E627" s="25">
        <f>$C627/((1+'How much will I make'!$C$5/12)^(Calculations!$B$1*12-Calculations!$A627))</f>
        <v>6020.3848875206904</v>
      </c>
      <c r="F627" s="25">
        <f t="shared" si="103"/>
        <v>1391116.6067676914</v>
      </c>
      <c r="G627" s="25">
        <f t="shared" si="94"/>
        <v>1837.5302041082593</v>
      </c>
      <c r="H627" s="25">
        <f t="shared" si="104"/>
        <v>5725254.5221863855</v>
      </c>
      <c r="I627" s="25">
        <f>G627/((1+'How much will I make'!$C$5/12)^(Calculations!$B$1*12-Calculations!$A627))</f>
        <v>3330.1516411506282</v>
      </c>
      <c r="J627" s="25">
        <f t="shared" si="105"/>
        <v>2163313.9441961157</v>
      </c>
      <c r="K627" s="25">
        <f t="shared" si="95"/>
        <v>1018.9073547415275</v>
      </c>
      <c r="L627" s="25">
        <f t="shared" si="106"/>
        <v>22443466.935518384</v>
      </c>
      <c r="M627" s="25">
        <f>K627/((1+'How much will I make'!$C$5/12)^(Calculations!$B$1*12-Calculations!$A627))</f>
        <v>1846.5633881754877</v>
      </c>
      <c r="N627" s="25">
        <f t="shared" si="107"/>
        <v>5668420.2657632772</v>
      </c>
      <c r="O627" s="25">
        <f t="shared" si="96"/>
        <v>566.35228261790121</v>
      </c>
      <c r="P627" s="25">
        <f t="shared" si="108"/>
        <v>108389192.6878489</v>
      </c>
      <c r="Q627" s="25">
        <f>O627/((1+'How much will I make'!$C$5/12)^(Calculations!$B$1*12-Calculations!$A627))</f>
        <v>1026.3989017501292</v>
      </c>
      <c r="R627" s="25">
        <f t="shared" si="109"/>
        <v>22029963.848008022</v>
      </c>
      <c r="S627" s="25">
        <f t="shared" si="97"/>
        <v>315.55986205144569</v>
      </c>
      <c r="T627" s="25">
        <f t="shared" si="110"/>
        <v>580370775.83865082</v>
      </c>
      <c r="U627" s="25">
        <f>S627/((1+'How much will I make'!$C$5/12)^(Calculations!$B$1*12-Calculations!$A627))</f>
        <v>571.8883913540152</v>
      </c>
      <c r="V627" s="25">
        <f t="shared" si="111"/>
        <v>105484259.94011477</v>
      </c>
      <c r="W627" s="25">
        <f t="shared" si="98"/>
        <v>176.24284949709011</v>
      </c>
      <c r="X627" s="25">
        <f t="shared" si="112"/>
        <v>3284770654.4970946</v>
      </c>
      <c r="Y627" s="25">
        <f>W627/((1+'How much will I make'!$C$5/12)^(Calculations!$B$1*12-Calculations!$A627))</f>
        <v>319.40449913781077</v>
      </c>
      <c r="Z627" s="25">
        <f t="shared" si="113"/>
        <v>560138470.3660171</v>
      </c>
      <c r="AA627" s="25">
        <f t="shared" si="99"/>
        <v>98.665996279393312</v>
      </c>
      <c r="AB627" s="25">
        <f t="shared" si="114"/>
        <v>19205084343.30793</v>
      </c>
      <c r="AC627" s="25">
        <f>AA627/((1+'How much will I make'!$C$5/12)^(Calculations!$B$1*12-Calculations!$A627))</f>
        <v>178.812151604897</v>
      </c>
      <c r="AD627" s="25">
        <f t="shared" si="115"/>
        <v>3144581460.4396024</v>
      </c>
      <c r="AE627" s="25">
        <f t="shared" si="100"/>
        <v>55.365785204479771</v>
      </c>
      <c r="AF627" s="25">
        <f t="shared" si="116"/>
        <v>114565045200.16643</v>
      </c>
      <c r="AG627" s="25">
        <f>AE627/((1+'How much will I make'!$C$5/12)^(Calculations!$B$1*12-Calculations!$A627))</f>
        <v>100.33928152586101</v>
      </c>
      <c r="AH627" s="25">
        <f t="shared" si="117"/>
        <v>18238884588.596798</v>
      </c>
    </row>
    <row r="628" spans="1:34" ht="15.75" customHeight="1">
      <c r="A628" s="22">
        <f t="shared" si="101"/>
        <v>624</v>
      </c>
      <c r="B628" s="22">
        <f t="shared" si="126"/>
        <v>6020.3848875206904</v>
      </c>
      <c r="C628" s="25">
        <f t="shared" si="93"/>
        <v>3308.178483032777</v>
      </c>
      <c r="D628" s="25">
        <f t="shared" si="102"/>
        <v>2172990.999742772</v>
      </c>
      <c r="E628" s="25">
        <f>$C628/((1+'How much will I make'!$C$5/12)^(Calculations!$B$1*12-Calculations!$A628))</f>
        <v>6020.3848875206904</v>
      </c>
      <c r="F628" s="25">
        <f t="shared" si="103"/>
        <v>1397136.9916552121</v>
      </c>
      <c r="G628" s="25">
        <f t="shared" si="94"/>
        <v>1822.3440040743069</v>
      </c>
      <c r="H628" s="25">
        <f t="shared" si="104"/>
        <v>5727076.8661904596</v>
      </c>
      <c r="I628" s="25">
        <f>G628/((1+'How much will I make'!$C$5/12)^(Calculations!$B$1*12-Calculations!$A628))</f>
        <v>3316.3906839557903</v>
      </c>
      <c r="J628" s="25">
        <f t="shared" si="105"/>
        <v>2166630.3348800717</v>
      </c>
      <c r="K628" s="25">
        <f t="shared" si="95"/>
        <v>1006.3282515965702</v>
      </c>
      <c r="L628" s="25">
        <f t="shared" si="106"/>
        <v>22444473.263769981</v>
      </c>
      <c r="M628" s="25">
        <f>K628/((1+'How much will I make'!$C$5/12)^(Calculations!$B$1*12-Calculations!$A628))</f>
        <v>1831.3653355979113</v>
      </c>
      <c r="N628" s="25">
        <f t="shared" si="107"/>
        <v>5670251.6310988748</v>
      </c>
      <c r="O628" s="25">
        <f t="shared" si="96"/>
        <v>557.06781896842745</v>
      </c>
      <c r="P628" s="25">
        <f t="shared" si="108"/>
        <v>108389749.75566787</v>
      </c>
      <c r="Q628" s="25">
        <f>O628/((1+'How much will I make'!$C$5/12)^(Calculations!$B$1*12-Calculations!$A628))</f>
        <v>1013.7792431220537</v>
      </c>
      <c r="R628" s="25">
        <f t="shared" si="109"/>
        <v>22030977.627251144</v>
      </c>
      <c r="S628" s="25">
        <f t="shared" si="97"/>
        <v>309.11986486672242</v>
      </c>
      <c r="T628" s="25">
        <f t="shared" si="110"/>
        <v>580371084.95851564</v>
      </c>
      <c r="U628" s="25">
        <f>S628/((1+'How much will I make'!$C$5/12)^(Calculations!$B$1*12-Calculations!$A628))</f>
        <v>562.55143802578652</v>
      </c>
      <c r="V628" s="25">
        <f t="shared" si="111"/>
        <v>105484822.49155279</v>
      </c>
      <c r="W628" s="25">
        <f t="shared" si="98"/>
        <v>171.94424341179521</v>
      </c>
      <c r="X628" s="25">
        <f t="shared" si="112"/>
        <v>3284770826.4413381</v>
      </c>
      <c r="Y628" s="25">
        <f>W628/((1+'How much will I make'!$C$5/12)^(Calculations!$B$1*12-Calculations!$A628))</f>
        <v>312.91253777322106</v>
      </c>
      <c r="Z628" s="25">
        <f t="shared" si="113"/>
        <v>560138783.27855492</v>
      </c>
      <c r="AA628" s="25">
        <f t="shared" si="99"/>
        <v>95.869793955685822</v>
      </c>
      <c r="AB628" s="25">
        <f t="shared" si="114"/>
        <v>19205084439.177723</v>
      </c>
      <c r="AC628" s="25">
        <f>AA628/((1+'How much will I make'!$C$5/12)^(Calculations!$B$1*12-Calculations!$A628))</f>
        <v>174.46853658615456</v>
      </c>
      <c r="AD628" s="25">
        <f t="shared" si="115"/>
        <v>3144581634.9081388</v>
      </c>
      <c r="AE628" s="25">
        <f t="shared" si="100"/>
        <v>53.579792133367498</v>
      </c>
      <c r="AF628" s="25">
        <f t="shared" si="116"/>
        <v>114565045253.74622</v>
      </c>
      <c r="AG628" s="25">
        <f>AE628/((1+'How much will I make'!$C$5/12)^(Calculations!$B$1*12-Calculations!$A628))</f>
        <v>97.507124386018106</v>
      </c>
      <c r="AH628" s="25">
        <f t="shared" si="117"/>
        <v>18238884686.103924</v>
      </c>
    </row>
    <row r="629" spans="1:34" ht="15.75" customHeight="1">
      <c r="A629" s="22">
        <f t="shared" si="101"/>
        <v>625</v>
      </c>
      <c r="B629" s="22">
        <f>B628*(1+'How much will I make'!$C$4)</f>
        <v>6321.4041318967256</v>
      </c>
      <c r="C629" s="25">
        <f t="shared" si="93"/>
        <v>3459.1741814284646</v>
      </c>
      <c r="D629" s="25">
        <f t="shared" si="102"/>
        <v>2176450.1739242002</v>
      </c>
      <c r="E629" s="25">
        <f>$C629/((1+'How much will I make'!$C$5/12)^(Calculations!$B$1*12-Calculations!$A629))</f>
        <v>6321.4041318967256</v>
      </c>
      <c r="F629" s="25">
        <f t="shared" si="103"/>
        <v>1403458.3957871089</v>
      </c>
      <c r="G629" s="25">
        <f t="shared" si="94"/>
        <v>1897.6474753170471</v>
      </c>
      <c r="H629" s="25">
        <f t="shared" si="104"/>
        <v>5728974.5136657767</v>
      </c>
      <c r="I629" s="25">
        <f>G629/((1+'How much will I make'!$C$5/12)^(Calculations!$B$1*12-Calculations!$A629))</f>
        <v>3467.8209197314582</v>
      </c>
      <c r="J629" s="25">
        <f t="shared" si="105"/>
        <v>2170098.1557998033</v>
      </c>
      <c r="K629" s="25">
        <f t="shared" si="95"/>
        <v>1043.5996683223693</v>
      </c>
      <c r="L629" s="25">
        <f t="shared" si="106"/>
        <v>22445516.863438305</v>
      </c>
      <c r="M629" s="25">
        <f>K629/((1+'How much will I make'!$C$5/12)^(Calculations!$B$1*12-Calculations!$A629))</f>
        <v>1907.106988366467</v>
      </c>
      <c r="N629" s="25">
        <f t="shared" si="107"/>
        <v>5672158.7380872415</v>
      </c>
      <c r="O629" s="25">
        <f t="shared" si="96"/>
        <v>575.33233762313012</v>
      </c>
      <c r="P629" s="25">
        <f t="shared" si="108"/>
        <v>108390325.08800548</v>
      </c>
      <c r="Q629" s="25">
        <f>O629/((1+'How much will I make'!$C$5/12)^(Calculations!$B$1*12-Calculations!$A629))</f>
        <v>1051.3804814427695</v>
      </c>
      <c r="R629" s="25">
        <f t="shared" si="109"/>
        <v>22032029.007732589</v>
      </c>
      <c r="S629" s="25">
        <f t="shared" si="97"/>
        <v>317.95186100577166</v>
      </c>
      <c r="T629" s="25">
        <f t="shared" si="110"/>
        <v>580371402.91037667</v>
      </c>
      <c r="U629" s="25">
        <f>S629/((1+'How much will I make'!$C$5/12)^(Calculations!$B$1*12-Calculations!$A629))</f>
        <v>581.03527098949098</v>
      </c>
      <c r="V629" s="25">
        <f t="shared" si="111"/>
        <v>105485403.52682377</v>
      </c>
      <c r="W629" s="25">
        <f t="shared" si="98"/>
        <v>176.1380054462293</v>
      </c>
      <c r="X629" s="25">
        <f t="shared" si="112"/>
        <v>3284771002.5793433</v>
      </c>
      <c r="Y629" s="25">
        <f>W629/((1+'How much will I make'!$C$5/12)^(Calculations!$B$1*12-Calculations!$A629))</f>
        <v>321.88015318501465</v>
      </c>
      <c r="Z629" s="25">
        <f t="shared" si="113"/>
        <v>560139105.1587081</v>
      </c>
      <c r="AA629" s="25">
        <f t="shared" si="99"/>
        <v>97.810478043857628</v>
      </c>
      <c r="AB629" s="25">
        <f t="shared" si="114"/>
        <v>19205084536.988201</v>
      </c>
      <c r="AC629" s="25">
        <f>AA629/((1+'How much will I make'!$C$5/12)^(Calculations!$B$1*12-Calculations!$A629))</f>
        <v>178.74195620698956</v>
      </c>
      <c r="AD629" s="25">
        <f t="shared" si="115"/>
        <v>3144581813.650095</v>
      </c>
      <c r="AE629" s="25">
        <f t="shared" si="100"/>
        <v>54.443982329066984</v>
      </c>
      <c r="AF629" s="25">
        <f t="shared" si="116"/>
        <v>114565045308.1902</v>
      </c>
      <c r="AG629" s="25">
        <f>AE629/((1+'How much will I make'!$C$5/12)^(Calculations!$B$1*12-Calculations!$A629))</f>
        <v>99.492652523717268</v>
      </c>
      <c r="AH629" s="25">
        <f t="shared" si="117"/>
        <v>18238884785.596577</v>
      </c>
    </row>
    <row r="630" spans="1:34" ht="15.75" customHeight="1">
      <c r="A630" s="22">
        <f t="shared" si="101"/>
        <v>626</v>
      </c>
      <c r="B630" s="22">
        <f t="shared" ref="B630:B640" si="127">B629</f>
        <v>6321.4041318967256</v>
      </c>
      <c r="C630" s="25">
        <f t="shared" si="93"/>
        <v>3444.8207615885126</v>
      </c>
      <c r="D630" s="25">
        <f t="shared" si="102"/>
        <v>2179894.9946857886</v>
      </c>
      <c r="E630" s="25">
        <f>$C630/((1+'How much will I make'!$C$5/12)^(Calculations!$B$1*12-Calculations!$A630))</f>
        <v>6321.4041318967256</v>
      </c>
      <c r="F630" s="25">
        <f t="shared" si="103"/>
        <v>1409779.7999190057</v>
      </c>
      <c r="G630" s="25">
        <f t="shared" si="94"/>
        <v>1881.9644383309555</v>
      </c>
      <c r="H630" s="25">
        <f t="shared" si="104"/>
        <v>5730856.478104108</v>
      </c>
      <c r="I630" s="25">
        <f>G630/((1+'How much will I make'!$C$5/12)^(Calculations!$B$1*12-Calculations!$A630))</f>
        <v>3453.4910812201706</v>
      </c>
      <c r="J630" s="25">
        <f t="shared" si="105"/>
        <v>2173551.6468810234</v>
      </c>
      <c r="K630" s="25">
        <f t="shared" si="95"/>
        <v>1030.7157217998706</v>
      </c>
      <c r="L630" s="25">
        <f t="shared" si="106"/>
        <v>22446547.579160105</v>
      </c>
      <c r="M630" s="25">
        <f>K630/((1+'How much will I make'!$C$5/12)^(Calculations!$B$1*12-Calculations!$A630))</f>
        <v>1891.4106345527507</v>
      </c>
      <c r="N630" s="25">
        <f t="shared" si="107"/>
        <v>5674050.1487217946</v>
      </c>
      <c r="O630" s="25">
        <f t="shared" si="96"/>
        <v>565.90065995717714</v>
      </c>
      <c r="P630" s="25">
        <f t="shared" si="108"/>
        <v>108390890.98866545</v>
      </c>
      <c r="Q630" s="25">
        <f>O630/((1+'How much will I make'!$C$5/12)^(Calculations!$B$1*12-Calculations!$A630))</f>
        <v>1038.4536722447026</v>
      </c>
      <c r="R630" s="25">
        <f t="shared" si="109"/>
        <v>22033067.461404834</v>
      </c>
      <c r="S630" s="25">
        <f t="shared" si="97"/>
        <v>311.46304751585802</v>
      </c>
      <c r="T630" s="25">
        <f t="shared" si="110"/>
        <v>580371714.37342417</v>
      </c>
      <c r="U630" s="25">
        <f>S630/((1+'How much will I make'!$C$5/12)^(Calculations!$B$1*12-Calculations!$A630))</f>
        <v>571.54898085088712</v>
      </c>
      <c r="V630" s="25">
        <f t="shared" si="111"/>
        <v>105485975.07580462</v>
      </c>
      <c r="W630" s="25">
        <f t="shared" si="98"/>
        <v>171.84195653290664</v>
      </c>
      <c r="X630" s="25">
        <f t="shared" si="112"/>
        <v>3284771174.4212999</v>
      </c>
      <c r="Y630" s="25">
        <f>W630/((1+'How much will I make'!$C$5/12)^(Calculations!$B$1*12-Calculations!$A630))</f>
        <v>315.33787364873388</v>
      </c>
      <c r="Z630" s="25">
        <f t="shared" si="113"/>
        <v>560139420.49658179</v>
      </c>
      <c r="AA630" s="25">
        <f t="shared" si="99"/>
        <v>95.038521176217941</v>
      </c>
      <c r="AB630" s="25">
        <f t="shared" si="114"/>
        <v>19205084632.026722</v>
      </c>
      <c r="AC630" s="25">
        <f>AA630/((1+'How much will I make'!$C$5/12)^(Calculations!$B$1*12-Calculations!$A630))</f>
        <v>174.40004633961331</v>
      </c>
      <c r="AD630" s="25">
        <f t="shared" si="115"/>
        <v>3144581988.0501413</v>
      </c>
      <c r="AE630" s="25">
        <f t="shared" si="100"/>
        <v>52.687724834580941</v>
      </c>
      <c r="AF630" s="25">
        <f t="shared" si="116"/>
        <v>114565045360.87793</v>
      </c>
      <c r="AG630" s="25">
        <f>AE630/((1+'How much will I make'!$C$5/12)^(Calculations!$B$1*12-Calculations!$A630))</f>
        <v>96.684392170225237</v>
      </c>
      <c r="AH630" s="25">
        <f t="shared" si="117"/>
        <v>18238884882.280968</v>
      </c>
    </row>
    <row r="631" spans="1:34" ht="15.75" customHeight="1">
      <c r="A631" s="22">
        <f t="shared" si="101"/>
        <v>627</v>
      </c>
      <c r="B631" s="22">
        <f t="shared" si="127"/>
        <v>6321.4041318967256</v>
      </c>
      <c r="C631" s="25">
        <f t="shared" si="93"/>
        <v>3430.5268995072324</v>
      </c>
      <c r="D631" s="25">
        <f t="shared" si="102"/>
        <v>2183325.5215852959</v>
      </c>
      <c r="E631" s="25">
        <f>$C631/((1+'How much will I make'!$C$5/12)^(Calculations!$B$1*12-Calculations!$A631))</f>
        <v>6321.4041318967256</v>
      </c>
      <c r="F631" s="25">
        <f t="shared" si="103"/>
        <v>1416101.2040509025</v>
      </c>
      <c r="G631" s="25">
        <f t="shared" si="94"/>
        <v>1866.4110132207825</v>
      </c>
      <c r="H631" s="25">
        <f t="shared" si="104"/>
        <v>5732722.8891173285</v>
      </c>
      <c r="I631" s="25">
        <f>G631/((1+'How much will I make'!$C$5/12)^(Calculations!$B$1*12-Calculations!$A631))</f>
        <v>3439.2204569176079</v>
      </c>
      <c r="J631" s="25">
        <f t="shared" si="105"/>
        <v>2176990.8673379412</v>
      </c>
      <c r="K631" s="25">
        <f t="shared" si="95"/>
        <v>1017.9908363455514</v>
      </c>
      <c r="L631" s="25">
        <f t="shared" si="106"/>
        <v>22447565.56999645</v>
      </c>
      <c r="M631" s="25">
        <f>K631/((1+'How much will I make'!$C$5/12)^(Calculations!$B$1*12-Calculations!$A631))</f>
        <v>1875.8434688362674</v>
      </c>
      <c r="N631" s="25">
        <f t="shared" si="107"/>
        <v>5675925.9921906311</v>
      </c>
      <c r="O631" s="25">
        <f t="shared" si="96"/>
        <v>556.62359995787926</v>
      </c>
      <c r="P631" s="25">
        <f t="shared" si="108"/>
        <v>108391447.61226541</v>
      </c>
      <c r="Q631" s="25">
        <f>O631/((1+'How much will I make'!$C$5/12)^(Calculations!$B$1*12-Calculations!$A631))</f>
        <v>1025.6857992253006</v>
      </c>
      <c r="R631" s="25">
        <f t="shared" si="109"/>
        <v>22034093.14720406</v>
      </c>
      <c r="S631" s="25">
        <f t="shared" si="97"/>
        <v>305.10665879104459</v>
      </c>
      <c r="T631" s="25">
        <f t="shared" si="110"/>
        <v>580372019.48008299</v>
      </c>
      <c r="U631" s="25">
        <f>S631/((1+'How much will I make'!$C$5/12)^(Calculations!$B$1*12-Calculations!$A631))</f>
        <v>562.21756891862776</v>
      </c>
      <c r="V631" s="25">
        <f t="shared" si="111"/>
        <v>105486537.29337354</v>
      </c>
      <c r="W631" s="25">
        <f t="shared" si="98"/>
        <v>167.65068930039672</v>
      </c>
      <c r="X631" s="25">
        <f t="shared" si="112"/>
        <v>3284771342.0719891</v>
      </c>
      <c r="Y631" s="25">
        <f>W631/((1+'How much will I make'!$C$5/12)^(Calculations!$B$1*12-Calculations!$A631))</f>
        <v>308.9285672737596</v>
      </c>
      <c r="Z631" s="25">
        <f t="shared" si="113"/>
        <v>560139729.42514908</v>
      </c>
      <c r="AA631" s="25">
        <f t="shared" si="99"/>
        <v>92.345121790657117</v>
      </c>
      <c r="AB631" s="25">
        <f t="shared" si="114"/>
        <v>19205084724.371845</v>
      </c>
      <c r="AC631" s="25">
        <f>AA631/((1+'How much will I make'!$C$5/12)^(Calculations!$B$1*12-Calculations!$A631))</f>
        <v>170.16360796699112</v>
      </c>
      <c r="AD631" s="25">
        <f t="shared" si="115"/>
        <v>3144582158.2137494</v>
      </c>
      <c r="AE631" s="25">
        <f t="shared" si="100"/>
        <v>50.98812080765898</v>
      </c>
      <c r="AF631" s="25">
        <f t="shared" si="116"/>
        <v>114565045411.86604</v>
      </c>
      <c r="AG631" s="25">
        <f>AE631/((1+'How much will I make'!$C$5/12)^(Calculations!$B$1*12-Calculations!$A631))</f>
        <v>93.955397229936622</v>
      </c>
      <c r="AH631" s="25">
        <f t="shared" si="117"/>
        <v>18238884976.236366</v>
      </c>
    </row>
    <row r="632" spans="1:34" ht="15.75" customHeight="1">
      <c r="A632" s="22">
        <f t="shared" si="101"/>
        <v>628</v>
      </c>
      <c r="B632" s="22">
        <f t="shared" si="127"/>
        <v>6321.4041318967256</v>
      </c>
      <c r="C632" s="25">
        <f t="shared" si="93"/>
        <v>3416.2923480569948</v>
      </c>
      <c r="D632" s="25">
        <f t="shared" si="102"/>
        <v>2186741.8139333529</v>
      </c>
      <c r="E632" s="25">
        <f>$C632/((1+'How much will I make'!$C$5/12)^(Calculations!$B$1*12-Calculations!$A632))</f>
        <v>6321.4041318967256</v>
      </c>
      <c r="F632" s="25">
        <f t="shared" si="103"/>
        <v>1422422.6081827993</v>
      </c>
      <c r="G632" s="25">
        <f t="shared" si="94"/>
        <v>1850.9861288139994</v>
      </c>
      <c r="H632" s="25">
        <f t="shared" si="104"/>
        <v>5734573.875246142</v>
      </c>
      <c r="I632" s="25">
        <f>G632/((1+'How much will I make'!$C$5/12)^(Calculations!$B$1*12-Calculations!$A632))</f>
        <v>3425.008802136957</v>
      </c>
      <c r="J632" s="25">
        <f t="shared" si="105"/>
        <v>2180415.8761400781</v>
      </c>
      <c r="K632" s="25">
        <f t="shared" si="95"/>
        <v>1005.4230482425201</v>
      </c>
      <c r="L632" s="25">
        <f t="shared" si="106"/>
        <v>22448570.993044693</v>
      </c>
      <c r="M632" s="25">
        <f>K632/((1+'How much will I make'!$C$5/12)^(Calculations!$B$1*12-Calculations!$A632))</f>
        <v>1860.4044279404959</v>
      </c>
      <c r="N632" s="25">
        <f t="shared" si="107"/>
        <v>5677786.3966185721</v>
      </c>
      <c r="O632" s="25">
        <f t="shared" si="96"/>
        <v>547.49862290938938</v>
      </c>
      <c r="P632" s="25">
        <f t="shared" si="108"/>
        <v>108391995.11088832</v>
      </c>
      <c r="Q632" s="25">
        <f>O632/((1+'How much will I make'!$C$5/12)^(Calculations!$B$1*12-Calculations!$A632))</f>
        <v>1013.074908251219</v>
      </c>
      <c r="R632" s="25">
        <f t="shared" si="109"/>
        <v>22035106.222112313</v>
      </c>
      <c r="S632" s="25">
        <f t="shared" si="97"/>
        <v>298.87999228510495</v>
      </c>
      <c r="T632" s="25">
        <f t="shared" si="110"/>
        <v>580372318.36007524</v>
      </c>
      <c r="U632" s="25">
        <f>S632/((1+'How much will I make'!$C$5/12)^(Calculations!$B$1*12-Calculations!$A632))</f>
        <v>553.03850656893599</v>
      </c>
      <c r="V632" s="25">
        <f t="shared" si="111"/>
        <v>105487090.33188011</v>
      </c>
      <c r="W632" s="25">
        <f t="shared" si="98"/>
        <v>163.56164809794802</v>
      </c>
      <c r="X632" s="25">
        <f t="shared" si="112"/>
        <v>3284771505.633637</v>
      </c>
      <c r="Y632" s="25">
        <f>W632/((1+'How much will I make'!$C$5/12)^(Calculations!$B$1*12-Calculations!$A632))</f>
        <v>302.64953135356126</v>
      </c>
      <c r="Z632" s="25">
        <f t="shared" si="113"/>
        <v>560140032.07468045</v>
      </c>
      <c r="AA632" s="25">
        <f t="shared" si="99"/>
        <v>89.728053561772114</v>
      </c>
      <c r="AB632" s="25">
        <f t="shared" si="114"/>
        <v>19205084814.099899</v>
      </c>
      <c r="AC632" s="25">
        <f>AA632/((1+'How much will I make'!$C$5/12)^(Calculations!$B$1*12-Calculations!$A632))</f>
        <v>166.03007902852175</v>
      </c>
      <c r="AD632" s="25">
        <f t="shared" si="115"/>
        <v>3144582324.2438283</v>
      </c>
      <c r="AE632" s="25">
        <f t="shared" si="100"/>
        <v>49.343342717089321</v>
      </c>
      <c r="AF632" s="25">
        <f t="shared" si="116"/>
        <v>114565045461.20938</v>
      </c>
      <c r="AG632" s="25">
        <f>AE632/((1+'How much will I make'!$C$5/12)^(Calculations!$B$1*12-Calculations!$A632))</f>
        <v>91.303430372639994</v>
      </c>
      <c r="AH632" s="25">
        <f t="shared" si="117"/>
        <v>18238885067.539795</v>
      </c>
    </row>
    <row r="633" spans="1:34" ht="15.75" customHeight="1">
      <c r="A633" s="22">
        <f t="shared" si="101"/>
        <v>629</v>
      </c>
      <c r="B633" s="22">
        <f t="shared" si="127"/>
        <v>6321.4041318967256</v>
      </c>
      <c r="C633" s="25">
        <f t="shared" si="93"/>
        <v>3402.1168611355961</v>
      </c>
      <c r="D633" s="25">
        <f t="shared" si="102"/>
        <v>2190143.9307944886</v>
      </c>
      <c r="E633" s="25">
        <f>$C633/((1+'How much will I make'!$C$5/12)^(Calculations!$B$1*12-Calculations!$A633))</f>
        <v>6321.4041318967256</v>
      </c>
      <c r="F633" s="25">
        <f t="shared" si="103"/>
        <v>1428744.0123146961</v>
      </c>
      <c r="G633" s="25">
        <f t="shared" si="94"/>
        <v>1835.6887227907434</v>
      </c>
      <c r="H633" s="25">
        <f t="shared" si="104"/>
        <v>5736409.5639689332</v>
      </c>
      <c r="I633" s="25">
        <f>G633/((1+'How much will I make'!$C$5/12)^(Calculations!$B$1*12-Calculations!$A633))</f>
        <v>3410.8558732025081</v>
      </c>
      <c r="J633" s="25">
        <f t="shared" si="105"/>
        <v>2183826.7320132805</v>
      </c>
      <c r="K633" s="25">
        <f t="shared" si="95"/>
        <v>993.01041801730378</v>
      </c>
      <c r="L633" s="25">
        <f t="shared" si="106"/>
        <v>22449564.003462709</v>
      </c>
      <c r="M633" s="25">
        <f>K633/((1+'How much will I make'!$C$5/12)^(Calculations!$B$1*12-Calculations!$A633))</f>
        <v>1845.092457340163</v>
      </c>
      <c r="N633" s="25">
        <f t="shared" si="107"/>
        <v>5679631.4890759122</v>
      </c>
      <c r="O633" s="25">
        <f t="shared" si="96"/>
        <v>538.52323564857977</v>
      </c>
      <c r="P633" s="25">
        <f t="shared" si="108"/>
        <v>108392533.63412397</v>
      </c>
      <c r="Q633" s="25">
        <f>O633/((1+'How much will I make'!$C$5/12)^(Calculations!$B$1*12-Calculations!$A633))</f>
        <v>1000.6190692153435</v>
      </c>
      <c r="R633" s="25">
        <f t="shared" si="109"/>
        <v>22036106.841181528</v>
      </c>
      <c r="S633" s="25">
        <f t="shared" si="97"/>
        <v>292.78040060581708</v>
      </c>
      <c r="T633" s="25">
        <f t="shared" si="110"/>
        <v>580372611.14047587</v>
      </c>
      <c r="U633" s="25">
        <f>S633/((1+'How much will I make'!$C$5/12)^(Calculations!$B$1*12-Calculations!$A633))</f>
        <v>544.00930646168808</v>
      </c>
      <c r="V633" s="25">
        <f t="shared" si="111"/>
        <v>105487634.34118657</v>
      </c>
      <c r="W633" s="25">
        <f t="shared" si="98"/>
        <v>159.5723396077542</v>
      </c>
      <c r="X633" s="25">
        <f t="shared" si="112"/>
        <v>3284771665.2059765</v>
      </c>
      <c r="Y633" s="25">
        <f>W633/((1+'How much will I make'!$C$5/12)^(Calculations!$B$1*12-Calculations!$A633))</f>
        <v>296.49811811466782</v>
      </c>
      <c r="Z633" s="25">
        <f t="shared" si="113"/>
        <v>560140328.57279861</v>
      </c>
      <c r="AA633" s="25">
        <f t="shared" si="99"/>
        <v>87.185153258402067</v>
      </c>
      <c r="AB633" s="25">
        <f t="shared" si="114"/>
        <v>19205084901.285053</v>
      </c>
      <c r="AC633" s="25">
        <f>AA633/((1+'How much will I make'!$C$5/12)^(Calculations!$B$1*12-Calculations!$A633))</f>
        <v>161.99695969989372</v>
      </c>
      <c r="AD633" s="25">
        <f t="shared" si="115"/>
        <v>3144582486.240788</v>
      </c>
      <c r="AE633" s="25">
        <f t="shared" si="100"/>
        <v>47.751621984279986</v>
      </c>
      <c r="AF633" s="25">
        <f t="shared" si="116"/>
        <v>114565045508.961</v>
      </c>
      <c r="AG633" s="25">
        <f>AE633/((1+'How much will I make'!$C$5/12)^(Calculations!$B$1*12-Calculations!$A633))</f>
        <v>88.726317418573558</v>
      </c>
      <c r="AH633" s="25">
        <f t="shared" si="117"/>
        <v>18238885156.266113</v>
      </c>
    </row>
    <row r="634" spans="1:34" ht="15.75" customHeight="1">
      <c r="A634" s="22">
        <f t="shared" si="101"/>
        <v>630</v>
      </c>
      <c r="B634" s="22">
        <f t="shared" si="127"/>
        <v>6321.4041318967256</v>
      </c>
      <c r="C634" s="25">
        <f t="shared" si="93"/>
        <v>3388.0001936620051</v>
      </c>
      <c r="D634" s="25">
        <f t="shared" si="102"/>
        <v>2193531.9309881506</v>
      </c>
      <c r="E634" s="25">
        <f>$C634/((1+'How much will I make'!$C$5/12)^(Calculations!$B$1*12-Calculations!$A634))</f>
        <v>6321.4041318967256</v>
      </c>
      <c r="F634" s="25">
        <f t="shared" si="103"/>
        <v>1435065.4164465929</v>
      </c>
      <c r="G634" s="25">
        <f t="shared" si="94"/>
        <v>1820.5177416106546</v>
      </c>
      <c r="H634" s="25">
        <f t="shared" si="104"/>
        <v>5738230.0817105435</v>
      </c>
      <c r="I634" s="25">
        <f>G634/((1+'How much will I make'!$C$5/12)^(Calculations!$B$1*12-Calculations!$A634))</f>
        <v>3396.7614274454718</v>
      </c>
      <c r="J634" s="25">
        <f t="shared" si="105"/>
        <v>2187223.4934407258</v>
      </c>
      <c r="K634" s="25">
        <f t="shared" si="95"/>
        <v>980.75103014054696</v>
      </c>
      <c r="L634" s="25">
        <f t="shared" si="106"/>
        <v>22450544.754492849</v>
      </c>
      <c r="M634" s="25">
        <f>K634/((1+'How much will I make'!$C$5/12)^(Calculations!$B$1*12-Calculations!$A634))</f>
        <v>1829.9065111892146</v>
      </c>
      <c r="N634" s="25">
        <f t="shared" si="107"/>
        <v>5681461.3955871016</v>
      </c>
      <c r="O634" s="25">
        <f t="shared" si="96"/>
        <v>529.69498588384886</v>
      </c>
      <c r="P634" s="25">
        <f t="shared" si="108"/>
        <v>108393063.32910985</v>
      </c>
      <c r="Q634" s="25">
        <f>O634/((1+'How much will I make'!$C$5/12)^(Calculations!$B$1*12-Calculations!$A634))</f>
        <v>988.31637574138392</v>
      </c>
      <c r="R634" s="25">
        <f t="shared" si="109"/>
        <v>22037095.157557268</v>
      </c>
      <c r="S634" s="25">
        <f t="shared" si="97"/>
        <v>286.80529038937192</v>
      </c>
      <c r="T634" s="25">
        <f t="shared" si="110"/>
        <v>580372897.94576621</v>
      </c>
      <c r="U634" s="25">
        <f>S634/((1+'How much will I make'!$C$5/12)^(Calculations!$B$1*12-Calculations!$A634))</f>
        <v>535.12752186639523</v>
      </c>
      <c r="V634" s="25">
        <f t="shared" si="111"/>
        <v>105488169.46870844</v>
      </c>
      <c r="W634" s="25">
        <f t="shared" si="98"/>
        <v>155.68033132463825</v>
      </c>
      <c r="X634" s="25">
        <f t="shared" si="112"/>
        <v>3284771820.8863077</v>
      </c>
      <c r="Y634" s="25">
        <f>W634/((1+'How much will I make'!$C$5/12)^(Calculations!$B$1*12-Calculations!$A634))</f>
        <v>290.47173360014199</v>
      </c>
      <c r="Z634" s="25">
        <f t="shared" si="113"/>
        <v>560140619.04453218</v>
      </c>
      <c r="AA634" s="25">
        <f t="shared" si="99"/>
        <v>84.714318955532377</v>
      </c>
      <c r="AB634" s="25">
        <f t="shared" si="114"/>
        <v>19205084985.999371</v>
      </c>
      <c r="AC634" s="25">
        <f>AA634/((1+'How much will I make'!$C$5/12)^(Calculations!$B$1*12-Calculations!$A634))</f>
        <v>158.06181088127281</v>
      </c>
      <c r="AD634" s="25">
        <f t="shared" si="115"/>
        <v>3144582644.302599</v>
      </c>
      <c r="AE634" s="25">
        <f t="shared" si="100"/>
        <v>46.211247081561268</v>
      </c>
      <c r="AF634" s="25">
        <f t="shared" si="116"/>
        <v>114565045555.17224</v>
      </c>
      <c r="AG634" s="25">
        <f>AE634/((1+'How much will I make'!$C$5/12)^(Calculations!$B$1*12-Calculations!$A634))</f>
        <v>86.221945555952487</v>
      </c>
      <c r="AH634" s="25">
        <f t="shared" si="117"/>
        <v>18238885242.48806</v>
      </c>
    </row>
    <row r="635" spans="1:34" ht="15.75" customHeight="1">
      <c r="A635" s="22">
        <f t="shared" si="101"/>
        <v>631</v>
      </c>
      <c r="B635" s="22">
        <f t="shared" si="127"/>
        <v>6321.4041318967256</v>
      </c>
      <c r="C635" s="25">
        <f t="shared" si="93"/>
        <v>3373.94210157212</v>
      </c>
      <c r="D635" s="25">
        <f t="shared" si="102"/>
        <v>2196905.8730897228</v>
      </c>
      <c r="E635" s="25">
        <f>$C635/((1+'How much will I make'!$C$5/12)^(Calculations!$B$1*12-Calculations!$A635))</f>
        <v>6321.4041318967256</v>
      </c>
      <c r="F635" s="25">
        <f t="shared" si="103"/>
        <v>1441386.8205784897</v>
      </c>
      <c r="G635" s="25">
        <f t="shared" si="94"/>
        <v>1805.4721404403185</v>
      </c>
      <c r="H635" s="25">
        <f t="shared" si="104"/>
        <v>5740035.5538509842</v>
      </c>
      <c r="I635" s="25">
        <f>G635/((1+'How much will I make'!$C$5/12)^(Calculations!$B$1*12-Calculations!$A635))</f>
        <v>3382.7252231998305</v>
      </c>
      <c r="J635" s="25">
        <f t="shared" si="105"/>
        <v>2190606.2186639258</v>
      </c>
      <c r="K635" s="25">
        <f t="shared" si="95"/>
        <v>968.64299273140455</v>
      </c>
      <c r="L635" s="25">
        <f t="shared" si="106"/>
        <v>22451513.39748558</v>
      </c>
      <c r="M635" s="25">
        <f>K635/((1+'How much will I make'!$C$5/12)^(Calculations!$B$1*12-Calculations!$A635))</f>
        <v>1814.8455522493869</v>
      </c>
      <c r="N635" s="25">
        <f t="shared" si="107"/>
        <v>5683276.2411393514</v>
      </c>
      <c r="O635" s="25">
        <f t="shared" si="96"/>
        <v>521.01146152509739</v>
      </c>
      <c r="P635" s="25">
        <f t="shared" si="108"/>
        <v>108393584.34057137</v>
      </c>
      <c r="Q635" s="25">
        <f>O635/((1+'How much will I make'!$C$5/12)^(Calculations!$B$1*12-Calculations!$A635))</f>
        <v>976.16494489210538</v>
      </c>
      <c r="R635" s="25">
        <f t="shared" si="109"/>
        <v>22038071.322502159</v>
      </c>
      <c r="S635" s="25">
        <f t="shared" si="97"/>
        <v>280.95212119775215</v>
      </c>
      <c r="T635" s="25">
        <f t="shared" si="110"/>
        <v>580373178.89788735</v>
      </c>
      <c r="U635" s="25">
        <f>S635/((1+'How much will I make'!$C$5/12)^(Calculations!$B$1*12-Calculations!$A635))</f>
        <v>526.39074599918911</v>
      </c>
      <c r="V635" s="25">
        <f t="shared" si="111"/>
        <v>105488695.85945444</v>
      </c>
      <c r="W635" s="25">
        <f t="shared" si="98"/>
        <v>151.88325007281779</v>
      </c>
      <c r="X635" s="25">
        <f t="shared" si="112"/>
        <v>3284771972.769558</v>
      </c>
      <c r="Y635" s="25">
        <f>W635/((1+'How much will I make'!$C$5/12)^(Calculations!$B$1*12-Calculations!$A635))</f>
        <v>284.56783657574897</v>
      </c>
      <c r="Z635" s="25">
        <f t="shared" si="113"/>
        <v>560140903.6123687</v>
      </c>
      <c r="AA635" s="25">
        <f t="shared" si="99"/>
        <v>82.313508296873579</v>
      </c>
      <c r="AB635" s="25">
        <f t="shared" si="114"/>
        <v>19205085068.312878</v>
      </c>
      <c r="AC635" s="25">
        <f>AA635/((1+'How much will I make'!$C$5/12)^(Calculations!$B$1*12-Calculations!$A635))</f>
        <v>154.22225272221363</v>
      </c>
      <c r="AD635" s="25">
        <f t="shared" si="115"/>
        <v>3144582798.5248518</v>
      </c>
      <c r="AE635" s="25">
        <f t="shared" si="100"/>
        <v>44.720561691833488</v>
      </c>
      <c r="AF635" s="25">
        <f t="shared" si="116"/>
        <v>114565045599.89281</v>
      </c>
      <c r="AG635" s="25">
        <f>AE635/((1+'How much will I make'!$C$5/12)^(Calculations!$B$1*12-Calculations!$A635))</f>
        <v>83.78826160880871</v>
      </c>
      <c r="AH635" s="25">
        <f t="shared" si="117"/>
        <v>18238885326.276321</v>
      </c>
    </row>
    <row r="636" spans="1:34" ht="15.75" customHeight="1">
      <c r="A636" s="22">
        <f t="shared" si="101"/>
        <v>632</v>
      </c>
      <c r="B636" s="22">
        <f t="shared" si="127"/>
        <v>6321.4041318967256</v>
      </c>
      <c r="C636" s="25">
        <f t="shared" si="93"/>
        <v>3359.9423418145598</v>
      </c>
      <c r="D636" s="25">
        <f t="shared" si="102"/>
        <v>2200265.8154315376</v>
      </c>
      <c r="E636" s="25">
        <f>$C636/((1+'How much will I make'!$C$5/12)^(Calculations!$B$1*12-Calculations!$A636))</f>
        <v>6321.4041318967256</v>
      </c>
      <c r="F636" s="25">
        <f t="shared" si="103"/>
        <v>1447708.2247103865</v>
      </c>
      <c r="G636" s="25">
        <f t="shared" si="94"/>
        <v>1790.5508830813078</v>
      </c>
      <c r="H636" s="25">
        <f t="shared" si="104"/>
        <v>5741826.1047340659</v>
      </c>
      <c r="I636" s="25">
        <f>G636/((1+'How much will I make'!$C$5/12)^(Calculations!$B$1*12-Calculations!$A636))</f>
        <v>3368.7470197981784</v>
      </c>
      <c r="J636" s="25">
        <f t="shared" si="105"/>
        <v>2193974.9656837238</v>
      </c>
      <c r="K636" s="25">
        <f t="shared" si="95"/>
        <v>956.68443726558451</v>
      </c>
      <c r="L636" s="25">
        <f t="shared" si="106"/>
        <v>22452470.081922844</v>
      </c>
      <c r="M636" s="25">
        <f>K636/((1+'How much will I make'!$C$5/12)^(Calculations!$B$1*12-Calculations!$A636))</f>
        <v>1799.9085518193501</v>
      </c>
      <c r="N636" s="25">
        <f t="shared" si="107"/>
        <v>5685076.149691171</v>
      </c>
      <c r="O636" s="25">
        <f t="shared" si="96"/>
        <v>512.47029002468594</v>
      </c>
      <c r="P636" s="25">
        <f t="shared" si="108"/>
        <v>108394096.81086139</v>
      </c>
      <c r="Q636" s="25">
        <f>O636/((1+'How much will I make'!$C$5/12)^(Calculations!$B$1*12-Calculations!$A636))</f>
        <v>964.16291688113665</v>
      </c>
      <c r="R636" s="25">
        <f t="shared" si="109"/>
        <v>22039035.485419039</v>
      </c>
      <c r="S636" s="25">
        <f t="shared" si="97"/>
        <v>275.2184044386143</v>
      </c>
      <c r="T636" s="25">
        <f t="shared" si="110"/>
        <v>580373454.11629176</v>
      </c>
      <c r="U636" s="25">
        <f>S636/((1+'How much will I make'!$C$5/12)^(Calculations!$B$1*12-Calculations!$A636))</f>
        <v>517.79661137063079</v>
      </c>
      <c r="V636" s="25">
        <f t="shared" si="111"/>
        <v>105489213.65606581</v>
      </c>
      <c r="W636" s="25">
        <f t="shared" si="98"/>
        <v>148.17878055884665</v>
      </c>
      <c r="X636" s="25">
        <f t="shared" si="112"/>
        <v>3284772120.9483385</v>
      </c>
      <c r="Y636" s="25">
        <f>W636/((1+'How much will I make'!$C$5/12)^(Calculations!$B$1*12-Calculations!$A636))</f>
        <v>278.78393745835569</v>
      </c>
      <c r="Z636" s="25">
        <f t="shared" si="113"/>
        <v>560141182.39630616</v>
      </c>
      <c r="AA636" s="25">
        <f t="shared" si="99"/>
        <v>79.980736806678792</v>
      </c>
      <c r="AB636" s="25">
        <f t="shared" si="114"/>
        <v>19205085148.293613</v>
      </c>
      <c r="AC636" s="25">
        <f>AA636/((1+'How much will I make'!$C$5/12)^(Calculations!$B$1*12-Calculations!$A636))</f>
        <v>150.47596318240278</v>
      </c>
      <c r="AD636" s="25">
        <f t="shared" si="115"/>
        <v>3144582949.0008149</v>
      </c>
      <c r="AE636" s="25">
        <f t="shared" si="100"/>
        <v>43.277962927580788</v>
      </c>
      <c r="AF636" s="25">
        <f t="shared" si="116"/>
        <v>114565045643.17078</v>
      </c>
      <c r="AG636" s="25">
        <f>AE636/((1+'How much will I make'!$C$5/12)^(Calculations!$B$1*12-Calculations!$A636))</f>
        <v>81.42327035372135</v>
      </c>
      <c r="AH636" s="25">
        <f t="shared" si="117"/>
        <v>18238885407.699593</v>
      </c>
    </row>
    <row r="637" spans="1:34" ht="15.75" customHeight="1">
      <c r="A637" s="22">
        <f t="shared" si="101"/>
        <v>633</v>
      </c>
      <c r="B637" s="22">
        <f t="shared" si="127"/>
        <v>6321.4041318967256</v>
      </c>
      <c r="C637" s="25">
        <f t="shared" si="93"/>
        <v>3346.0006723464503</v>
      </c>
      <c r="D637" s="25">
        <f t="shared" si="102"/>
        <v>2203611.816103884</v>
      </c>
      <c r="E637" s="25">
        <f>$C637/((1+'How much will I make'!$C$5/12)^(Calculations!$B$1*12-Calculations!$A637))</f>
        <v>6321.4041318967256</v>
      </c>
      <c r="F637" s="25">
        <f t="shared" si="103"/>
        <v>1454029.6288422833</v>
      </c>
      <c r="G637" s="25">
        <f t="shared" si="94"/>
        <v>1775.7529418988179</v>
      </c>
      <c r="H637" s="25">
        <f t="shared" si="104"/>
        <v>5743601.8576759649</v>
      </c>
      <c r="I637" s="25">
        <f>G637/((1+'How much will I make'!$C$5/12)^(Calculations!$B$1*12-Calculations!$A637))</f>
        <v>3354.8265775676068</v>
      </c>
      <c r="J637" s="25">
        <f t="shared" si="105"/>
        <v>2197329.7922612913</v>
      </c>
      <c r="K637" s="25">
        <f t="shared" si="95"/>
        <v>944.87351828699718</v>
      </c>
      <c r="L637" s="25">
        <f t="shared" si="106"/>
        <v>22453414.955441132</v>
      </c>
      <c r="M637" s="25">
        <f>K637/((1+'How much will I make'!$C$5/12)^(Calculations!$B$1*12-Calculations!$A637))</f>
        <v>1785.0944896644583</v>
      </c>
      <c r="N637" s="25">
        <f t="shared" si="107"/>
        <v>5686861.2441808358</v>
      </c>
      <c r="O637" s="25">
        <f t="shared" si="96"/>
        <v>504.06913772919927</v>
      </c>
      <c r="P637" s="25">
        <f t="shared" si="108"/>
        <v>108394600.87999912</v>
      </c>
      <c r="Q637" s="25">
        <f>O637/((1+'How much will I make'!$C$5/12)^(Calculations!$B$1*12-Calculations!$A637))</f>
        <v>952.30845478833555</v>
      </c>
      <c r="R637" s="25">
        <f t="shared" si="109"/>
        <v>22039987.793873828</v>
      </c>
      <c r="S637" s="25">
        <f t="shared" si="97"/>
        <v>269.60170230721405</v>
      </c>
      <c r="T637" s="25">
        <f t="shared" si="110"/>
        <v>580373723.71799409</v>
      </c>
      <c r="U637" s="25">
        <f>S637/((1+'How much will I make'!$C$5/12)^(Calculations!$B$1*12-Calculations!$A637))</f>
        <v>509.34278914417143</v>
      </c>
      <c r="V637" s="25">
        <f t="shared" si="111"/>
        <v>105489722.99885495</v>
      </c>
      <c r="W637" s="25">
        <f t="shared" si="98"/>
        <v>144.56466395985038</v>
      </c>
      <c r="X637" s="25">
        <f t="shared" si="112"/>
        <v>3284772265.5130024</v>
      </c>
      <c r="Y637" s="25">
        <f>W637/((1+'How much will I make'!$C$5/12)^(Calculations!$B$1*12-Calculations!$A637))</f>
        <v>273.11759726611263</v>
      </c>
      <c r="Z637" s="25">
        <f t="shared" si="113"/>
        <v>560141455.51390338</v>
      </c>
      <c r="AA637" s="25">
        <f t="shared" si="99"/>
        <v>77.714076249404485</v>
      </c>
      <c r="AB637" s="25">
        <f t="shared" si="114"/>
        <v>19205085226.00769</v>
      </c>
      <c r="AC637" s="25">
        <f>AA637/((1+'How much will I make'!$C$5/12)^(Calculations!$B$1*12-Calculations!$A637))</f>
        <v>146.82067662736461</v>
      </c>
      <c r="AD637" s="25">
        <f t="shared" si="115"/>
        <v>3144583095.8214917</v>
      </c>
      <c r="AE637" s="25">
        <f t="shared" si="100"/>
        <v>41.881899607336237</v>
      </c>
      <c r="AF637" s="25">
        <f t="shared" si="116"/>
        <v>114565045685.05267</v>
      </c>
      <c r="AG637" s="25">
        <f>AE637/((1+'How much will I make'!$C$5/12)^(Calculations!$B$1*12-Calculations!$A637))</f>
        <v>79.12503288405982</v>
      </c>
      <c r="AH637" s="25">
        <f t="shared" si="117"/>
        <v>18238885486.824627</v>
      </c>
    </row>
    <row r="638" spans="1:34" ht="15.75" customHeight="1">
      <c r="A638" s="22">
        <f t="shared" si="101"/>
        <v>634</v>
      </c>
      <c r="B638" s="22">
        <f t="shared" si="127"/>
        <v>6321.4041318967256</v>
      </c>
      <c r="C638" s="25">
        <f t="shared" si="93"/>
        <v>3332.1168521292443</v>
      </c>
      <c r="D638" s="25">
        <f t="shared" si="102"/>
        <v>2206943.9329560134</v>
      </c>
      <c r="E638" s="25">
        <f>$C638/((1+'How much will I make'!$C$5/12)^(Calculations!$B$1*12-Calculations!$A638))</f>
        <v>6321.4041318967256</v>
      </c>
      <c r="F638" s="25">
        <f t="shared" si="103"/>
        <v>1460351.0329741801</v>
      </c>
      <c r="G638" s="25">
        <f t="shared" si="94"/>
        <v>1761.0772977508936</v>
      </c>
      <c r="H638" s="25">
        <f t="shared" si="104"/>
        <v>5745362.9349737158</v>
      </c>
      <c r="I638" s="25">
        <f>G638/((1+'How much will I make'!$C$5/12)^(Calculations!$B$1*12-Calculations!$A638))</f>
        <v>3340.9636578255927</v>
      </c>
      <c r="J638" s="25">
        <f t="shared" si="105"/>
        <v>2200670.755919117</v>
      </c>
      <c r="K638" s="25">
        <f t="shared" si="95"/>
        <v>933.20841312296</v>
      </c>
      <c r="L638" s="25">
        <f t="shared" si="106"/>
        <v>22454348.163854256</v>
      </c>
      <c r="M638" s="25">
        <f>K638/((1+'How much will I make'!$C$5/12)^(Calculations!$B$1*12-Calculations!$A638))</f>
        <v>1770.4023539470552</v>
      </c>
      <c r="N638" s="25">
        <f t="shared" si="107"/>
        <v>5688631.6465347828</v>
      </c>
      <c r="O638" s="25">
        <f t="shared" si="96"/>
        <v>495.80570924183536</v>
      </c>
      <c r="P638" s="25">
        <f t="shared" si="108"/>
        <v>108395096.68570836</v>
      </c>
      <c r="Q638" s="25">
        <f>O638/((1+'How much will I make'!$C$5/12)^(Calculations!$B$1*12-Calculations!$A638))</f>
        <v>940.59974427864324</v>
      </c>
      <c r="R638" s="25">
        <f t="shared" si="109"/>
        <v>22040928.393618107</v>
      </c>
      <c r="S638" s="25">
        <f t="shared" si="97"/>
        <v>264.09962674992397</v>
      </c>
      <c r="T638" s="25">
        <f t="shared" si="110"/>
        <v>580373987.81762087</v>
      </c>
      <c r="U638" s="25">
        <f>S638/((1+'How much will I make'!$C$5/12)^(Calculations!$B$1*12-Calculations!$A638))</f>
        <v>501.02698850508307</v>
      </c>
      <c r="V638" s="25">
        <f t="shared" si="111"/>
        <v>105490224.02584346</v>
      </c>
      <c r="W638" s="25">
        <f t="shared" si="98"/>
        <v>141.03869654619552</v>
      </c>
      <c r="X638" s="25">
        <f t="shared" si="112"/>
        <v>3284772406.5516992</v>
      </c>
      <c r="Y638" s="25">
        <f>W638/((1+'How much will I make'!$C$5/12)^(Calculations!$B$1*12-Calculations!$A638))</f>
        <v>267.56642658997225</v>
      </c>
      <c r="Z638" s="25">
        <f t="shared" si="113"/>
        <v>560141723.08033001</v>
      </c>
      <c r="AA638" s="25">
        <f t="shared" si="99"/>
        <v>75.511653035858629</v>
      </c>
      <c r="AB638" s="25">
        <f t="shared" si="114"/>
        <v>19205085301.519344</v>
      </c>
      <c r="AC638" s="25">
        <f>AA638/((1+'How much will I make'!$C$5/12)^(Calculations!$B$1*12-Calculations!$A638))</f>
        <v>143.2541824582789</v>
      </c>
      <c r="AD638" s="25">
        <f t="shared" si="115"/>
        <v>3144583239.0756741</v>
      </c>
      <c r="AE638" s="25">
        <f t="shared" si="100"/>
        <v>40.530870587744751</v>
      </c>
      <c r="AF638" s="25">
        <f t="shared" si="116"/>
        <v>114565045725.58354</v>
      </c>
      <c r="AG638" s="25">
        <f>AE638/((1+'How much will I make'!$C$5/12)^(Calculations!$B$1*12-Calculations!$A638))</f>
        <v>76.891665020396871</v>
      </c>
      <c r="AH638" s="25">
        <f t="shared" si="117"/>
        <v>18238885563.716293</v>
      </c>
    </row>
    <row r="639" spans="1:34" ht="15.75" customHeight="1">
      <c r="A639" s="22">
        <f t="shared" si="101"/>
        <v>635</v>
      </c>
      <c r="B639" s="22">
        <f t="shared" si="127"/>
        <v>6321.4041318967256</v>
      </c>
      <c r="C639" s="25">
        <f t="shared" si="93"/>
        <v>3318.2906411245585</v>
      </c>
      <c r="D639" s="25">
        <f t="shared" si="102"/>
        <v>2210262.2235971377</v>
      </c>
      <c r="E639" s="25">
        <f>$C639/((1+'How much will I make'!$C$5/12)^(Calculations!$B$1*12-Calculations!$A639))</f>
        <v>6321.4041318967256</v>
      </c>
      <c r="F639" s="25">
        <f t="shared" si="103"/>
        <v>1466672.4371060769</v>
      </c>
      <c r="G639" s="25">
        <f t="shared" si="94"/>
        <v>1746.5229399182417</v>
      </c>
      <c r="H639" s="25">
        <f t="shared" si="104"/>
        <v>5747109.4579136344</v>
      </c>
      <c r="I639" s="25">
        <f>G639/((1+'How much will I make'!$C$5/12)^(Calculations!$B$1*12-Calculations!$A639))</f>
        <v>3327.1580228759003</v>
      </c>
      <c r="J639" s="25">
        <f t="shared" si="105"/>
        <v>2203997.9139419929</v>
      </c>
      <c r="K639" s="25">
        <f t="shared" si="95"/>
        <v>921.6873216029237</v>
      </c>
      <c r="L639" s="25">
        <f t="shared" si="106"/>
        <v>22455269.85117586</v>
      </c>
      <c r="M639" s="25">
        <f>K639/((1+'How much will I make'!$C$5/12)^(Calculations!$B$1*12-Calculations!$A639))</f>
        <v>1755.8311411573679</v>
      </c>
      <c r="N639" s="25">
        <f t="shared" si="107"/>
        <v>5690387.4776759399</v>
      </c>
      <c r="O639" s="25">
        <f t="shared" si="96"/>
        <v>487.67774679524797</v>
      </c>
      <c r="P639" s="25">
        <f t="shared" si="108"/>
        <v>108395584.36345516</v>
      </c>
      <c r="Q639" s="25">
        <f>O639/((1+'How much will I make'!$C$5/12)^(Calculations!$B$1*12-Calculations!$A639))</f>
        <v>929.03499332439765</v>
      </c>
      <c r="R639" s="25">
        <f t="shared" si="109"/>
        <v>22041857.428611431</v>
      </c>
      <c r="S639" s="25">
        <f t="shared" si="97"/>
        <v>258.7098384489052</v>
      </c>
      <c r="T639" s="25">
        <f t="shared" si="110"/>
        <v>580374246.52745926</v>
      </c>
      <c r="U639" s="25">
        <f>S639/((1+'How much will I make'!$C$5/12)^(Calculations!$B$1*12-Calculations!$A639))</f>
        <v>492.84695603969408</v>
      </c>
      <c r="V639" s="25">
        <f t="shared" si="111"/>
        <v>105490716.8727995</v>
      </c>
      <c r="W639" s="25">
        <f t="shared" si="98"/>
        <v>137.59872833775174</v>
      </c>
      <c r="X639" s="25">
        <f t="shared" si="112"/>
        <v>3284772544.1504273</v>
      </c>
      <c r="Y639" s="25">
        <f>W639/((1+'How much will I make'!$C$5/12)^(Calculations!$B$1*12-Calculations!$A639))</f>
        <v>262.12808458611102</v>
      </c>
      <c r="Z639" s="25">
        <f t="shared" si="113"/>
        <v>560141985.20841455</v>
      </c>
      <c r="AA639" s="25">
        <f t="shared" si="99"/>
        <v>73.371646674518516</v>
      </c>
      <c r="AB639" s="25">
        <f t="shared" si="114"/>
        <v>19205085374.890991</v>
      </c>
      <c r="AC639" s="25">
        <f>AA639/((1+'How much will I make'!$C$5/12)^(Calculations!$B$1*12-Calculations!$A639))</f>
        <v>139.77432377508185</v>
      </c>
      <c r="AD639" s="25">
        <f t="shared" si="115"/>
        <v>3144583378.849998</v>
      </c>
      <c r="AE639" s="25">
        <f t="shared" si="100"/>
        <v>39.223423149430403</v>
      </c>
      <c r="AF639" s="25">
        <f t="shared" si="116"/>
        <v>114565045764.80696</v>
      </c>
      <c r="AG639" s="25">
        <f>AE639/((1+'How much will I make'!$C$5/12)^(Calculations!$B$1*12-Calculations!$A639))</f>
        <v>74.721335765788893</v>
      </c>
      <c r="AH639" s="25">
        <f t="shared" si="117"/>
        <v>18238885638.43763</v>
      </c>
    </row>
    <row r="640" spans="1:34" ht="15.75" customHeight="1">
      <c r="A640" s="22">
        <f t="shared" si="101"/>
        <v>636</v>
      </c>
      <c r="B640" s="22">
        <f t="shared" si="127"/>
        <v>6321.4041318967256</v>
      </c>
      <c r="C640" s="25">
        <f t="shared" si="93"/>
        <v>3304.5218002900169</v>
      </c>
      <c r="D640" s="25">
        <f t="shared" si="102"/>
        <v>2213566.7453974276</v>
      </c>
      <c r="E640" s="25">
        <f>$C640/((1+'How much will I make'!$C$5/12)^(Calculations!$B$1*12-Calculations!$A640))</f>
        <v>6321.4041318967256</v>
      </c>
      <c r="F640" s="25">
        <f t="shared" si="103"/>
        <v>1472993.8412379737</v>
      </c>
      <c r="G640" s="25">
        <f t="shared" si="94"/>
        <v>1732.08886603462</v>
      </c>
      <c r="H640" s="25">
        <f t="shared" si="104"/>
        <v>5748841.5467796689</v>
      </c>
      <c r="I640" s="25">
        <f>G640/((1+'How much will I make'!$C$5/12)^(Calculations!$B$1*12-Calculations!$A640))</f>
        <v>3313.4094360045124</v>
      </c>
      <c r="J640" s="25">
        <f t="shared" si="105"/>
        <v>2207311.3233779976</v>
      </c>
      <c r="K640" s="25">
        <f t="shared" si="95"/>
        <v>910.3084657806653</v>
      </c>
      <c r="L640" s="25">
        <f t="shared" si="106"/>
        <v>22456180.159641638</v>
      </c>
      <c r="M640" s="25">
        <f>K640/((1+'How much will I make'!$C$5/12)^(Calculations!$B$1*12-Calculations!$A640))</f>
        <v>1741.3798560449616</v>
      </c>
      <c r="N640" s="25">
        <f t="shared" si="107"/>
        <v>5692128.8575319853</v>
      </c>
      <c r="O640" s="25">
        <f t="shared" si="96"/>
        <v>479.68302963467011</v>
      </c>
      <c r="P640" s="25">
        <f t="shared" si="108"/>
        <v>108396064.0464848</v>
      </c>
      <c r="Q640" s="25">
        <f>O640/((1+'How much will I make'!$C$5/12)^(Calculations!$B$1*12-Calculations!$A640))</f>
        <v>917.61243193106486</v>
      </c>
      <c r="R640" s="25">
        <f t="shared" si="109"/>
        <v>22042775.041043364</v>
      </c>
      <c r="S640" s="25">
        <f t="shared" si="97"/>
        <v>253.43004582749901</v>
      </c>
      <c r="T640" s="25">
        <f t="shared" si="110"/>
        <v>580374499.95750511</v>
      </c>
      <c r="U640" s="25">
        <f>S640/((1+'How much will I make'!$C$5/12)^(Calculations!$B$1*12-Calculations!$A640))</f>
        <v>484.8004751247604</v>
      </c>
      <c r="V640" s="25">
        <f t="shared" si="111"/>
        <v>105491201.67327462</v>
      </c>
      <c r="W640" s="25">
        <f t="shared" si="98"/>
        <v>134.24266179292854</v>
      </c>
      <c r="X640" s="25">
        <f t="shared" si="112"/>
        <v>3284772678.3930893</v>
      </c>
      <c r="Y640" s="25">
        <f>W640/((1+'How much will I make'!$C$5/12)^(Calculations!$B$1*12-Calculations!$A640))</f>
        <v>256.80027798883236</v>
      </c>
      <c r="Z640" s="25">
        <f t="shared" si="113"/>
        <v>560142242.0086925</v>
      </c>
      <c r="AA640" s="25">
        <f t="shared" si="99"/>
        <v>71.292288266738652</v>
      </c>
      <c r="AB640" s="25">
        <f t="shared" si="114"/>
        <v>19205085446.183281</v>
      </c>
      <c r="AC640" s="25">
        <f>AA640/((1+'How much will I make'!$C$5/12)^(Calculations!$B$1*12-Calculations!$A640))</f>
        <v>136.37899607204344</v>
      </c>
      <c r="AD640" s="25">
        <f t="shared" si="115"/>
        <v>3144583515.2289939</v>
      </c>
      <c r="AE640" s="25">
        <f t="shared" si="100"/>
        <v>37.958151434932631</v>
      </c>
      <c r="AF640" s="25">
        <f t="shared" si="116"/>
        <v>114565045802.76511</v>
      </c>
      <c r="AG640" s="25">
        <f>AE640/((1+'How much will I make'!$C$5/12)^(Calculations!$B$1*12-Calculations!$A640))</f>
        <v>72.612265804657724</v>
      </c>
      <c r="AH640" s="25">
        <f t="shared" si="117"/>
        <v>18238885711.049896</v>
      </c>
    </row>
    <row r="641" spans="1:34" ht="15.75" customHeight="1">
      <c r="A641" s="22">
        <f t="shared" si="101"/>
        <v>637</v>
      </c>
      <c r="B641" s="22">
        <f>B640*(1+'How much will I make'!$C$4)</f>
        <v>6637.4743384915619</v>
      </c>
      <c r="C641" s="25">
        <f t="shared" si="93"/>
        <v>3455.3505961538763</v>
      </c>
      <c r="D641" s="25">
        <f t="shared" si="102"/>
        <v>2217022.0959935817</v>
      </c>
      <c r="E641" s="25">
        <f>$C641/((1+'How much will I make'!$C$5/12)^(Calculations!$B$1*12-Calculations!$A641))</f>
        <v>6637.4743384915619</v>
      </c>
      <c r="F641" s="25">
        <f t="shared" si="103"/>
        <v>1479631.3155764651</v>
      </c>
      <c r="G641" s="25">
        <f t="shared" si="94"/>
        <v>1803.6627861186957</v>
      </c>
      <c r="H641" s="25">
        <f t="shared" si="104"/>
        <v>5750645.2095657876</v>
      </c>
      <c r="I641" s="25">
        <f>G641/((1+'How much will I make'!$C$5/12)^(Calculations!$B$1*12-Calculations!$A641))</f>
        <v>3464.7035445493475</v>
      </c>
      <c r="J641" s="25">
        <f t="shared" si="105"/>
        <v>2210776.0269225468</v>
      </c>
      <c r="K641" s="25">
        <f t="shared" si="95"/>
        <v>944.02359414291232</v>
      </c>
      <c r="L641" s="25">
        <f t="shared" si="106"/>
        <v>22457124.183235783</v>
      </c>
      <c r="M641" s="25">
        <f>K641/((1+'How much will I make'!$C$5/12)^(Calculations!$B$1*12-Calculations!$A641))</f>
        <v>1813.3998871283029</v>
      </c>
      <c r="N641" s="25">
        <f t="shared" si="107"/>
        <v>5693942.257419114</v>
      </c>
      <c r="O641" s="25">
        <f t="shared" si="96"/>
        <v>495.41034208170845</v>
      </c>
      <c r="P641" s="25">
        <f t="shared" si="108"/>
        <v>108396559.45682688</v>
      </c>
      <c r="Q641" s="25">
        <f>O641/((1+'How much will I make'!$C$5/12)^(Calculations!$B$1*12-Calculations!$A641))</f>
        <v>951.64682745965558</v>
      </c>
      <c r="R641" s="25">
        <f t="shared" si="109"/>
        <v>22043726.687870823</v>
      </c>
      <c r="S641" s="25">
        <f t="shared" si="97"/>
        <v>260.67090427971323</v>
      </c>
      <c r="T641" s="25">
        <f t="shared" si="110"/>
        <v>580374760.62840939</v>
      </c>
      <c r="U641" s="25">
        <f>S641/((1+'How much will I make'!$C$5/12)^(Calculations!$B$1*12-Calculations!$A641))</f>
        <v>500.72963359314531</v>
      </c>
      <c r="V641" s="25">
        <f t="shared" si="111"/>
        <v>105491702.40290822</v>
      </c>
      <c r="W641" s="25">
        <f t="shared" si="98"/>
        <v>137.51687305617068</v>
      </c>
      <c r="X641" s="25">
        <f t="shared" si="112"/>
        <v>3284772815.9099622</v>
      </c>
      <c r="Y641" s="25">
        <f>W641/((1+'How much will I make'!$C$5/12)^(Calculations!$B$1*12-Calculations!$A641))</f>
        <v>264.15979815070745</v>
      </c>
      <c r="Z641" s="25">
        <f t="shared" si="113"/>
        <v>560142506.16849065</v>
      </c>
      <c r="AA641" s="25">
        <f t="shared" si="99"/>
        <v>72.735451996834584</v>
      </c>
      <c r="AB641" s="25">
        <f t="shared" si="114"/>
        <v>19205085518.918732</v>
      </c>
      <c r="AC641" s="25">
        <f>AA641/((1+'How much will I make'!$C$5/12)^(Calculations!$B$1*12-Calculations!$A641))</f>
        <v>139.71945326328179</v>
      </c>
      <c r="AD641" s="25">
        <f t="shared" si="115"/>
        <v>3144583654.9484472</v>
      </c>
      <c r="AE641" s="25">
        <f t="shared" si="100"/>
        <v>38.570379683883161</v>
      </c>
      <c r="AF641" s="25">
        <f t="shared" si="116"/>
        <v>114565045841.33548</v>
      </c>
      <c r="AG641" s="25">
        <f>AE641/((1+'How much will I make'!$C$5/12)^(Calculations!$B$1*12-Calculations!$A641))</f>
        <v>74.090862346244506</v>
      </c>
      <c r="AH641" s="25">
        <f t="shared" si="117"/>
        <v>18238885785.140759</v>
      </c>
    </row>
    <row r="642" spans="1:34" ht="15.75" customHeight="1">
      <c r="A642" s="22">
        <f t="shared" si="101"/>
        <v>638</v>
      </c>
      <c r="B642" s="22">
        <f t="shared" ref="B642:B652" si="128">B641</f>
        <v>6637.4743384915619</v>
      </c>
      <c r="C642" s="25">
        <f t="shared" si="93"/>
        <v>3441.0130418129897</v>
      </c>
      <c r="D642" s="25">
        <f t="shared" si="102"/>
        <v>2220463.1090353946</v>
      </c>
      <c r="E642" s="25">
        <f>$C642/((1+'How much will I make'!$C$5/12)^(Calculations!$B$1*12-Calculations!$A642))</f>
        <v>6637.4743384915619</v>
      </c>
      <c r="F642" s="25">
        <f t="shared" si="103"/>
        <v>1486268.7899149565</v>
      </c>
      <c r="G642" s="25">
        <f t="shared" si="94"/>
        <v>1788.7564821011854</v>
      </c>
      <c r="H642" s="25">
        <f t="shared" si="104"/>
        <v>5752433.9660478886</v>
      </c>
      <c r="I642" s="25">
        <f>G642/((1+'How much will I make'!$C$5/12)^(Calculations!$B$1*12-Calculations!$A642))</f>
        <v>3450.3865877536873</v>
      </c>
      <c r="J642" s="25">
        <f t="shared" si="105"/>
        <v>2214226.4135103007</v>
      </c>
      <c r="K642" s="25">
        <f t="shared" si="95"/>
        <v>932.36898186954272</v>
      </c>
      <c r="L642" s="25">
        <f t="shared" si="106"/>
        <v>22458056.552217651</v>
      </c>
      <c r="M642" s="25">
        <f>K642/((1+'How much will I make'!$C$5/12)^(Calculations!$B$1*12-Calculations!$A642))</f>
        <v>1798.4747851766285</v>
      </c>
      <c r="N642" s="25">
        <f t="shared" si="107"/>
        <v>5695740.732204291</v>
      </c>
      <c r="O642" s="25">
        <f t="shared" si="96"/>
        <v>487.28886106397545</v>
      </c>
      <c r="P642" s="25">
        <f t="shared" si="108"/>
        <v>108397046.74568795</v>
      </c>
      <c r="Q642" s="25">
        <f>O642/((1+'How much will I make'!$C$5/12)^(Calculations!$B$1*12-Calculations!$A642))</f>
        <v>939.94625171220048</v>
      </c>
      <c r="R642" s="25">
        <f t="shared" si="109"/>
        <v>22044666.634122536</v>
      </c>
      <c r="S642" s="25">
        <f t="shared" si="97"/>
        <v>255.35108990665793</v>
      </c>
      <c r="T642" s="25">
        <f t="shared" si="110"/>
        <v>580375015.97949934</v>
      </c>
      <c r="U642" s="25">
        <f>S642/((1+'How much will I make'!$C$5/12)^(Calculations!$B$1*12-Calculations!$A642))</f>
        <v>492.5544559018287</v>
      </c>
      <c r="V642" s="25">
        <f t="shared" si="111"/>
        <v>105492194.95736413</v>
      </c>
      <c r="W642" s="25">
        <f t="shared" si="98"/>
        <v>134.16280298162994</v>
      </c>
      <c r="X642" s="25">
        <f t="shared" si="112"/>
        <v>3284772950.0727654</v>
      </c>
      <c r="Y642" s="25">
        <f>W642/((1+'How much will I make'!$C$5/12)^(Calculations!$B$1*12-Calculations!$A642))</f>
        <v>258.79069656227836</v>
      </c>
      <c r="Z642" s="25">
        <f t="shared" si="113"/>
        <v>560142764.95918727</v>
      </c>
      <c r="AA642" s="25">
        <f t="shared" si="99"/>
        <v>70.674123397734007</v>
      </c>
      <c r="AB642" s="25">
        <f t="shared" si="114"/>
        <v>19205085589.592854</v>
      </c>
      <c r="AC642" s="25">
        <f>AA642/((1+'How much will I make'!$C$5/12)^(Calculations!$B$1*12-Calculations!$A642))</f>
        <v>136.32545844716964</v>
      </c>
      <c r="AD642" s="25">
        <f t="shared" si="115"/>
        <v>3144583791.2739058</v>
      </c>
      <c r="AE642" s="25">
        <f t="shared" si="100"/>
        <v>37.326173887628855</v>
      </c>
      <c r="AF642" s="25">
        <f t="shared" si="116"/>
        <v>114565045878.66165</v>
      </c>
      <c r="AG642" s="25">
        <f>AE642/((1+'How much will I make'!$C$5/12)^(Calculations!$B$1*12-Calculations!$A642))</f>
        <v>71.999588005826283</v>
      </c>
      <c r="AH642" s="25">
        <f t="shared" si="117"/>
        <v>18238885857.140347</v>
      </c>
    </row>
    <row r="643" spans="1:34" ht="15.75" customHeight="1">
      <c r="A643" s="22">
        <f t="shared" si="101"/>
        <v>639</v>
      </c>
      <c r="B643" s="22">
        <f t="shared" si="128"/>
        <v>6637.4743384915619</v>
      </c>
      <c r="C643" s="25">
        <f t="shared" si="93"/>
        <v>3426.7349793988265</v>
      </c>
      <c r="D643" s="25">
        <f t="shared" si="102"/>
        <v>2223889.8440147936</v>
      </c>
      <c r="E643" s="25">
        <f>$C643/((1+'How much will I make'!$C$5/12)^(Calculations!$B$1*12-Calculations!$A643))</f>
        <v>6637.4743384915619</v>
      </c>
      <c r="F643" s="25">
        <f t="shared" si="103"/>
        <v>1492906.264253448</v>
      </c>
      <c r="G643" s="25">
        <f t="shared" si="94"/>
        <v>1773.9733706788618</v>
      </c>
      <c r="H643" s="25">
        <f t="shared" si="104"/>
        <v>5754207.9394185673</v>
      </c>
      <c r="I643" s="25">
        <f>G643/((1+'How much will I make'!$C$5/12)^(Calculations!$B$1*12-Calculations!$A643))</f>
        <v>3436.1287919365254</v>
      </c>
      <c r="J643" s="25">
        <f t="shared" si="105"/>
        <v>2217662.5423022374</v>
      </c>
      <c r="K643" s="25">
        <f t="shared" si="95"/>
        <v>920.85825369831412</v>
      </c>
      <c r="L643" s="25">
        <f t="shared" si="106"/>
        <v>22458977.41047135</v>
      </c>
      <c r="M643" s="25">
        <f>K643/((1+'How much will I make'!$C$5/12)^(Calculations!$B$1*12-Calculations!$A643))</f>
        <v>1783.6725235702381</v>
      </c>
      <c r="N643" s="25">
        <f t="shared" si="107"/>
        <v>5697524.4047278613</v>
      </c>
      <c r="O643" s="25">
        <f t="shared" si="96"/>
        <v>479.30051907932034</v>
      </c>
      <c r="P643" s="25">
        <f t="shared" si="108"/>
        <v>108397526.04620703</v>
      </c>
      <c r="Q643" s="25">
        <f>O643/((1+'How much will I make'!$C$5/12)^(Calculations!$B$1*12-Calculations!$A643))</f>
        <v>928.38953550262511</v>
      </c>
      <c r="R643" s="25">
        <f t="shared" si="109"/>
        <v>22045595.023658037</v>
      </c>
      <c r="S643" s="25">
        <f t="shared" si="97"/>
        <v>250.139843173869</v>
      </c>
      <c r="T643" s="25">
        <f t="shared" si="110"/>
        <v>580375266.11934257</v>
      </c>
      <c r="U643" s="25">
        <f>S643/((1+'How much will I make'!$C$5/12)^(Calculations!$B$1*12-Calculations!$A643))</f>
        <v>484.51275049935009</v>
      </c>
      <c r="V643" s="25">
        <f t="shared" si="111"/>
        <v>105492679.47011463</v>
      </c>
      <c r="W643" s="25">
        <f t="shared" si="98"/>
        <v>130.89053949427307</v>
      </c>
      <c r="X643" s="25">
        <f t="shared" si="112"/>
        <v>3284773080.963305</v>
      </c>
      <c r="Y643" s="25">
        <f>W643/((1+'How much will I make'!$C$5/12)^(Calculations!$B$1*12-Calculations!$A643))</f>
        <v>253.53072305491503</v>
      </c>
      <c r="Z643" s="25">
        <f t="shared" si="113"/>
        <v>560143018.48991036</v>
      </c>
      <c r="AA643" s="25">
        <f t="shared" si="99"/>
        <v>68.671213018041144</v>
      </c>
      <c r="AB643" s="25">
        <f t="shared" si="114"/>
        <v>19205085658.264065</v>
      </c>
      <c r="AC643" s="25">
        <f>AA643/((1+'How much will I make'!$C$5/12)^(Calculations!$B$1*12-Calculations!$A643))</f>
        <v>133.01390884926275</v>
      </c>
      <c r="AD643" s="25">
        <f t="shared" si="115"/>
        <v>3144583924.2878146</v>
      </c>
      <c r="AE643" s="25">
        <f t="shared" si="100"/>
        <v>36.122103762221478</v>
      </c>
      <c r="AF643" s="25">
        <f t="shared" si="116"/>
        <v>114565045914.78375</v>
      </c>
      <c r="AG643" s="25">
        <f>AE643/((1+'How much will I make'!$C$5/12)^(Calculations!$B$1*12-Calculations!$A643))</f>
        <v>69.967341570178007</v>
      </c>
      <c r="AH643" s="25">
        <f t="shared" si="117"/>
        <v>18238885927.107689</v>
      </c>
    </row>
    <row r="644" spans="1:34" ht="15.75" customHeight="1">
      <c r="A644" s="22">
        <f t="shared" si="101"/>
        <v>640</v>
      </c>
      <c r="B644" s="22">
        <f t="shared" si="128"/>
        <v>6637.4743384915619</v>
      </c>
      <c r="C644" s="25">
        <f t="shared" si="93"/>
        <v>3412.5161620569229</v>
      </c>
      <c r="D644" s="25">
        <f t="shared" si="102"/>
        <v>2227302.3601768506</v>
      </c>
      <c r="E644" s="25">
        <f>$C644/((1+'How much will I make'!$C$5/12)^(Calculations!$B$1*12-Calculations!$A644))</f>
        <v>6637.4743384915619</v>
      </c>
      <c r="F644" s="25">
        <f t="shared" si="103"/>
        <v>1499543.7385919394</v>
      </c>
      <c r="G644" s="25">
        <f t="shared" si="94"/>
        <v>1759.3124337311024</v>
      </c>
      <c r="H644" s="25">
        <f t="shared" si="104"/>
        <v>5755967.2518522982</v>
      </c>
      <c r="I644" s="25">
        <f>G644/((1+'How much will I make'!$C$5/12)^(Calculations!$B$1*12-Calculations!$A644))</f>
        <v>3421.929912631002</v>
      </c>
      <c r="J644" s="25">
        <f t="shared" si="105"/>
        <v>2221084.4722148683</v>
      </c>
      <c r="K644" s="25">
        <f t="shared" si="95"/>
        <v>909.48963328228535</v>
      </c>
      <c r="L644" s="25">
        <f t="shared" si="106"/>
        <v>22459886.900104631</v>
      </c>
      <c r="M644" s="25">
        <f>K644/((1+'How much will I make'!$C$5/12)^(Calculations!$B$1*12-Calculations!$A644))</f>
        <v>1768.9920912774783</v>
      </c>
      <c r="N644" s="25">
        <f t="shared" si="107"/>
        <v>5699293.3968191389</v>
      </c>
      <c r="O644" s="25">
        <f t="shared" si="96"/>
        <v>471.44313352064296</v>
      </c>
      <c r="P644" s="25">
        <f t="shared" si="108"/>
        <v>108397997.48934054</v>
      </c>
      <c r="Q644" s="25">
        <f>O644/((1+'How much will I make'!$C$5/12)^(Calculations!$B$1*12-Calculations!$A644))</f>
        <v>916.97491006611733</v>
      </c>
      <c r="R644" s="25">
        <f t="shared" si="109"/>
        <v>22046511.998568103</v>
      </c>
      <c r="S644" s="25">
        <f t="shared" si="97"/>
        <v>245.03494841521868</v>
      </c>
      <c r="T644" s="25">
        <f t="shared" si="110"/>
        <v>580375511.15429103</v>
      </c>
      <c r="U644" s="25">
        <f>S644/((1+'How much will I make'!$C$5/12)^(Calculations!$B$1*12-Calculations!$A644))</f>
        <v>476.60233824629955</v>
      </c>
      <c r="V644" s="25">
        <f t="shared" si="111"/>
        <v>105493156.07245287</v>
      </c>
      <c r="W644" s="25">
        <f t="shared" si="98"/>
        <v>127.69808731148595</v>
      </c>
      <c r="X644" s="25">
        <f t="shared" si="112"/>
        <v>3284773208.6613922</v>
      </c>
      <c r="Y644" s="25">
        <f>W644/((1+'How much will I make'!$C$5/12)^(Calculations!$B$1*12-Calculations!$A644))</f>
        <v>248.37765957818914</v>
      </c>
      <c r="Z644" s="25">
        <f t="shared" si="113"/>
        <v>560143266.86756992</v>
      </c>
      <c r="AA644" s="25">
        <f t="shared" si="99"/>
        <v>66.725065280687772</v>
      </c>
      <c r="AB644" s="25">
        <f t="shared" si="114"/>
        <v>19205085724.989132</v>
      </c>
      <c r="AC644" s="25">
        <f>AA644/((1+'How much will I make'!$C$5/12)^(Calculations!$B$1*12-Calculations!$A644))</f>
        <v>129.78280175170985</v>
      </c>
      <c r="AD644" s="25">
        <f t="shared" si="115"/>
        <v>3144584054.0706162</v>
      </c>
      <c r="AE644" s="25">
        <f t="shared" si="100"/>
        <v>34.956874608601417</v>
      </c>
      <c r="AF644" s="25">
        <f t="shared" si="116"/>
        <v>114565045949.74063</v>
      </c>
      <c r="AG644" s="25">
        <f>AE644/((1+'How much will I make'!$C$5/12)^(Calculations!$B$1*12-Calculations!$A644))</f>
        <v>67.992456929084241</v>
      </c>
      <c r="AH644" s="25">
        <f t="shared" si="117"/>
        <v>18238885995.100147</v>
      </c>
    </row>
    <row r="645" spans="1:34" ht="15.75" customHeight="1">
      <c r="A645" s="22">
        <f t="shared" si="101"/>
        <v>641</v>
      </c>
      <c r="B645" s="22">
        <f t="shared" si="128"/>
        <v>6637.4743384915619</v>
      </c>
      <c r="C645" s="25">
        <f t="shared" si="93"/>
        <v>3398.3563439571021</v>
      </c>
      <c r="D645" s="25">
        <f t="shared" si="102"/>
        <v>2230700.7165208077</v>
      </c>
      <c r="E645" s="25">
        <f>$C645/((1+'How much will I make'!$C$5/12)^(Calculations!$B$1*12-Calculations!$A645))</f>
        <v>6637.4743384915619</v>
      </c>
      <c r="F645" s="25">
        <f t="shared" si="103"/>
        <v>1506181.2129304309</v>
      </c>
      <c r="G645" s="25">
        <f t="shared" si="94"/>
        <v>1744.7726615515069</v>
      </c>
      <c r="H645" s="25">
        <f t="shared" si="104"/>
        <v>5757712.02451385</v>
      </c>
      <c r="I645" s="25">
        <f>G645/((1+'How much will I make'!$C$5/12)^(Calculations!$B$1*12-Calculations!$A645))</f>
        <v>3407.7897063804608</v>
      </c>
      <c r="J645" s="25">
        <f t="shared" si="105"/>
        <v>2224492.2619212489</v>
      </c>
      <c r="K645" s="25">
        <f t="shared" si="95"/>
        <v>898.26136620472619</v>
      </c>
      <c r="L645" s="25">
        <f t="shared" si="106"/>
        <v>22460785.161470834</v>
      </c>
      <c r="M645" s="25">
        <f>K645/((1+'How much will I make'!$C$5/12)^(Calculations!$B$1*12-Calculations!$A645))</f>
        <v>1754.4324855879513</v>
      </c>
      <c r="N645" s="25">
        <f t="shared" si="107"/>
        <v>5701047.8293047268</v>
      </c>
      <c r="O645" s="25">
        <f t="shared" si="96"/>
        <v>463.71455756128813</v>
      </c>
      <c r="P645" s="25">
        <f t="shared" si="108"/>
        <v>108398461.2038981</v>
      </c>
      <c r="Q645" s="25">
        <f>O645/((1+'How much will I make'!$C$5/12)^(Calculations!$B$1*12-Calculations!$A645))</f>
        <v>905.70062838497631</v>
      </c>
      <c r="R645" s="25">
        <f t="shared" si="109"/>
        <v>22047417.699196488</v>
      </c>
      <c r="S645" s="25">
        <f t="shared" si="97"/>
        <v>240.03423518225506</v>
      </c>
      <c r="T645" s="25">
        <f t="shared" si="110"/>
        <v>580375751.18852627</v>
      </c>
      <c r="U645" s="25">
        <f>S645/((1+'How much will I make'!$C$5/12)^(Calculations!$B$1*12-Calculations!$A645))</f>
        <v>468.82107558105383</v>
      </c>
      <c r="V645" s="25">
        <f t="shared" si="111"/>
        <v>105493624.89352846</v>
      </c>
      <c r="W645" s="25">
        <f t="shared" si="98"/>
        <v>124.58349981608386</v>
      </c>
      <c r="X645" s="25">
        <f t="shared" si="112"/>
        <v>3284773333.2448921</v>
      </c>
      <c r="Y645" s="25">
        <f>W645/((1+'How much will I make'!$C$5/12)^(Calculations!$B$1*12-Calculations!$A645))</f>
        <v>243.32933316399829</v>
      </c>
      <c r="Z645" s="25">
        <f t="shared" si="113"/>
        <v>560143510.19690311</v>
      </c>
      <c r="AA645" s="25">
        <f t="shared" si="99"/>
        <v>64.83407152779381</v>
      </c>
      <c r="AB645" s="25">
        <f t="shared" si="114"/>
        <v>19205085789.823204</v>
      </c>
      <c r="AC645" s="25">
        <f>AA645/((1+'How much will I make'!$C$5/12)^(Calculations!$B$1*12-Calculations!$A645))</f>
        <v>126.63018308567644</v>
      </c>
      <c r="AD645" s="25">
        <f t="shared" si="115"/>
        <v>3144584180.7007995</v>
      </c>
      <c r="AE645" s="25">
        <f t="shared" si="100"/>
        <v>33.829233492194923</v>
      </c>
      <c r="AF645" s="25">
        <f t="shared" si="116"/>
        <v>114565045983.56987</v>
      </c>
      <c r="AG645" s="25">
        <f>AE645/((1+'How much will I make'!$C$5/12)^(Calculations!$B$1*12-Calculations!$A645))</f>
        <v>66.073314999634277</v>
      </c>
      <c r="AH645" s="25">
        <f t="shared" si="117"/>
        <v>18238886061.173462</v>
      </c>
    </row>
    <row r="646" spans="1:34" ht="15.75" customHeight="1">
      <c r="A646" s="22">
        <f t="shared" si="101"/>
        <v>642</v>
      </c>
      <c r="B646" s="22">
        <f t="shared" si="128"/>
        <v>6637.4743384915619</v>
      </c>
      <c r="C646" s="25">
        <f t="shared" si="93"/>
        <v>3384.2552802892301</v>
      </c>
      <c r="D646" s="25">
        <f t="shared" si="102"/>
        <v>2234084.971801097</v>
      </c>
      <c r="E646" s="25">
        <f>$C646/((1+'How much will I make'!$C$5/12)^(Calculations!$B$1*12-Calculations!$A646))</f>
        <v>6637.4743384915619</v>
      </c>
      <c r="F646" s="25">
        <f t="shared" si="103"/>
        <v>1512818.6872689223</v>
      </c>
      <c r="G646" s="25">
        <f t="shared" si="94"/>
        <v>1730.3530527783539</v>
      </c>
      <c r="H646" s="25">
        <f t="shared" si="104"/>
        <v>5759442.3775666282</v>
      </c>
      <c r="I646" s="25">
        <f>G646/((1+'How much will I make'!$C$5/12)^(Calculations!$B$1*12-Calculations!$A646))</f>
        <v>3393.7079307342606</v>
      </c>
      <c r="J646" s="25">
        <f t="shared" si="105"/>
        <v>2227885.9698519832</v>
      </c>
      <c r="K646" s="25">
        <f t="shared" si="95"/>
        <v>887.1717197083716</v>
      </c>
      <c r="L646" s="25">
        <f t="shared" si="106"/>
        <v>22461672.333190542</v>
      </c>
      <c r="M646" s="25">
        <f>K646/((1+'How much will I make'!$C$5/12)^(Calculations!$B$1*12-Calculations!$A646))</f>
        <v>1739.9927120440177</v>
      </c>
      <c r="N646" s="25">
        <f t="shared" si="107"/>
        <v>5702787.822016771</v>
      </c>
      <c r="O646" s="25">
        <f t="shared" si="96"/>
        <v>456.11267956848019</v>
      </c>
      <c r="P646" s="25">
        <f t="shared" si="108"/>
        <v>108398917.31657767</v>
      </c>
      <c r="Q646" s="25">
        <f>O646/((1+'How much will I make'!$C$5/12)^(Calculations!$B$1*12-Calculations!$A646))</f>
        <v>894.56496492122676</v>
      </c>
      <c r="R646" s="25">
        <f t="shared" si="109"/>
        <v>22048312.264161408</v>
      </c>
      <c r="S646" s="25">
        <f t="shared" si="97"/>
        <v>235.13557732139273</v>
      </c>
      <c r="T646" s="25">
        <f t="shared" si="110"/>
        <v>580375986.32410359</v>
      </c>
      <c r="U646" s="25">
        <f>S646/((1+'How much will I make'!$C$5/12)^(Calculations!$B$1*12-Calculations!$A646))</f>
        <v>461.16685393891424</v>
      </c>
      <c r="V646" s="25">
        <f t="shared" si="111"/>
        <v>105494086.0603824</v>
      </c>
      <c r="W646" s="25">
        <f t="shared" si="98"/>
        <v>121.54487786935013</v>
      </c>
      <c r="X646" s="25">
        <f t="shared" si="112"/>
        <v>3284773454.7897701</v>
      </c>
      <c r="Y646" s="25">
        <f>W646/((1+'How much will I make'!$C$5/12)^(Calculations!$B$1*12-Calculations!$A646))</f>
        <v>238.38361501025852</v>
      </c>
      <c r="Z646" s="25">
        <f t="shared" si="113"/>
        <v>560143748.58051813</v>
      </c>
      <c r="AA646" s="25">
        <f t="shared" si="99"/>
        <v>62.996668690973728</v>
      </c>
      <c r="AB646" s="25">
        <f t="shared" si="114"/>
        <v>19205085852.819874</v>
      </c>
      <c r="AC646" s="25">
        <f>AA646/((1+'How much will I make'!$C$5/12)^(Calculations!$B$1*12-Calculations!$A646))</f>
        <v>123.55414624958709</v>
      </c>
      <c r="AD646" s="25">
        <f t="shared" si="115"/>
        <v>3144584304.2549458</v>
      </c>
      <c r="AE646" s="25">
        <f t="shared" si="100"/>
        <v>32.737967895672504</v>
      </c>
      <c r="AF646" s="25">
        <f t="shared" si="116"/>
        <v>114565046016.30783</v>
      </c>
      <c r="AG646" s="25">
        <f>AE646/((1+'How much will I make'!$C$5/12)^(Calculations!$B$1*12-Calculations!$A646))</f>
        <v>64.208342398838141</v>
      </c>
      <c r="AH646" s="25">
        <f t="shared" si="117"/>
        <v>18238886125.381805</v>
      </c>
    </row>
    <row r="647" spans="1:34" ht="15.75" customHeight="1">
      <c r="A647" s="22">
        <f t="shared" si="101"/>
        <v>643</v>
      </c>
      <c r="B647" s="22">
        <f t="shared" si="128"/>
        <v>6637.4743384915619</v>
      </c>
      <c r="C647" s="25">
        <f t="shared" si="93"/>
        <v>3370.2127272589842</v>
      </c>
      <c r="D647" s="25">
        <f t="shared" si="102"/>
        <v>2237455.184528356</v>
      </c>
      <c r="E647" s="25">
        <f>$C647/((1+'How much will I make'!$C$5/12)^(Calculations!$B$1*12-Calculations!$A647))</f>
        <v>6637.4743384915619</v>
      </c>
      <c r="F647" s="25">
        <f t="shared" si="103"/>
        <v>1519456.1616074138</v>
      </c>
      <c r="G647" s="25">
        <f t="shared" si="94"/>
        <v>1716.0526143256402</v>
      </c>
      <c r="H647" s="25">
        <f t="shared" si="104"/>
        <v>5761158.4301809538</v>
      </c>
      <c r="I647" s="25">
        <f>G647/((1+'How much will I make'!$C$5/12)^(Calculations!$B$1*12-Calculations!$A647))</f>
        <v>3379.6843442436234</v>
      </c>
      <c r="J647" s="25">
        <f t="shared" si="105"/>
        <v>2231265.654196227</v>
      </c>
      <c r="K647" s="25">
        <f t="shared" si="95"/>
        <v>876.21898242802149</v>
      </c>
      <c r="L647" s="25">
        <f t="shared" si="106"/>
        <v>22462548.55217297</v>
      </c>
      <c r="M647" s="25">
        <f>K647/((1+'How much will I make'!$C$5/12)^(Calculations!$B$1*12-Calculations!$A647))</f>
        <v>1725.6717843728738</v>
      </c>
      <c r="N647" s="25">
        <f t="shared" si="107"/>
        <v>5704513.493801144</v>
      </c>
      <c r="O647" s="25">
        <f t="shared" si="96"/>
        <v>448.63542252637399</v>
      </c>
      <c r="P647" s="25">
        <f t="shared" si="108"/>
        <v>108399365.9520002</v>
      </c>
      <c r="Q647" s="25">
        <f>O647/((1+'How much will I make'!$C$5/12)^(Calculations!$B$1*12-Calculations!$A647))</f>
        <v>883.56621535252327</v>
      </c>
      <c r="R647" s="25">
        <f t="shared" si="109"/>
        <v>22049195.830376759</v>
      </c>
      <c r="S647" s="25">
        <f t="shared" si="97"/>
        <v>230.33689206993577</v>
      </c>
      <c r="T647" s="25">
        <f t="shared" si="110"/>
        <v>580376216.66099572</v>
      </c>
      <c r="U647" s="25">
        <f>S647/((1+'How much will I make'!$C$5/12)^(Calculations!$B$1*12-Calculations!$A647))</f>
        <v>453.63759918072799</v>
      </c>
      <c r="V647" s="25">
        <f t="shared" si="111"/>
        <v>105494539.69798158</v>
      </c>
      <c r="W647" s="25">
        <f t="shared" si="98"/>
        <v>118.58036865302451</v>
      </c>
      <c r="X647" s="25">
        <f t="shared" si="112"/>
        <v>3284773573.3701386</v>
      </c>
      <c r="Y647" s="25">
        <f>W647/((1+'How much will I make'!$C$5/12)^(Calculations!$B$1*12-Calculations!$A647))</f>
        <v>233.53841958322076</v>
      </c>
      <c r="Z647" s="25">
        <f t="shared" si="113"/>
        <v>560143982.11893773</v>
      </c>
      <c r="AA647" s="25">
        <f t="shared" si="99"/>
        <v>61.211337999326702</v>
      </c>
      <c r="AB647" s="25">
        <f t="shared" si="114"/>
        <v>19205085914.031212</v>
      </c>
      <c r="AC647" s="25">
        <f>AA647/((1+'How much will I make'!$C$5/12)^(Calculations!$B$1*12-Calculations!$A647))</f>
        <v>120.55283095607487</v>
      </c>
      <c r="AD647" s="25">
        <f t="shared" si="115"/>
        <v>3144584424.8077769</v>
      </c>
      <c r="AE647" s="25">
        <f t="shared" si="100"/>
        <v>31.68190441516694</v>
      </c>
      <c r="AF647" s="25">
        <f t="shared" si="116"/>
        <v>114565046047.98973</v>
      </c>
      <c r="AG647" s="25">
        <f>AE647/((1+'How much will I make'!$C$5/12)^(Calculations!$B$1*12-Calculations!$A647))</f>
        <v>62.396010153709653</v>
      </c>
      <c r="AH647" s="25">
        <f t="shared" si="117"/>
        <v>18238886187.777817</v>
      </c>
    </row>
    <row r="648" spans="1:34" ht="15.75" customHeight="1">
      <c r="A648" s="22">
        <f t="shared" si="101"/>
        <v>644</v>
      </c>
      <c r="B648" s="22">
        <f t="shared" si="128"/>
        <v>6637.4743384915619</v>
      </c>
      <c r="C648" s="25">
        <f t="shared" si="93"/>
        <v>3356.2284420836359</v>
      </c>
      <c r="D648" s="25">
        <f t="shared" si="102"/>
        <v>2240811.4129704395</v>
      </c>
      <c r="E648" s="25">
        <f>$C648/((1+'How much will I make'!$C$5/12)^(Calculations!$B$1*12-Calculations!$A648))</f>
        <v>6637.4743384915619</v>
      </c>
      <c r="F648" s="25">
        <f t="shared" si="103"/>
        <v>1526093.6359459052</v>
      </c>
      <c r="G648" s="25">
        <f t="shared" si="94"/>
        <v>1701.8703613146847</v>
      </c>
      <c r="H648" s="25">
        <f t="shared" si="104"/>
        <v>5762860.3005422689</v>
      </c>
      <c r="I648" s="25">
        <f>G648/((1+'How much will I make'!$C$5/12)^(Calculations!$B$1*12-Calculations!$A648))</f>
        <v>3365.7187064574932</v>
      </c>
      <c r="J648" s="25">
        <f t="shared" si="105"/>
        <v>2234631.3729026844</v>
      </c>
      <c r="K648" s="25">
        <f t="shared" si="95"/>
        <v>865.40146412644094</v>
      </c>
      <c r="L648" s="25">
        <f t="shared" si="106"/>
        <v>22463413.953637097</v>
      </c>
      <c r="M648" s="25">
        <f>K648/((1+'How much will I make'!$C$5/12)^(Calculations!$B$1*12-Calculations!$A648))</f>
        <v>1711.4687244191875</v>
      </c>
      <c r="N648" s="25">
        <f t="shared" si="107"/>
        <v>5706224.9625255633</v>
      </c>
      <c r="O648" s="25">
        <f t="shared" si="96"/>
        <v>441.28074346856465</v>
      </c>
      <c r="P648" s="25">
        <f t="shared" si="108"/>
        <v>108399807.23274367</v>
      </c>
      <c r="Q648" s="25">
        <f>O648/((1+'How much will I make'!$C$5/12)^(Calculations!$B$1*12-Calculations!$A648))</f>
        <v>872.70269631130384</v>
      </c>
      <c r="R648" s="25">
        <f t="shared" si="109"/>
        <v>22050068.533073071</v>
      </c>
      <c r="S648" s="25">
        <f t="shared" si="97"/>
        <v>225.63613917054931</v>
      </c>
      <c r="T648" s="25">
        <f t="shared" si="110"/>
        <v>580376442.29713488</v>
      </c>
      <c r="U648" s="25">
        <f>S648/((1+'How much will I make'!$C$5/12)^(Calculations!$B$1*12-Calculations!$A648))</f>
        <v>446.23127103083851</v>
      </c>
      <c r="V648" s="25">
        <f t="shared" si="111"/>
        <v>105494985.92925261</v>
      </c>
      <c r="W648" s="25">
        <f t="shared" si="98"/>
        <v>115.6881645395361</v>
      </c>
      <c r="X648" s="25">
        <f t="shared" si="112"/>
        <v>3284773689.0583034</v>
      </c>
      <c r="Y648" s="25">
        <f>W648/((1+'How much will I make'!$C$5/12)^(Calculations!$B$1*12-Calculations!$A648))</f>
        <v>228.79170373803333</v>
      </c>
      <c r="Z648" s="25">
        <f t="shared" si="113"/>
        <v>560144210.91064143</v>
      </c>
      <c r="AA648" s="25">
        <f t="shared" si="99"/>
        <v>59.476603724042157</v>
      </c>
      <c r="AB648" s="25">
        <f t="shared" si="114"/>
        <v>19205085973.507816</v>
      </c>
      <c r="AC648" s="25">
        <f>AA648/((1+'How much will I make'!$C$5/12)^(Calculations!$B$1*12-Calculations!$A648))</f>
        <v>117.62442210693948</v>
      </c>
      <c r="AD648" s="25">
        <f t="shared" si="115"/>
        <v>3144584542.432199</v>
      </c>
      <c r="AE648" s="25">
        <f t="shared" si="100"/>
        <v>30.659907498548641</v>
      </c>
      <c r="AF648" s="25">
        <f t="shared" si="116"/>
        <v>114565046078.64964</v>
      </c>
      <c r="AG648" s="25">
        <f>AE648/((1+'How much will I make'!$C$5/12)^(Calculations!$B$1*12-Calculations!$A648))</f>
        <v>60.63483244775815</v>
      </c>
      <c r="AH648" s="25">
        <f t="shared" si="117"/>
        <v>18238886248.412651</v>
      </c>
    </row>
    <row r="649" spans="1:34" ht="15.75" customHeight="1">
      <c r="A649" s="22">
        <f t="shared" si="101"/>
        <v>645</v>
      </c>
      <c r="B649" s="22">
        <f t="shared" si="128"/>
        <v>6637.4743384915619</v>
      </c>
      <c r="C649" s="25">
        <f t="shared" si="93"/>
        <v>3342.3021829878535</v>
      </c>
      <c r="D649" s="25">
        <f t="shared" si="102"/>
        <v>2244153.7151534273</v>
      </c>
      <c r="E649" s="25">
        <f>$C649/((1+'How much will I make'!$C$5/12)^(Calculations!$B$1*12-Calculations!$A649))</f>
        <v>6637.4743384915619</v>
      </c>
      <c r="F649" s="25">
        <f t="shared" si="103"/>
        <v>1532731.1102843967</v>
      </c>
      <c r="G649" s="25">
        <f t="shared" si="94"/>
        <v>1687.8053170062992</v>
      </c>
      <c r="H649" s="25">
        <f t="shared" si="104"/>
        <v>5764548.105859275</v>
      </c>
      <c r="I649" s="25">
        <f>G649/((1+'How much will I make'!$C$5/12)^(Calculations!$B$1*12-Calculations!$A649))</f>
        <v>3351.8107779184129</v>
      </c>
      <c r="J649" s="25">
        <f t="shared" si="105"/>
        <v>2237983.1836806028</v>
      </c>
      <c r="K649" s="25">
        <f t="shared" si="95"/>
        <v>854.717495433522</v>
      </c>
      <c r="L649" s="25">
        <f t="shared" si="106"/>
        <v>22464268.671132531</v>
      </c>
      <c r="M649" s="25">
        <f>K649/((1+'How much will I make'!$C$5/12)^(Calculations!$B$1*12-Calculations!$A649))</f>
        <v>1697.3825620782891</v>
      </c>
      <c r="N649" s="25">
        <f t="shared" si="107"/>
        <v>5707922.3450876419</v>
      </c>
      <c r="O649" s="25">
        <f t="shared" si="96"/>
        <v>434.04663291989954</v>
      </c>
      <c r="P649" s="25">
        <f t="shared" si="108"/>
        <v>108400241.27937658</v>
      </c>
      <c r="Q649" s="25">
        <f>O649/((1+'How much will I make'!$C$5/12)^(Calculations!$B$1*12-Calculations!$A649))</f>
        <v>861.97274512714819</v>
      </c>
      <c r="R649" s="25">
        <f t="shared" si="109"/>
        <v>22050930.505818199</v>
      </c>
      <c r="S649" s="25">
        <f t="shared" si="97"/>
        <v>221.03132000380344</v>
      </c>
      <c r="T649" s="25">
        <f t="shared" si="110"/>
        <v>580376663.32845485</v>
      </c>
      <c r="U649" s="25">
        <f>S649/((1+'How much will I make'!$C$5/12)^(Calculations!$B$1*12-Calculations!$A649))</f>
        <v>438.9458625242126</v>
      </c>
      <c r="V649" s="25">
        <f t="shared" si="111"/>
        <v>105495424.87511513</v>
      </c>
      <c r="W649" s="25">
        <f t="shared" si="98"/>
        <v>112.86650198979133</v>
      </c>
      <c r="X649" s="25">
        <f t="shared" si="112"/>
        <v>3284773801.9248052</v>
      </c>
      <c r="Y649" s="25">
        <f>W649/((1+'How much will I make'!$C$5/12)^(Calculations!$B$1*12-Calculations!$A649))</f>
        <v>224.14146585717899</v>
      </c>
      <c r="Z649" s="25">
        <f t="shared" si="113"/>
        <v>560144435.05210733</v>
      </c>
      <c r="AA649" s="25">
        <f t="shared" si="99"/>
        <v>57.791031958583481</v>
      </c>
      <c r="AB649" s="25">
        <f t="shared" si="114"/>
        <v>19205086031.298847</v>
      </c>
      <c r="AC649" s="25">
        <f>AA649/((1+'How much will I make'!$C$5/12)^(Calculations!$B$1*12-Calculations!$A649))</f>
        <v>114.76714869543488</v>
      </c>
      <c r="AD649" s="25">
        <f t="shared" si="115"/>
        <v>3144584657.1993475</v>
      </c>
      <c r="AE649" s="25">
        <f t="shared" si="100"/>
        <v>29.670878224401914</v>
      </c>
      <c r="AF649" s="25">
        <f t="shared" si="116"/>
        <v>114565046108.32053</v>
      </c>
      <c r="AG649" s="25">
        <f>AE649/((1+'How much will I make'!$C$5/12)^(Calculations!$B$1*12-Calculations!$A649))</f>
        <v>58.923365402861748</v>
      </c>
      <c r="AH649" s="25">
        <f t="shared" si="117"/>
        <v>18238886307.336018</v>
      </c>
    </row>
    <row r="650" spans="1:34" ht="15.75" customHeight="1">
      <c r="A650" s="22">
        <f t="shared" si="101"/>
        <v>646</v>
      </c>
      <c r="B650" s="22">
        <f t="shared" si="128"/>
        <v>6637.4743384915619</v>
      </c>
      <c r="C650" s="25">
        <f t="shared" si="93"/>
        <v>3328.4337091995221</v>
      </c>
      <c r="D650" s="25">
        <f t="shared" si="102"/>
        <v>2247482.1488626269</v>
      </c>
      <c r="E650" s="25">
        <f>$C650/((1+'How much will I make'!$C$5/12)^(Calculations!$B$1*12-Calculations!$A650))</f>
        <v>6637.4743384915619</v>
      </c>
      <c r="F650" s="25">
        <f t="shared" si="103"/>
        <v>1539368.5846228881</v>
      </c>
      <c r="G650" s="25">
        <f t="shared" si="94"/>
        <v>1673.8565127335194</v>
      </c>
      <c r="H650" s="25">
        <f t="shared" si="104"/>
        <v>5766221.9623720087</v>
      </c>
      <c r="I650" s="25">
        <f>G650/((1+'How much will I make'!$C$5/12)^(Calculations!$B$1*12-Calculations!$A650))</f>
        <v>3337.9603201584187</v>
      </c>
      <c r="J650" s="25">
        <f t="shared" si="105"/>
        <v>2241321.1440007612</v>
      </c>
      <c r="K650" s="25">
        <f t="shared" si="95"/>
        <v>844.16542758866365</v>
      </c>
      <c r="L650" s="25">
        <f t="shared" si="106"/>
        <v>22465112.836560119</v>
      </c>
      <c r="M650" s="25">
        <f>K650/((1+'How much will I make'!$C$5/12)^(Calculations!$B$1*12-Calculations!$A650))</f>
        <v>1683.412335229908</v>
      </c>
      <c r="N650" s="25">
        <f t="shared" si="107"/>
        <v>5709605.7574228719</v>
      </c>
      <c r="O650" s="25">
        <f t="shared" si="96"/>
        <v>426.93111434744225</v>
      </c>
      <c r="P650" s="25">
        <f t="shared" si="108"/>
        <v>108400668.21049093</v>
      </c>
      <c r="Q650" s="25">
        <f>O650/((1+'How much will I make'!$C$5/12)^(Calculations!$B$1*12-Calculations!$A650))</f>
        <v>851.37471957230639</v>
      </c>
      <c r="R650" s="25">
        <f t="shared" si="109"/>
        <v>22051781.880537771</v>
      </c>
      <c r="S650" s="25">
        <f t="shared" si="97"/>
        <v>216.52047673841969</v>
      </c>
      <c r="T650" s="25">
        <f t="shared" si="110"/>
        <v>580376879.84893155</v>
      </c>
      <c r="U650" s="25">
        <f>S650/((1+'How much will I make'!$C$5/12)^(Calculations!$B$1*12-Calculations!$A650))</f>
        <v>431.77939946259278</v>
      </c>
      <c r="V650" s="25">
        <f t="shared" si="111"/>
        <v>105495856.6545146</v>
      </c>
      <c r="W650" s="25">
        <f t="shared" si="98"/>
        <v>110.11366047784523</v>
      </c>
      <c r="X650" s="25">
        <f t="shared" si="112"/>
        <v>3284773912.0384655</v>
      </c>
      <c r="Y650" s="25">
        <f>W650/((1+'How much will I make'!$C$5/12)^(Calculations!$B$1*12-Calculations!$A650))</f>
        <v>219.58574500642339</v>
      </c>
      <c r="Z650" s="25">
        <f t="shared" si="113"/>
        <v>560144654.63785231</v>
      </c>
      <c r="AA650" s="25">
        <f t="shared" si="99"/>
        <v>56.153229433441446</v>
      </c>
      <c r="AB650" s="25">
        <f t="shared" si="114"/>
        <v>19205086087.452076</v>
      </c>
      <c r="AC650" s="25">
        <f>AA650/((1+'How much will I make'!$C$5/12)^(Calculations!$B$1*12-Calculations!$A650))</f>
        <v>111.97928273522191</v>
      </c>
      <c r="AD650" s="25">
        <f t="shared" si="115"/>
        <v>3144584769.1786304</v>
      </c>
      <c r="AE650" s="25">
        <f t="shared" si="100"/>
        <v>28.71375312038894</v>
      </c>
      <c r="AF650" s="25">
        <f t="shared" si="116"/>
        <v>114565046137.03429</v>
      </c>
      <c r="AG650" s="25">
        <f>AE650/((1+'How much will I make'!$C$5/12)^(Calculations!$B$1*12-Calculations!$A650))</f>
        <v>57.260205895522894</v>
      </c>
      <c r="AH650" s="25">
        <f t="shared" si="117"/>
        <v>18238886364.596222</v>
      </c>
    </row>
    <row r="651" spans="1:34" ht="15.75" customHeight="1">
      <c r="A651" s="22">
        <f t="shared" si="101"/>
        <v>647</v>
      </c>
      <c r="B651" s="22">
        <f t="shared" si="128"/>
        <v>6637.4743384915619</v>
      </c>
      <c r="C651" s="25">
        <f t="shared" si="93"/>
        <v>3314.6227809455818</v>
      </c>
      <c r="D651" s="25">
        <f t="shared" si="102"/>
        <v>2250796.7716435725</v>
      </c>
      <c r="E651" s="25">
        <f>$C651/((1+'How much will I make'!$C$5/12)^(Calculations!$B$1*12-Calculations!$A651))</f>
        <v>6637.4743384915619</v>
      </c>
      <c r="F651" s="25">
        <f t="shared" si="103"/>
        <v>1546006.0589613796</v>
      </c>
      <c r="G651" s="25">
        <f t="shared" si="94"/>
        <v>1660.0229878348957</v>
      </c>
      <c r="H651" s="25">
        <f t="shared" si="104"/>
        <v>5767881.9853598438</v>
      </c>
      <c r="I651" s="25">
        <f>G651/((1+'How much will I make'!$C$5/12)^(Calculations!$B$1*12-Calculations!$A651))</f>
        <v>3324.1670956949556</v>
      </c>
      <c r="J651" s="25">
        <f t="shared" si="105"/>
        <v>2244645.3110964564</v>
      </c>
      <c r="K651" s="25">
        <f t="shared" si="95"/>
        <v>833.74363218633459</v>
      </c>
      <c r="L651" s="25">
        <f t="shared" si="106"/>
        <v>22465946.580192305</v>
      </c>
      <c r="M651" s="25">
        <f>K651/((1+'How much will I make'!$C$5/12)^(Calculations!$B$1*12-Calculations!$A651))</f>
        <v>1669.5570896724607</v>
      </c>
      <c r="N651" s="25">
        <f t="shared" si="107"/>
        <v>5711275.3145125443</v>
      </c>
      <c r="O651" s="25">
        <f t="shared" si="96"/>
        <v>419.93224362043509</v>
      </c>
      <c r="P651" s="25">
        <f t="shared" si="108"/>
        <v>108401088.14273454</v>
      </c>
      <c r="Q651" s="25">
        <f>O651/((1+'How much will I make'!$C$5/12)^(Calculations!$B$1*12-Calculations!$A651))</f>
        <v>840.90699761035205</v>
      </c>
      <c r="R651" s="25">
        <f t="shared" si="109"/>
        <v>22052622.787535381</v>
      </c>
      <c r="S651" s="25">
        <f t="shared" si="97"/>
        <v>212.10169149886019</v>
      </c>
      <c r="T651" s="25">
        <f t="shared" si="110"/>
        <v>580377091.95062304</v>
      </c>
      <c r="U651" s="25">
        <f>S651/((1+'How much will I make'!$C$5/12)^(Calculations!$B$1*12-Calculations!$A651))</f>
        <v>424.72993987953026</v>
      </c>
      <c r="V651" s="25">
        <f t="shared" si="111"/>
        <v>105496281.38445447</v>
      </c>
      <c r="W651" s="25">
        <f t="shared" si="98"/>
        <v>107.42796144180022</v>
      </c>
      <c r="X651" s="25">
        <f t="shared" si="112"/>
        <v>3284774019.4664268</v>
      </c>
      <c r="Y651" s="25">
        <f>W651/((1+'How much will I make'!$C$5/12)^(Calculations!$B$1*12-Calculations!$A651))</f>
        <v>215.12262010791886</v>
      </c>
      <c r="Z651" s="25">
        <f t="shared" si="113"/>
        <v>560144869.76047242</v>
      </c>
      <c r="AA651" s="25">
        <f t="shared" si="99"/>
        <v>54.561842364477513</v>
      </c>
      <c r="AB651" s="25">
        <f t="shared" si="114"/>
        <v>19205086142.01392</v>
      </c>
      <c r="AC651" s="25">
        <f>AA651/((1+'How much will I make'!$C$5/12)^(Calculations!$B$1*12-Calculations!$A651))</f>
        <v>109.25913821533798</v>
      </c>
      <c r="AD651" s="25">
        <f t="shared" si="115"/>
        <v>3144584878.4377685</v>
      </c>
      <c r="AE651" s="25">
        <f t="shared" si="100"/>
        <v>27.787503019731233</v>
      </c>
      <c r="AF651" s="25">
        <f t="shared" si="116"/>
        <v>114565046164.82179</v>
      </c>
      <c r="AG651" s="25">
        <f>AE651/((1+'How much will I make'!$C$5/12)^(Calculations!$B$1*12-Calculations!$A651))</f>
        <v>55.643990406536368</v>
      </c>
      <c r="AH651" s="25">
        <f t="shared" si="117"/>
        <v>18238886420.240211</v>
      </c>
    </row>
    <row r="652" spans="1:34" ht="15.75" customHeight="1">
      <c r="A652" s="22">
        <f t="shared" si="101"/>
        <v>648</v>
      </c>
      <c r="B652" s="22">
        <f t="shared" si="128"/>
        <v>6637.4743384915619</v>
      </c>
      <c r="C652" s="25">
        <f t="shared" si="93"/>
        <v>3300.8691594478819</v>
      </c>
      <c r="D652" s="25">
        <f t="shared" si="102"/>
        <v>2254097.6408030204</v>
      </c>
      <c r="E652" s="25">
        <f>$C652/((1+'How much will I make'!$C$5/12)^(Calculations!$B$1*12-Calculations!$A652))</f>
        <v>6637.4743384915619</v>
      </c>
      <c r="F652" s="25">
        <f t="shared" si="103"/>
        <v>1552643.533299871</v>
      </c>
      <c r="G652" s="25">
        <f t="shared" si="94"/>
        <v>1646.3037895883263</v>
      </c>
      <c r="H652" s="25">
        <f t="shared" si="104"/>
        <v>5769528.2891494324</v>
      </c>
      <c r="I652" s="25">
        <f>G652/((1+'How much will I make'!$C$5/12)^(Calculations!$B$1*12-Calculations!$A652))</f>
        <v>3310.4308680267945</v>
      </c>
      <c r="J652" s="25">
        <f t="shared" si="105"/>
        <v>2247955.7419644832</v>
      </c>
      <c r="K652" s="25">
        <f t="shared" si="95"/>
        <v>823.45050092477481</v>
      </c>
      <c r="L652" s="25">
        <f t="shared" si="106"/>
        <v>22466770.030693229</v>
      </c>
      <c r="M652" s="25">
        <f>K652/((1+'How much will I make'!$C$5/12)^(Calculations!$B$1*12-Calculations!$A652))</f>
        <v>1655.8158790578723</v>
      </c>
      <c r="N652" s="25">
        <f t="shared" si="107"/>
        <v>5712931.1303916024</v>
      </c>
      <c r="O652" s="25">
        <f t="shared" si="96"/>
        <v>413.04810847911642</v>
      </c>
      <c r="P652" s="25">
        <f t="shared" si="108"/>
        <v>108401501.19084302</v>
      </c>
      <c r="Q652" s="25">
        <f>O652/((1+'How much will I make'!$C$5/12)^(Calculations!$B$1*12-Calculations!$A652))</f>
        <v>830.5679771479297</v>
      </c>
      <c r="R652" s="25">
        <f t="shared" si="109"/>
        <v>22053453.35551253</v>
      </c>
      <c r="S652" s="25">
        <f t="shared" si="97"/>
        <v>207.7730855499039</v>
      </c>
      <c r="T652" s="25">
        <f t="shared" si="110"/>
        <v>580377299.72370863</v>
      </c>
      <c r="U652" s="25">
        <f>S652/((1+'How much will I make'!$C$5/12)^(Calculations!$B$1*12-Calculations!$A652))</f>
        <v>417.79557351415031</v>
      </c>
      <c r="V652" s="25">
        <f t="shared" si="111"/>
        <v>105496699.18002799</v>
      </c>
      <c r="W652" s="25">
        <f t="shared" si="98"/>
        <v>104.80776726029292</v>
      </c>
      <c r="X652" s="25">
        <f t="shared" si="112"/>
        <v>3284774124.2741942</v>
      </c>
      <c r="Y652" s="25">
        <f>W652/((1+'How much will I make'!$C$5/12)^(Calculations!$B$1*12-Calculations!$A652))</f>
        <v>210.75020913011571</v>
      </c>
      <c r="Z652" s="25">
        <f t="shared" si="113"/>
        <v>560145080.51068151</v>
      </c>
      <c r="AA652" s="25">
        <f t="shared" si="99"/>
        <v>53.01555533390529</v>
      </c>
      <c r="AB652" s="25">
        <f t="shared" si="114"/>
        <v>19205086195.029476</v>
      </c>
      <c r="AC652" s="25">
        <f>AA652/((1+'How much will I make'!$C$5/12)^(Calculations!$B$1*12-Calculations!$A652))</f>
        <v>106.60507008055248</v>
      </c>
      <c r="AD652" s="25">
        <f t="shared" si="115"/>
        <v>3144584985.0428386</v>
      </c>
      <c r="AE652" s="25">
        <f t="shared" si="100"/>
        <v>26.891131954578608</v>
      </c>
      <c r="AF652" s="25">
        <f t="shared" si="116"/>
        <v>114565046191.71292</v>
      </c>
      <c r="AG652" s="25">
        <f>AE652/((1+'How much will I make'!$C$5/12)^(Calculations!$B$1*12-Calculations!$A652))</f>
        <v>54.07339390312606</v>
      </c>
      <c r="AH652" s="25">
        <f t="shared" si="117"/>
        <v>18238886474.313606</v>
      </c>
    </row>
    <row r="653" spans="1:34" ht="15.75" customHeight="1">
      <c r="A653" s="22">
        <f t="shared" si="101"/>
        <v>649</v>
      </c>
      <c r="B653" s="22">
        <f>B652*(1+'How much will I make'!$C$4)</f>
        <v>6969.3480554161406</v>
      </c>
      <c r="C653" s="25">
        <f t="shared" si="93"/>
        <v>3451.531237265006</v>
      </c>
      <c r="D653" s="25">
        <f t="shared" si="102"/>
        <v>2257549.1720402855</v>
      </c>
      <c r="E653" s="25">
        <f>$C653/((1+'How much will I make'!$C$5/12)^(Calculations!$B$1*12-Calculations!$A653))</f>
        <v>6969.3480554161406</v>
      </c>
      <c r="F653" s="25">
        <f t="shared" si="103"/>
        <v>1559612.8813552873</v>
      </c>
      <c r="G653" s="25">
        <f t="shared" si="94"/>
        <v>1714.3328718027201</v>
      </c>
      <c r="H653" s="25">
        <f t="shared" si="104"/>
        <v>5771242.6220212355</v>
      </c>
      <c r="I653" s="25">
        <f>G653/((1+'How much will I make'!$C$5/12)^(Calculations!$B$1*12-Calculations!$A653))</f>
        <v>3461.5889717114887</v>
      </c>
      <c r="J653" s="25">
        <f t="shared" si="105"/>
        <v>2251417.3309361949</v>
      </c>
      <c r="K653" s="25">
        <f t="shared" si="95"/>
        <v>853.94866762569234</v>
      </c>
      <c r="L653" s="25">
        <f t="shared" si="106"/>
        <v>22467623.979360856</v>
      </c>
      <c r="M653" s="25">
        <f>K653/((1+'How much will I make'!$C$5/12)^(Calculations!$B$1*12-Calculations!$A653))</f>
        <v>1724.2971530682901</v>
      </c>
      <c r="N653" s="25">
        <f t="shared" si="107"/>
        <v>5714655.4275446711</v>
      </c>
      <c r="O653" s="25">
        <f t="shared" si="96"/>
        <v>426.59066941285801</v>
      </c>
      <c r="P653" s="25">
        <f t="shared" si="108"/>
        <v>108401927.78151242</v>
      </c>
      <c r="Q653" s="25">
        <f>O653/((1+'How much will I make'!$C$5/12)^(Calculations!$B$1*12-Calculations!$A653))</f>
        <v>861.37387957903115</v>
      </c>
      <c r="R653" s="25">
        <f t="shared" si="109"/>
        <v>22054314.729392108</v>
      </c>
      <c r="S653" s="25">
        <f t="shared" si="97"/>
        <v>213.7094594227583</v>
      </c>
      <c r="T653" s="25">
        <f t="shared" si="110"/>
        <v>580377513.43316805</v>
      </c>
      <c r="U653" s="25">
        <f>S653/((1+'How much will I make'!$C$5/12)^(Calculations!$B$1*12-Calculations!$A653))</f>
        <v>431.52314235818659</v>
      </c>
      <c r="V653" s="25">
        <f t="shared" si="111"/>
        <v>105497130.70317034</v>
      </c>
      <c r="W653" s="25">
        <f t="shared" si="98"/>
        <v>107.36405426664155</v>
      </c>
      <c r="X653" s="25">
        <f t="shared" si="112"/>
        <v>3284774231.6382484</v>
      </c>
      <c r="Y653" s="25">
        <f>W653/((1+'How much will I make'!$C$5/12)^(Calculations!$B$1*12-Calculations!$A653))</f>
        <v>216.79000170884461</v>
      </c>
      <c r="Z653" s="25">
        <f t="shared" si="113"/>
        <v>560145297.30068326</v>
      </c>
      <c r="AA653" s="25">
        <f t="shared" si="99"/>
        <v>54.088744713134162</v>
      </c>
      <c r="AB653" s="25">
        <f t="shared" si="114"/>
        <v>19205086249.118221</v>
      </c>
      <c r="AC653" s="25">
        <f>AA653/((1+'How much will I make'!$C$5/12)^(Calculations!$B$1*12-Calculations!$A653))</f>
        <v>109.21624689831502</v>
      </c>
      <c r="AD653" s="25">
        <f t="shared" si="115"/>
        <v>3144585094.2590857</v>
      </c>
      <c r="AE653" s="25">
        <f t="shared" si="100"/>
        <v>27.324859889329879</v>
      </c>
      <c r="AF653" s="25">
        <f t="shared" si="116"/>
        <v>114565046219.03778</v>
      </c>
      <c r="AG653" s="25">
        <f>AE653/((1+'How much will I make'!$C$5/12)^(Calculations!$B$1*12-Calculations!$A653))</f>
        <v>55.174485190266324</v>
      </c>
      <c r="AH653" s="25">
        <f t="shared" si="117"/>
        <v>18238886529.488091</v>
      </c>
    </row>
    <row r="654" spans="1:34" ht="15.75" customHeight="1">
      <c r="A654" s="22">
        <f t="shared" si="101"/>
        <v>650</v>
      </c>
      <c r="B654" s="22">
        <f>B653</f>
        <v>6969.3480554161406</v>
      </c>
      <c r="C654" s="25">
        <f t="shared" si="93"/>
        <v>3437.2095308863118</v>
      </c>
      <c r="D654" s="25">
        <f t="shared" si="102"/>
        <v>2260986.3815711718</v>
      </c>
      <c r="E654" s="25">
        <f>$C654/((1+'How much will I make'!$C$5/12)^(Calculations!$B$1*12-Calculations!$A654))</f>
        <v>6969.3480554161406</v>
      </c>
      <c r="F654" s="25">
        <f t="shared" si="103"/>
        <v>1566582.2294107035</v>
      </c>
      <c r="G654" s="25">
        <f t="shared" si="94"/>
        <v>1700.1648315398877</v>
      </c>
      <c r="H654" s="25">
        <f t="shared" si="104"/>
        <v>5772942.7868527751</v>
      </c>
      <c r="I654" s="25">
        <f>G654/((1+'How much will I make'!$C$5/12)^(Calculations!$B$1*12-Calculations!$A654))</f>
        <v>3447.2848850515252</v>
      </c>
      <c r="J654" s="25">
        <f t="shared" si="105"/>
        <v>2254864.6158212465</v>
      </c>
      <c r="K654" s="25">
        <f t="shared" si="95"/>
        <v>843.40609148216538</v>
      </c>
      <c r="L654" s="25">
        <f t="shared" si="106"/>
        <v>22468467.385452338</v>
      </c>
      <c r="M654" s="25">
        <f>K654/((1+'How much will I make'!$C$5/12)^(Calculations!$B$1*12-Calculations!$A654))</f>
        <v>1710.1054069525026</v>
      </c>
      <c r="N654" s="25">
        <f t="shared" si="107"/>
        <v>5716365.5329516232</v>
      </c>
      <c r="O654" s="25">
        <f t="shared" si="96"/>
        <v>419.59737975035222</v>
      </c>
      <c r="P654" s="25">
        <f t="shared" si="108"/>
        <v>108402347.37889217</v>
      </c>
      <c r="Q654" s="25">
        <f>O654/((1+'How much will I make'!$C$5/12)^(Calculations!$B$1*12-Calculations!$A654))</f>
        <v>850.78321712519107</v>
      </c>
      <c r="R654" s="25">
        <f t="shared" si="109"/>
        <v>22055165.512609232</v>
      </c>
      <c r="S654" s="25">
        <f t="shared" si="97"/>
        <v>209.34804188351833</v>
      </c>
      <c r="T654" s="25">
        <f t="shared" si="110"/>
        <v>580377722.78120995</v>
      </c>
      <c r="U654" s="25">
        <f>S654/((1+'How much will I make'!$C$5/12)^(Calculations!$B$1*12-Calculations!$A654))</f>
        <v>424.47786656458373</v>
      </c>
      <c r="V654" s="25">
        <f t="shared" si="111"/>
        <v>105497555.1810369</v>
      </c>
      <c r="W654" s="25">
        <f t="shared" si="98"/>
        <v>104.74541879672346</v>
      </c>
      <c r="X654" s="25">
        <f t="shared" si="112"/>
        <v>3284774336.3836675</v>
      </c>
      <c r="Y654" s="25">
        <f>W654/((1+'How much will I make'!$C$5/12)^(Calculations!$B$1*12-Calculations!$A654))</f>
        <v>212.38370086110396</v>
      </c>
      <c r="Z654" s="25">
        <f t="shared" si="113"/>
        <v>560145509.68438411</v>
      </c>
      <c r="AA654" s="25">
        <f t="shared" si="99"/>
        <v>52.555865308308498</v>
      </c>
      <c r="AB654" s="25">
        <f t="shared" si="114"/>
        <v>19205086301.674088</v>
      </c>
      <c r="AC654" s="25">
        <f>AA654/((1+'How much will I make'!$C$5/12)^(Calculations!$B$1*12-Calculations!$A654))</f>
        <v>106.56322065787016</v>
      </c>
      <c r="AD654" s="25">
        <f t="shared" si="115"/>
        <v>3144585200.8223062</v>
      </c>
      <c r="AE654" s="25">
        <f t="shared" si="100"/>
        <v>26.443412796125688</v>
      </c>
      <c r="AF654" s="25">
        <f t="shared" si="116"/>
        <v>114565046245.4812</v>
      </c>
      <c r="AG654" s="25">
        <f>AE654/((1+'How much will I make'!$C$5/12)^(Calculations!$B$1*12-Calculations!$A654))</f>
        <v>53.617140850218505</v>
      </c>
      <c r="AH654" s="25">
        <f t="shared" si="117"/>
        <v>18238886583.105232</v>
      </c>
    </row>
    <row r="655" spans="1:34" ht="15.75" customHeight="1"/>
    <row r="656" spans="1:34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Ankur Warikoo</dc:creator>
  <cp:keywords/>
  <dc:description/>
  <cp:lastModifiedBy>Shaurya Shikhar</cp:lastModifiedBy>
  <cp:revision/>
  <dcterms:created xsi:type="dcterms:W3CDTF">2021-01-05T07:45:59Z</dcterms:created>
  <dcterms:modified xsi:type="dcterms:W3CDTF">2022-08-21T17:49:30Z</dcterms:modified>
  <cp:category/>
  <cp:contentStatus/>
</cp:coreProperties>
</file>